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ssumptions" sheetId="2" state="visible" r:id="rId2"/>
    <sheet name="Acceleration Test" sheetId="3" state="visible" r:id="rId3"/>
    <sheet name="Counterfactual" sheetId="4" state="visible" r:id="rId4"/>
    <sheet name="Control by Supplier" sheetId="5" state="visible" r:id="rId5"/>
    <sheet name="Within-Account Control" sheetId="6" state="visible" r:id="rId6"/>
    <sheet name="Distribution" sheetId="7" state="visible" r:id="rId7"/>
    <sheet name="Account Concentration" sheetId="8" state="visible" r:id="rId8"/>
    <sheet name="Channel" sheetId="9" state="visible" r:id="rId9"/>
    <sheet name="County" sheetId="10" state="visible" r:id="rId10"/>
    <sheet name="GP Bridge" sheetId="11" state="visible" r:id="rId11"/>
    <sheet name="Brand Selection" sheetId="12" state="visible" r:id="rId12"/>
    <sheet name="Goal Design" sheetId="13" state="visible" r:id="rId13"/>
    <sheet name="Payout vs Performance" sheetId="14" state="visible" r:id="rId14"/>
    <sheet name="Program Brands" sheetId="15" state="visible" r:id="rId15"/>
    <sheet name="Control Brands" sheetId="16" state="visible" r:id="rId16"/>
    <sheet name="Data - Season" sheetId="17" state="visible" r:id="rId17"/>
    <sheet name="Data - Pre" sheetId="18" state="visible" r:id="rId18"/>
    <sheet name="Data - Control" sheetId="19" state="visible" r:id="rId19"/>
    <sheet name="Data - Accounts" sheetId="20" state="visible" r:id="rId20"/>
    <sheet name="Data - Channel" sheetId="21" state="visible" r:id="rId21"/>
  </sheets>
  <definedNames>
    <definedName name="_xlnm._FilterDatabase" localSheetId="11" hidden="1">'Brand Selection'!$A$4:$K$123</definedName>
    <definedName name="_xlnm._FilterDatabase" localSheetId="12" hidden="1">'Goal Design'!$A$4:$M$141</definedName>
    <definedName name="_xlnm._FilterDatabase" localSheetId="13" hidden="1">'Payout vs Performance'!$A$4:$M$32</definedName>
    <definedName name="_xlnm._FilterDatabase" localSheetId="14" hidden="1">'Program Brands'!$A$5:$V$37</definedName>
    <definedName name="_xlnm._FilterDatabase" localSheetId="15" hidden="1">'Control Brands'!$A$4:$M$296</definedName>
    <definedName name="_xlnm._FilterDatabase" localSheetId="16" hidden="1">'Data - Season'!$A$4:$P$743</definedName>
    <definedName name="_xlnm._FilterDatabase" localSheetId="17" hidden="1">'Data - Pre'!$A$4:$O$36</definedName>
    <definedName name="_xlnm._FilterDatabase" localSheetId="18" hidden="1">'Data - Control'!$A$4:$N$296</definedName>
    <definedName name="_xlnm._FilterDatabase" localSheetId="19" hidden="1">'Data - Accounts'!$A$4:$N$2358</definedName>
    <definedName name="_xlnm._FilterDatabase" localSheetId="20" hidden="1">'Data - Channel'!$A$4:$I$19</definedName>
  </definedNames>
  <calcPr calcId="124519" fullCalcOnLoad="1"/>
</workbook>
</file>

<file path=xl/styles.xml><?xml version="1.0" encoding="utf-8"?>
<styleSheet xmlns="http://schemas.openxmlformats.org/spreadsheetml/2006/main">
  <numFmts count="8">
    <numFmt numFmtId="164" formatCode="#,##0;(#,##0);-"/>
    <numFmt numFmtId="165" formatCode="$#,##0;($#,##0);-"/>
    <numFmt numFmtId="166" formatCode="$#,##0.00;($#,##0.00);-"/>
    <numFmt numFmtId="167" formatCode="0.0%;(0.0%);-"/>
    <numFmt numFmtId="168" formatCode="#,##0.0"/>
    <numFmt numFmtId="169" formatCode="0.00%;(0.00%);-"/>
    <numFmt numFmtId="170" formatCode="+0.0&quot; pts&quot;;(0.0)&quot; pts&quot;;-"/>
    <numFmt numFmtId="171" formatCode="0.00&quot;x&quot;"/>
  </numFmts>
  <fonts count="26">
    <font>
      <name val="Calibri"/>
      <family val="2"/>
      <color theme="1"/>
      <sz val="11"/>
      <scheme val="minor"/>
    </font>
    <font>
      <name val="Arial"/>
      <b val="1"/>
      <color rgb="001F3864"/>
      <sz val="15"/>
    </font>
    <font>
      <name val="Arial"/>
      <color rgb="00595959"/>
      <sz val="9"/>
    </font>
    <font>
      <name val="Arial"/>
      <b val="1"/>
      <color rgb="00FFFFFF"/>
      <sz val="9"/>
    </font>
    <font>
      <name val="Arial"/>
      <color rgb="000000FF"/>
      <sz val="9"/>
    </font>
    <font>
      <name val="Arial"/>
      <sz val="9"/>
    </font>
    <font>
      <name val="Arial"/>
      <b val="1"/>
      <color rgb="001F3864"/>
      <sz val="9"/>
    </font>
    <font>
      <name val="Arial"/>
      <b val="1"/>
      <sz val="10"/>
    </font>
    <font>
      <name val="Arial"/>
      <b val="1"/>
      <sz val="9"/>
    </font>
    <font>
      <name val="Arial"/>
      <b val="1"/>
      <color rgb="001F3864"/>
      <sz val="11"/>
    </font>
    <font>
      <name val="Arial"/>
      <sz val="10"/>
    </font>
    <font>
      <name val="Arial"/>
      <b val="1"/>
      <color rgb="00595959"/>
      <sz val="8"/>
    </font>
    <font>
      <name val="Arial"/>
      <b val="1"/>
      <color rgb="001F3864"/>
      <sz val="12"/>
    </font>
    <font>
      <name val="Arial"/>
      <b val="1"/>
      <sz val="11"/>
    </font>
    <font>
      <name val="Arial"/>
      <b val="1"/>
      <color rgb="00C00000"/>
      <sz val="11"/>
    </font>
    <font>
      <name val="Arial"/>
      <b val="1"/>
      <color rgb="00C00000"/>
      <sz val="10"/>
    </font>
    <font>
      <name val="Arial"/>
      <b val="1"/>
      <i val="1"/>
      <sz val="9"/>
    </font>
    <font>
      <name val="Arial"/>
      <color rgb="00C00000"/>
      <sz val="9"/>
    </font>
    <font>
      <name val="Arial"/>
      <b val="1"/>
      <color rgb="00156B2E"/>
      <sz val="10"/>
    </font>
    <font>
      <name val="Arial"/>
      <b val="1"/>
      <color rgb="00156B2E"/>
      <sz val="12"/>
    </font>
    <font>
      <name val="Arial"/>
      <color rgb="00595959"/>
      <sz val="8"/>
    </font>
    <font>
      <name val="Arial"/>
      <color rgb="000000FF"/>
      <sz val="10"/>
    </font>
    <font>
      <name val="Arial"/>
      <b val="1"/>
      <color rgb="001F3864"/>
      <sz val="18"/>
    </font>
    <font>
      <name val="Arial"/>
      <b val="1"/>
      <color rgb="001F3864"/>
      <sz val="13"/>
    </font>
    <font>
      <name val="Arial"/>
      <color rgb="00156B2E"/>
      <sz val="10"/>
    </font>
    <font>
      <name val="Arial"/>
      <b val="1"/>
      <color rgb="00C00000"/>
      <sz val="12"/>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9">
    <xf numFmtId="0" fontId="0" fillId="0" borderId="0" pivotButton="0" quotePrefix="0" xfId="0"/>
    <xf numFmtId="0" fontId="22" fillId="0" borderId="0" pivotButton="0" quotePrefix="0" xfId="0"/>
    <xf numFmtId="0" fontId="2" fillId="0" borderId="0" pivotButton="0" quotePrefix="0" xfId="0"/>
    <xf numFmtId="0" fontId="23" fillId="0" borderId="0" pivotButton="0" quotePrefix="0" xfId="0"/>
    <xf numFmtId="0" fontId="14" fillId="0" borderId="0" applyAlignment="1" pivotButton="0" quotePrefix="0" xfId="0">
      <alignment vertical="top" wrapText="1"/>
    </xf>
    <xf numFmtId="0" fontId="12" fillId="0" borderId="0" pivotButton="0" quotePrefix="0" xfId="0"/>
    <xf numFmtId="0" fontId="3" fillId="2" borderId="0" applyAlignment="1" pivotButton="0" quotePrefix="0" xfId="0">
      <alignment horizontal="center" vertical="top" wrapText="1"/>
    </xf>
    <xf numFmtId="0" fontId="10" fillId="0" borderId="0" applyAlignment="1" pivotButton="0" quotePrefix="0" xfId="0">
      <alignment vertical="top" wrapText="1"/>
    </xf>
    <xf numFmtId="170" fontId="14" fillId="0" borderId="0" applyAlignment="1" pivotButton="0" quotePrefix="0" xfId="0">
      <alignment horizontal="center" vertical="top"/>
    </xf>
    <xf numFmtId="0" fontId="2" fillId="0" borderId="0" applyAlignment="1" pivotButton="0" quotePrefix="0" xfId="0">
      <alignment vertical="top" wrapText="1"/>
    </xf>
    <xf numFmtId="165" fontId="14" fillId="0" borderId="0" applyAlignment="1" pivotButton="0" quotePrefix="0" xfId="0">
      <alignment horizontal="center" vertical="top"/>
    </xf>
    <xf numFmtId="167" fontId="14" fillId="0" borderId="0" applyAlignment="1" pivotButton="0" quotePrefix="0" xfId="0">
      <alignment horizontal="center" vertical="top"/>
    </xf>
    <xf numFmtId="2" fontId="14" fillId="0" borderId="0" applyAlignment="1" pivotButton="0" quotePrefix="0" xfId="0">
      <alignment horizontal="center" vertical="top"/>
    </xf>
    <xf numFmtId="0" fontId="10" fillId="0" borderId="0" pivotButton="0" quotePrefix="0" xfId="0"/>
    <xf numFmtId="164" fontId="10" fillId="0" borderId="0" pivotButton="0" quotePrefix="0" xfId="0"/>
    <xf numFmtId="167" fontId="10" fillId="0" borderId="0" pivotButton="0" quotePrefix="0" xfId="0"/>
    <xf numFmtId="165" fontId="10" fillId="0" borderId="0" pivotButton="0" quotePrefix="0" xfId="0"/>
    <xf numFmtId="0" fontId="7" fillId="0" borderId="0" pivotButton="0" quotePrefix="0" xfId="0"/>
    <xf numFmtId="165" fontId="7" fillId="0" borderId="0" pivotButton="0" quotePrefix="0" xfId="0"/>
    <xf numFmtId="0" fontId="19" fillId="0" borderId="0" pivotButton="0" quotePrefix="0" xfId="0"/>
    <xf numFmtId="170" fontId="18" fillId="0" borderId="0" pivotButton="0" quotePrefix="0" xfId="0"/>
    <xf numFmtId="170" fontId="24" fillId="0" borderId="0" pivotButton="0" quotePrefix="0" xfId="0"/>
    <xf numFmtId="0" fontId="25" fillId="0" borderId="0" pivotButton="0" quotePrefix="0" xfId="0"/>
    <xf numFmtId="0" fontId="9" fillId="0" borderId="0" pivotButton="0" quotePrefix="0" xfId="0"/>
    <xf numFmtId="0" fontId="1" fillId="0" borderId="0" pivotButton="0" quotePrefix="0" xfId="0"/>
    <xf numFmtId="0" fontId="20" fillId="0" borderId="0" pivotButton="0" quotePrefix="0" xfId="0"/>
    <xf numFmtId="0" fontId="21" fillId="0" borderId="0" pivotButton="0" quotePrefix="0" xfId="0"/>
    <xf numFmtId="0" fontId="14" fillId="0" borderId="0" pivotButton="0" quotePrefix="0" xfId="0"/>
    <xf numFmtId="167" fontId="7" fillId="0" borderId="0" pivotButton="0" quotePrefix="0" xfId="0"/>
    <xf numFmtId="170" fontId="15" fillId="0" borderId="0" pivotButton="0" quotePrefix="0" xfId="0"/>
    <xf numFmtId="164" fontId="7" fillId="0" borderId="0" pivotButton="0" quotePrefix="0" xfId="0"/>
    <xf numFmtId="170" fontId="7" fillId="0" borderId="0" pivotButton="0" quotePrefix="0" xfId="0"/>
    <xf numFmtId="171" fontId="7" fillId="0" borderId="0" pivotButton="0" quotePrefix="0" xfId="0"/>
    <xf numFmtId="164" fontId="5" fillId="0" borderId="0" pivotButton="0" quotePrefix="0" xfId="0"/>
    <xf numFmtId="167" fontId="8" fillId="0" borderId="0" pivotButton="0" quotePrefix="0" xfId="0"/>
    <xf numFmtId="170" fontId="8" fillId="0" borderId="0" pivotButton="0" quotePrefix="0" xfId="0"/>
    <xf numFmtId="165" fontId="5" fillId="0" borderId="0" pivotButton="0" quotePrefix="0" xfId="0"/>
    <xf numFmtId="169" fontId="7" fillId="0" borderId="0" pivotButton="0" quotePrefix="0" xfId="0"/>
    <xf numFmtId="0" fontId="13" fillId="0" borderId="0" pivotButton="0" quotePrefix="0" xfId="0"/>
    <xf numFmtId="170" fontId="14" fillId="0" borderId="0" pivotButton="0" quotePrefix="0" xfId="0"/>
    <xf numFmtId="0" fontId="11" fillId="0" borderId="0" pivotButton="0" quotePrefix="0" xfId="0"/>
    <xf numFmtId="168" fontId="10" fillId="0" borderId="0" pivotButton="0" quotePrefix="0" xfId="0"/>
    <xf numFmtId="164" fontId="2" fillId="0" borderId="0" pivotButton="0" quotePrefix="0" xfId="0"/>
    <xf numFmtId="0" fontId="5" fillId="0" borderId="0" pivotButton="0" quotePrefix="0" xfId="0"/>
    <xf numFmtId="164" fontId="8" fillId="0" borderId="0" pivotButton="0" quotePrefix="0" xfId="0"/>
    <xf numFmtId="167" fontId="5" fillId="0" borderId="0" pivotButton="0" quotePrefix="0" xfId="0"/>
    <xf numFmtId="170" fontId="10" fillId="0" borderId="0" pivotButton="0" quotePrefix="0" xfId="0"/>
    <xf numFmtId="0" fontId="16" fillId="0" borderId="0" pivotButton="0" quotePrefix="0" xfId="0"/>
    <xf numFmtId="165" fontId="8" fillId="0" borderId="0" pivotButton="0" quotePrefix="0" xfId="0"/>
    <xf numFmtId="166" fontId="7" fillId="0" borderId="0" pivotButton="0" quotePrefix="0" xfId="0"/>
    <xf numFmtId="166" fontId="15" fillId="0" borderId="0" pivotButton="0" quotePrefix="0" xfId="0"/>
    <xf numFmtId="0" fontId="6" fillId="0" borderId="0" pivotButton="0" quotePrefix="0" xfId="0"/>
    <xf numFmtId="0" fontId="8" fillId="0" borderId="0" pivotButton="0" quotePrefix="0" xfId="0"/>
    <xf numFmtId="164" fontId="4" fillId="0" borderId="0" pivotButton="0" quotePrefix="0" xfId="0"/>
    <xf numFmtId="0" fontId="17" fillId="0" borderId="0" pivotButton="0" quotePrefix="0" xfId="0"/>
    <xf numFmtId="165" fontId="4" fillId="0" borderId="0" pivotButton="0" quotePrefix="0" xfId="0"/>
    <xf numFmtId="2" fontId="14" fillId="0" borderId="0" pivotButton="0" quotePrefix="0" xfId="0"/>
    <xf numFmtId="166"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G59"/>
  <sheetViews>
    <sheetView showGridLines="0" workbookViewId="0">
      <pane ySplit="8" topLeftCell="A9" activePane="bottomLeft" state="frozen"/>
      <selection pane="bottomLeft" activeCell="A1" sqref="A1"/>
    </sheetView>
  </sheetViews>
  <sheetFormatPr baseColWidth="8" defaultRowHeight="15"/>
  <cols>
    <col width="56" customWidth="1" min="1" max="1"/>
    <col width="16" customWidth="1" min="2" max="2"/>
    <col width="16" customWidth="1" min="3" max="3"/>
    <col width="16" customWidth="1" min="4" max="4"/>
    <col width="14" customWidth="1" min="5" max="5"/>
    <col width="14" customWidth="1" min="6" max="6"/>
    <col width="14" customWidth="1" min="7" max="7"/>
  </cols>
  <sheetData>
    <row r="1">
      <c r="A1" s="1" t="inlineStr">
        <is>
          <t>Summer of Success 2026 — did it work?</t>
        </is>
      </c>
    </row>
    <row r="2">
      <c r="A2" s="2" t="inlineStr">
        <is>
          <t>Jun 1 – Aug 31, 2026 vs 2025 · 28 reps · 10 suppliers · 2,016 accounts · built 09/11/2026</t>
        </is>
      </c>
    </row>
    <row r="4">
      <c r="A4" s="3" t="inlineStr">
        <is>
          <t>THE VERDICT</t>
        </is>
      </c>
    </row>
    <row r="5" ht="20" customHeight="1">
      <c r="A5" s="4" t="inlineStr">
        <is>
          <t>The incentive did not generate measurable incremental volume or gross profit. It paid for a trend that was already running.</t>
        </is>
      </c>
    </row>
    <row r="7">
      <c r="A7" s="5" t="inlineStr">
        <is>
          <t>THE TESTS</t>
        </is>
      </c>
    </row>
    <row r="8" ht="32" customHeight="1">
      <c r="A8" s="6" t="inlineStr">
        <is>
          <t>Test</t>
        </is>
      </c>
      <c r="B8" s="6" t="inlineStr">
        <is>
          <t>Result</t>
        </is>
      </c>
      <c r="C8" s="6" t="inlineStr">
        <is>
          <t>What it means</t>
        </is>
      </c>
      <c r="D8" s="6" t="inlineStr"/>
      <c r="E8" s="6" t="inlineStr"/>
      <c r="F8" s="6" t="inlineStr"/>
      <c r="G8" s="6" t="inlineStr"/>
    </row>
    <row r="9" ht="26" customHeight="1">
      <c r="A9" s="7" t="inlineStr">
        <is>
          <t>1. Did AMPLIFY growth accelerate when the program started?</t>
        </is>
      </c>
      <c r="B9" s="8">
        <f>'Acceleration Test'!H7</f>
        <v/>
      </c>
      <c r="C9" s="9" t="inlineStr">
        <is>
          <t>No. Already +12% before a dollar was offered.</t>
        </is>
      </c>
    </row>
    <row r="10" ht="26" customHeight="1">
      <c r="A10" s="7" t="inlineStr">
        <is>
          <t>1b. Did QUALIFIER volume accelerate?</t>
        </is>
      </c>
      <c r="B10" s="8">
        <f>'Acceleration Test'!H6</f>
        <v/>
      </c>
      <c r="C10" s="9" t="inlineStr">
        <is>
          <t>No — it slowed by nearly three points.</t>
        </is>
      </c>
    </row>
    <row r="11" ht="26" customHeight="1">
      <c r="A11" s="7" t="inlineStr">
        <is>
          <t>2. Amplify GP lift vs its own pre-program trajectory</t>
        </is>
      </c>
      <c r="B11" s="10">
        <f>'Counterfactual'!F12</f>
        <v/>
      </c>
      <c r="C11" s="9" t="inlineStr">
        <is>
          <t>Zero, against the amplify payout.</t>
        </is>
      </c>
    </row>
    <row r="12" ht="26" customHeight="1">
      <c r="A12" s="7" t="inlineStr">
        <is>
          <t>3. Incented vs the same SUPPLIERS' non-incented brands</t>
        </is>
      </c>
      <c r="B12" s="8">
        <f>'Control by Supplier'!H13</f>
        <v/>
      </c>
      <c r="C12" s="9" t="inlineStr">
        <is>
          <t>The incented book lost to the book with no incentive.</t>
        </is>
      </c>
    </row>
    <row r="13" ht="26" customHeight="1">
      <c r="A13" s="7" t="inlineStr">
        <is>
          <t>4. Incented vs non-incented brands in the SAME ACCOUNTS</t>
        </is>
      </c>
      <c r="B13" s="8">
        <f>'Within-Account Control'!D9</f>
        <v/>
      </c>
      <c r="C13" s="9" t="inlineStr">
        <is>
          <t>Same stores, same summer: still no incentive effect.</t>
        </is>
      </c>
    </row>
    <row r="14" ht="26" customHeight="1">
      <c r="A14" s="7" t="inlineStr">
        <is>
          <t>5. Did the program build DISTRIBUTION?</t>
        </is>
      </c>
      <c r="B14" s="11">
        <f>'Distribution'!D7</f>
        <v/>
      </c>
      <c r="C14" s="9" t="inlineStr">
        <is>
          <t>Amplify PODs +4.2% — but +5.5% before the program.</t>
        </is>
      </c>
    </row>
    <row r="15" ht="26" customHeight="1">
      <c r="A15" s="7" t="inlineStr">
        <is>
          <t>6. Were the qualifier goals set above last year?</t>
        </is>
      </c>
      <c r="B15" s="11">
        <f>'Goal Design'!$B$147</f>
        <v/>
      </c>
      <c r="C15" s="9" t="inlineStr">
        <is>
          <t>No — 9 in 10 sat BELOW the rep's own 2025.</t>
        </is>
      </c>
    </row>
    <row r="16" ht="26" customHeight="1">
      <c r="A16" s="7" t="inlineStr">
        <is>
          <t>7. Did payout track performance?</t>
        </is>
      </c>
      <c r="B16" s="12">
        <f>'Payout vs Performance'!$B$36</f>
        <v/>
      </c>
      <c r="C16" s="9" t="inlineStr">
        <is>
          <t>r ≈ 0. Payout did not follow delivery.</t>
        </is>
      </c>
    </row>
    <row r="18">
      <c r="A18" s="5" t="inlineStr">
        <is>
          <t>THE NUMBERS</t>
        </is>
      </c>
    </row>
    <row r="19">
      <c r="A19" s="13" t="inlineStr">
        <is>
          <t>Program cases, Jun–Aug</t>
        </is>
      </c>
      <c r="B19" s="14">
        <f>'Acceleration Test'!F8</f>
        <v/>
      </c>
    </row>
    <row r="20">
      <c r="A20" s="13" t="inlineStr">
        <is>
          <t xml:space="preserve">   vs 2025</t>
        </is>
      </c>
      <c r="B20" s="15">
        <f>'Acceleration Test'!G8</f>
        <v/>
      </c>
    </row>
    <row r="21">
      <c r="A21" s="13" t="inlineStr">
        <is>
          <t>Program gross profit, Jun–Aug</t>
        </is>
      </c>
      <c r="B21" s="16">
        <f>'Acceleration Test'!F13</f>
        <v/>
      </c>
    </row>
    <row r="22">
      <c r="A22" s="13" t="inlineStr">
        <is>
          <t xml:space="preserve">   vs 2025</t>
        </is>
      </c>
      <c r="B22" s="15">
        <f>'Acceleration Test'!G13</f>
        <v/>
      </c>
    </row>
    <row r="23">
      <c r="A23" s="17" t="inlineStr">
        <is>
          <t>Gross profit lift vs pre-program trend</t>
        </is>
      </c>
      <c r="B23" s="18">
        <f>'Counterfactual'!F13</f>
        <v/>
      </c>
    </row>
    <row r="24">
      <c r="A24" s="17" t="inlineStr">
        <is>
          <t>Total payout</t>
        </is>
      </c>
      <c r="B24" s="18">
        <f>Assumptions!$B$7</f>
        <v/>
      </c>
    </row>
    <row r="25">
      <c r="A25" s="17" t="inlineStr">
        <is>
          <t>Net of payout</t>
        </is>
      </c>
      <c r="B25" s="18">
        <f>'Counterfactual'!F13-Assumptions!$B$7</f>
        <v/>
      </c>
    </row>
    <row r="27">
      <c r="A27" s="19" t="inlineStr">
        <is>
          <t>WHAT THE PROGRAM CAN HONESTLY CLAIM</t>
        </is>
      </c>
    </row>
    <row r="28">
      <c r="A28" s="2" t="inlineStr">
        <is>
          <t>Mark Anthony held. Incented White Claw and Cayman Jack fell 5.9% while the same supplier's non-incented brands fell 22.2% — the clearest evidence anywhere here that the incentive changed a rep's behaviour.</t>
        </is>
      </c>
    </row>
    <row r="29">
      <c r="A29" s="2" t="inlineStr">
        <is>
          <t>No volume was bought with discount. Revenue per case held on every growing amplify brand.</t>
        </is>
      </c>
    </row>
    <row r="30">
      <c r="A30" s="2" t="inlineStr">
        <is>
          <t>Distribution did not erode. Qualifier PODs fell only 1.2%, matching the control — reps held their accounts. What fell was rate of sale, which is a market result, not an effort one. That is the fair thing to say about the sales team.</t>
        </is>
      </c>
    </row>
    <row r="31">
      <c r="A31" s="2" t="inlineStr">
        <is>
          <t>Engagement was near-universal: 27 of 28 reps earned something.</t>
        </is>
      </c>
    </row>
    <row r="33">
      <c r="A33" s="19" t="inlineStr">
        <is>
          <t>AND ONE PLACE IT ACTUALLY WORKED</t>
        </is>
      </c>
    </row>
    <row r="34">
      <c r="A34" s="17" t="inlineStr">
        <is>
          <t>On-premise — Amplify swing vs its own pre-program rate</t>
        </is>
      </c>
      <c r="B34" s="20">
        <f>'Channel'!E8</f>
        <v/>
      </c>
    </row>
    <row r="35">
      <c r="A35" s="13" t="inlineStr">
        <is>
          <t>On-premise — Qualifier swing</t>
        </is>
      </c>
      <c r="B35" s="21">
        <f>'Channel'!E7</f>
        <v/>
      </c>
    </row>
    <row r="36">
      <c r="A36" s="2" t="inlineStr">
        <is>
          <t>On-premise is the only cut in this workbook where the program accelerated — the only positive swings anywhere. It is about 11% of program volume, and even there the incented brands still trailed that channel's non-incented brands.</t>
        </is>
      </c>
    </row>
    <row r="37">
      <c r="A37" s="2" t="inlineStr">
        <is>
          <t>It is the one version of this incentive the data gives any reason to run again: smaller, and weighted on-premise. See the Channel tab.</t>
        </is>
      </c>
    </row>
    <row r="39">
      <c r="A39" s="5" t="inlineStr">
        <is>
          <t>THE TWO FINDINGS THAT MATTER FOR 2027</t>
        </is>
      </c>
    </row>
    <row r="40">
      <c r="A40" s="2" t="inlineStr">
        <is>
          <t>1. BRAND SELECTION decided the outcome. Boston Beer: the program paid reps to push Twisted Tea (-7,585 cases) and Truly (-3,111), both in structural decline, while Sun Cruiser — no incentive — grew 13,728 cases and $237,182 of GP with the same reps in the same summer.</t>
        </is>
      </c>
    </row>
    <row r="41">
      <c r="A41" s="2" t="inlineStr">
        <is>
          <t>2. GOAL DESIGN guaranteed payout regardless. 126 of 137 qualifier goals were set below that rep's own 2025 volume; the aggregate goal asked for 2.5% LESS than last year.</t>
        </is>
      </c>
    </row>
    <row r="42">
      <c r="A42" s="2" t="inlineStr">
        <is>
          <t>Together they explain the zero correlation between payout and performance: the program paid for goals that were already met, on brands that were already moving — or already falling.</t>
        </is>
      </c>
    </row>
    <row r="43">
      <c r="A43" s="2" t="inlineStr">
        <is>
          <t>Recommendation: screen candidate brands on their own trailing trajectory before attaching a dollar, and set qualifier goals above prior-year actual. A brand already growing does not need the money; a brand in structural decline will not be saved by it.</t>
        </is>
      </c>
    </row>
    <row r="45">
      <c r="A45" s="22" t="inlineStr">
        <is>
          <t>AND ONE THING TO WATCH</t>
        </is>
      </c>
    </row>
    <row r="46">
      <c r="A46" s="2" t="inlineStr">
        <is>
          <t>The amplify gain is concentrated: the top 10 accounts produced 37% of it and the top 100 produced 90%, out of 1,847 accounts buying those brands. Most of it sits in BJ's, Super Wine Warehouse, Beverage Barn, Total Wine and Sam's Club.</t>
        </is>
      </c>
    </row>
    <row r="47">
      <c r="A47" s="2" t="inlineStr">
        <is>
          <t>Volume in those doors moves on chain decisions and warehouse display buys negotiated above the rep. A per-case incentive paid to 28 reps is not the lever that produced it.</t>
        </is>
      </c>
    </row>
    <row r="49">
      <c r="A49" s="22" t="inlineStr">
        <is>
          <t>WHAT THIS CANNOT TELL YOU</t>
        </is>
      </c>
    </row>
    <row r="50">
      <c r="A50" s="2" t="inlineStr">
        <is>
          <t>Whether the payout is Kohler's cost or supplier billback — nothing in the expense tracker names this program.</t>
        </is>
      </c>
    </row>
    <row r="51">
      <c r="A51" s="2" t="inlineStr">
        <is>
          <t>A formal difference-in-differences: three of the four cells are here; a Jan–May pull of the control set completes it.</t>
        </is>
      </c>
    </row>
    <row r="52">
      <c r="A52" s="2" t="inlineStr">
        <is>
          <t>Whether September gave any of it back.</t>
        </is>
      </c>
    </row>
    <row r="55">
      <c r="A55" s="23" t="inlineStr">
        <is>
          <t>TAB GUIDE</t>
        </is>
      </c>
    </row>
    <row r="56">
      <c r="A56" s="2" t="inlineStr">
        <is>
          <t>Assumptions — cost, periods, open items.   Acceleration Test · Counterfactual · Control by Supplier · Within-Account Control — the four controls, weakest to strongest.</t>
        </is>
      </c>
    </row>
    <row r="57">
      <c r="A57" s="2" t="inlineStr">
        <is>
          <t>Distribution — PODs, new/lost placements, distribution vs rate of sale.   Account Concentration — how few doors produced the gain.   County — geography.</t>
        </is>
      </c>
    </row>
    <row r="58">
      <c r="A58" s="2" t="inlineStr">
        <is>
          <t>GP Bridge — where the gross profit change came from.   Brand Selection — the Boston Beer finding.   Goal Design — how the goals were set.   Payout vs Performance — who earned what against what they delivered.</t>
        </is>
      </c>
    </row>
    <row r="59">
      <c r="A59" s="2" t="inlineStr">
        <is>
          <t>Program Brands / Control Brands — the engines.   Data - Season / Pre / Control / Accounts — the exports. Replace a Data tab and everything recalculates.</t>
        </is>
      </c>
    </row>
  </sheetData>
  <mergeCells count="9">
    <mergeCell ref="C12:G12"/>
    <mergeCell ref="C10:G10"/>
    <mergeCell ref="C16:G16"/>
    <mergeCell ref="C15:G15"/>
    <mergeCell ref="C11:G11"/>
    <mergeCell ref="C14:G14"/>
    <mergeCell ref="C13:G13"/>
    <mergeCell ref="C9:G9"/>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48" customWidth="1" min="1" max="1"/>
    <col width="18" customWidth="1" min="2" max="2"/>
    <col width="46" customWidth="1" min="3" max="3"/>
    <col width="16" customWidth="1" min="4" max="4"/>
    <col width="16" customWidth="1" min="5" max="5"/>
  </cols>
  <sheetData>
    <row r="1">
      <c r="A1" s="24" t="inlineStr">
        <is>
          <t>Assumptions, constants and open items</t>
        </is>
      </c>
    </row>
    <row r="2">
      <c r="A2" s="2" t="inlineStr">
        <is>
          <t>Blue = typed in. Every other tab is formulas off these cells and the Data tabs.</t>
        </is>
      </c>
    </row>
    <row r="4">
      <c r="A4" s="23" t="inlineStr">
        <is>
          <t>PROGRAM COST</t>
        </is>
      </c>
    </row>
    <row r="5">
      <c r="A5" s="13" t="inlineStr">
        <is>
          <t>Tier payouts earned</t>
        </is>
      </c>
      <c r="B5" s="16">
        <f>'Payout vs Performance'!C33</f>
        <v/>
      </c>
      <c r="C5" s="25" t="inlineStr">
        <is>
          <t>Summer_of_Success_Recap_vF.xlsx → Rep Totals</t>
        </is>
      </c>
    </row>
    <row r="6">
      <c r="A6" s="13" t="inlineStr">
        <is>
          <t>Amplify payouts earned</t>
        </is>
      </c>
      <c r="B6" s="16">
        <f>'Payout vs Performance'!D33</f>
        <v/>
      </c>
      <c r="C6" s="25" t="inlineStr">
        <is>
          <t>Summer_of_Success_Recap_vF.xlsx → Rep Totals</t>
        </is>
      </c>
    </row>
    <row r="7">
      <c r="A7" s="17" t="inlineStr">
        <is>
          <t>Total payout</t>
        </is>
      </c>
      <c r="B7" s="18">
        <f>SUM(B5:B6)</f>
        <v/>
      </c>
    </row>
    <row r="8">
      <c r="A8" s="13" t="inlineStr">
        <is>
          <t>Reps earning &gt; $0  /  reps in the program</t>
        </is>
      </c>
      <c r="B8" s="13">
        <f>COUNTIF('Payout vs Performance'!$E$5:$E$32,"&gt;0")&amp;" of "&amp;28</f>
        <v/>
      </c>
    </row>
    <row r="10">
      <c r="A10" s="23" t="inlineStr">
        <is>
          <t>PERIODS AND DATA</t>
        </is>
      </c>
    </row>
    <row r="11">
      <c r="A11" s="13" t="inlineStr">
        <is>
          <t>Pre-program baseline</t>
        </is>
      </c>
      <c r="B11" s="26" t="inlineStr">
        <is>
          <t>Jan 1 – May 31, 2026 vs 2025</t>
        </is>
      </c>
    </row>
    <row r="12">
      <c r="A12" s="13" t="inlineStr">
        <is>
          <t>Program period</t>
        </is>
      </c>
      <c r="B12" s="26" t="inlineStr">
        <is>
          <t>Jun 1 – Aug 31, 2026 vs 2025</t>
        </is>
      </c>
    </row>
    <row r="13">
      <c r="A13" s="13" t="inlineStr">
        <is>
          <t>Control</t>
        </is>
      </c>
      <c r="B13" s="26" t="inlineStr">
        <is>
          <t>Jun 1 – Aug 31, brands NOT in Summer of Success</t>
        </is>
      </c>
    </row>
    <row r="14">
      <c r="A14" s="13" t="inlineStr">
        <is>
          <t>Grain of the source exports</t>
        </is>
      </c>
      <c r="B14" s="26" t="inlineStr">
        <is>
          <t>rep × supplier × brand × ACCOUNT × county</t>
        </is>
      </c>
    </row>
    <row r="15">
      <c r="A15" s="13" t="inlineStr">
        <is>
          <t>Accounts / counties in the program</t>
        </is>
      </c>
      <c r="B15" s="26" t="inlineStr">
        <is>
          <t>2,016 / 9</t>
        </is>
      </c>
    </row>
    <row r="16">
      <c r="A16" s="13" t="inlineStr">
        <is>
          <t>Payout model</t>
        </is>
      </c>
      <c r="B16" s="26" t="inlineStr">
        <is>
          <t>Summer_of_Success_Recap_vF.xlsx (final)</t>
        </is>
      </c>
    </row>
    <row r="18">
      <c r="A18" s="23" t="inlineStr">
        <is>
          <t>PAYOUT MODEL RULES (from the vF recap)</t>
        </is>
      </c>
    </row>
    <row r="19">
      <c r="A19" s="2" t="inlineStr">
        <is>
          <t>Qualifier — a rep clears a supplier at 100% of their own personal goal; the tier is then read off the route-volume grid. Tier payouts: T1 $750 · T2 $500 · T3 $250.</t>
        </is>
      </c>
    </row>
    <row r="20">
      <c r="A20" s="2" t="inlineStr">
        <is>
          <t>Amplify — pays only on cases ABOVE each brand's goal, per brand, at $1/case ($2 for Fever Tree, Mike's Harder, MXD). 90%–99.99% of the qualifier goal earns half rate and no tier; below 90% earns nothing.</t>
        </is>
      </c>
    </row>
    <row r="21">
      <c r="A21" s="2" t="inlineStr">
        <is>
          <t>Excluded to match the dashboard and the recap: Default, Office Tell Sell, Chris Politano.</t>
        </is>
      </c>
    </row>
    <row r="23">
      <c r="A23" s="27" t="inlineStr">
        <is>
          <t>⚠ OPEN ITEMS — these move the cost side, not the lift finding</t>
        </is>
      </c>
    </row>
    <row r="24">
      <c r="A24" s="2" t="inlineStr">
        <is>
          <t>a) FUNDING — no Summer of Success line appears in supplier-budget/expenses.csv. If the suppliers billback the payout, Kohler's cost is near zero and the finding becomes opportunity cost rather than spend. This is the one open item worth resolving before the meeting.</t>
        </is>
      </c>
    </row>
    <row r="25">
      <c r="A25" s="2" t="inlineStr">
        <is>
          <t>b) TIER BASIS — the deck writes thresholds as "+25,000 CE's". If "+" means GROWTH over 2025 rather than total 2026 CE, almost no one clears Tier 1 and the tier line largely disappears.</t>
        </is>
      </c>
    </row>
    <row r="26">
      <c r="A26" s="2" t="inlineStr">
        <is>
          <t>c) PER REP vs HOUSE — summer26/README.txt describes the same grid as a company-wide aggregate; the recap applies it per rep, as instructed.</t>
        </is>
      </c>
    </row>
    <row r="27">
      <c r="A27" s="2" t="inlineStr">
        <is>
          <t>d) The control set is "brands not in SoS," so it contains non-incented brands from the SAME suppliers and the SAME accounts. That is what makes the within-supplier and within-account tests possible.</t>
        </is>
      </c>
    </row>
    <row r="28">
      <c r="A28" s="2" t="inlineStr">
        <is>
          <t>e) STILL MISSING — a Jan–May pull of the control set (completes a formal difference-in-differences) and September actuals (tests for pull-forward).</t>
        </is>
      </c>
    </row>
    <row r="29">
      <c r="A29" s="2" t="inlineStr">
        <is>
          <t>f) The account-level exports total about 0.02% more cases than the brand-level exports for the same window — rounding in RDE's aggregation. It moves nothing in this 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34" customWidth="1" min="1" max="1"/>
    <col width="15" customWidth="1" min="2" max="2"/>
    <col width="15" customWidth="1" min="3" max="3"/>
    <col width="13" customWidth="1" min="4" max="4"/>
    <col width="15" customWidth="1" min="5" max="5"/>
    <col width="15" customWidth="1" min="6" max="6"/>
    <col width="13" customWidth="1" min="7" max="7"/>
    <col width="13" customWidth="1" min="8" max="8"/>
  </cols>
  <sheetData>
    <row r="1">
      <c r="A1" s="24" t="inlineStr">
        <is>
          <t>Test 1 — did growth accelerate once the program started?</t>
        </is>
      </c>
    </row>
    <row r="2">
      <c r="A2" s="2" t="inlineStr">
        <is>
          <t>If the incentive worked, Jun–Aug growth should exceed the Jan–May rate the same brands were already running.</t>
        </is>
      </c>
    </row>
    <row r="4" ht="32" customHeight="1">
      <c r="A4" s="6" t="inlineStr"/>
      <c r="B4" s="6" t="inlineStr">
        <is>
          <t>Jan–May 2025</t>
        </is>
      </c>
      <c r="C4" s="6" t="inlineStr">
        <is>
          <t>Jan–May 2026</t>
        </is>
      </c>
      <c r="D4" s="6" t="inlineStr">
        <is>
          <t>Jan–May %</t>
        </is>
      </c>
      <c r="E4" s="6" t="inlineStr">
        <is>
          <t>Jun–Aug 2025</t>
        </is>
      </c>
      <c r="F4" s="6" t="inlineStr">
        <is>
          <t>Jun–Aug 2026</t>
        </is>
      </c>
      <c r="G4" s="6" t="inlineStr">
        <is>
          <t>Jun–Aug %</t>
        </is>
      </c>
      <c r="H4" s="6" t="inlineStr">
        <is>
          <t>Swing</t>
        </is>
      </c>
    </row>
    <row r="5">
      <c r="A5" s="23" t="inlineStr">
        <is>
          <t>CASE EQUIVALENTS</t>
        </is>
      </c>
    </row>
    <row r="6">
      <c r="A6" s="13" t="inlineStr">
        <is>
          <t>Qualifier brands</t>
        </is>
      </c>
      <c r="B6" s="14">
        <f>SUMIFS('Program Brands'!$J$6:$J$37,'Program Brands'!$A$6:$A$37,"Qualifier")</f>
        <v/>
      </c>
      <c r="C6" s="14">
        <f>SUMIFS('Program Brands'!$K$6:$K$37,'Program Brands'!$A$6:$A$37,"Qualifier")</f>
        <v/>
      </c>
      <c r="D6" s="28">
        <f>IFERROR(C6/B6-1,"")</f>
        <v/>
      </c>
      <c r="E6" s="14">
        <f>SUMIFS('Program Brands'!$D$6:$D$37,'Program Brands'!$A$6:$A$37,"Qualifier")</f>
        <v/>
      </c>
      <c r="F6" s="14">
        <f>SUMIFS('Program Brands'!$E$6:$E$37,'Program Brands'!$A$6:$A$37,"Qualifier")</f>
        <v/>
      </c>
      <c r="G6" s="28">
        <f>IFERROR(F6/E6-1,"")</f>
        <v/>
      </c>
      <c r="H6" s="29">
        <f>IFERROR(G6-D6,"")</f>
        <v/>
      </c>
    </row>
    <row r="7">
      <c r="A7" s="13" t="inlineStr">
        <is>
          <t>Amplify brands</t>
        </is>
      </c>
      <c r="B7" s="14">
        <f>SUMIFS('Program Brands'!$J$6:$J$37,'Program Brands'!$A$6:$A$37,"Amplify")</f>
        <v/>
      </c>
      <c r="C7" s="14">
        <f>SUMIFS('Program Brands'!$K$6:$K$37,'Program Brands'!$A$6:$A$37,"Amplify")</f>
        <v/>
      </c>
      <c r="D7" s="28">
        <f>IFERROR(C7/B7-1,"")</f>
        <v/>
      </c>
      <c r="E7" s="14">
        <f>SUMIFS('Program Brands'!$D$6:$D$37,'Program Brands'!$A$6:$A$37,"Amplify")</f>
        <v/>
      </c>
      <c r="F7" s="14">
        <f>SUMIFS('Program Brands'!$E$6:$E$37,'Program Brands'!$A$6:$A$37,"Amplify")</f>
        <v/>
      </c>
      <c r="G7" s="28">
        <f>IFERROR(F7/E7-1,"")</f>
        <v/>
      </c>
      <c r="H7" s="29">
        <f>IFERROR(G7-D7,"")</f>
        <v/>
      </c>
    </row>
    <row r="8">
      <c r="A8" s="17" t="inlineStr">
        <is>
          <t>All program brands</t>
        </is>
      </c>
      <c r="B8" s="30">
        <f>SUM(B6:B7)</f>
        <v/>
      </c>
      <c r="C8" s="30">
        <f>SUM(C6:C7)</f>
        <v/>
      </c>
      <c r="D8" s="28">
        <f>IFERROR(C8/B8-1,"")</f>
        <v/>
      </c>
      <c r="E8" s="30">
        <f>SUM(E6:E7)</f>
        <v/>
      </c>
      <c r="F8" s="30">
        <f>SUM(F6:F7)</f>
        <v/>
      </c>
      <c r="G8" s="28">
        <f>IFERROR(F8/E8-1,"")</f>
        <v/>
      </c>
      <c r="H8" s="31">
        <f>IFERROR(G8-D8,"")</f>
        <v/>
      </c>
    </row>
    <row r="10">
      <c r="A10" s="23" t="inlineStr">
        <is>
          <t>GROSS PROFIT</t>
        </is>
      </c>
    </row>
    <row r="11">
      <c r="A11" s="13" t="inlineStr">
        <is>
          <t>Qualifier brands</t>
        </is>
      </c>
      <c r="B11" s="16">
        <f>SUMIFS('Program Brands'!$L$6:$L$37,'Program Brands'!$A$6:$A$37,"Qualifier")</f>
        <v/>
      </c>
      <c r="C11" s="16">
        <f>SUMIFS('Program Brands'!$M$6:$M$37,'Program Brands'!$A$6:$A$37,"Qualifier")</f>
        <v/>
      </c>
      <c r="D11" s="28">
        <f>IFERROR(C11/B11-1,"")</f>
        <v/>
      </c>
      <c r="E11" s="16">
        <f>SUMIFS('Program Brands'!$H$6:$H$37,'Program Brands'!$A$6:$A$37,"Qualifier")</f>
        <v/>
      </c>
      <c r="F11" s="16">
        <f>SUMIFS('Program Brands'!$I$6:$I$37,'Program Brands'!$A$6:$A$37,"Qualifier")</f>
        <v/>
      </c>
      <c r="G11" s="28">
        <f>IFERROR(F11/E11-1,"")</f>
        <v/>
      </c>
      <c r="H11" s="29">
        <f>IFERROR(G11-D11,"")</f>
        <v/>
      </c>
    </row>
    <row r="12">
      <c r="A12" s="13" t="inlineStr">
        <is>
          <t>Amplify brands</t>
        </is>
      </c>
      <c r="B12" s="16">
        <f>SUMIFS('Program Brands'!$L$6:$L$37,'Program Brands'!$A$6:$A$37,"Amplify")</f>
        <v/>
      </c>
      <c r="C12" s="16">
        <f>SUMIFS('Program Brands'!$M$6:$M$37,'Program Brands'!$A$6:$A$37,"Amplify")</f>
        <v/>
      </c>
      <c r="D12" s="28">
        <f>IFERROR(C12/B12-1,"")</f>
        <v/>
      </c>
      <c r="E12" s="16">
        <f>SUMIFS('Program Brands'!$H$6:$H$37,'Program Brands'!$A$6:$A$37,"Amplify")</f>
        <v/>
      </c>
      <c r="F12" s="16">
        <f>SUMIFS('Program Brands'!$I$6:$I$37,'Program Brands'!$A$6:$A$37,"Amplify")</f>
        <v/>
      </c>
      <c r="G12" s="28">
        <f>IFERROR(F12/E12-1,"")</f>
        <v/>
      </c>
      <c r="H12" s="29">
        <f>IFERROR(G12-D12,"")</f>
        <v/>
      </c>
    </row>
    <row r="13">
      <c r="A13" s="17" t="inlineStr">
        <is>
          <t>All program brands</t>
        </is>
      </c>
      <c r="B13" s="18">
        <f>SUM(B11:B12)</f>
        <v/>
      </c>
      <c r="C13" s="18">
        <f>SUM(C11:C12)</f>
        <v/>
      </c>
      <c r="D13" s="28">
        <f>IFERROR(C13/B13-1,"")</f>
        <v/>
      </c>
      <c r="E13" s="18">
        <f>SUM(E11:E12)</f>
        <v/>
      </c>
      <c r="F13" s="18">
        <f>SUM(F11:F12)</f>
        <v/>
      </c>
      <c r="G13" s="28">
        <f>IFERROR(F13/E13-1,"")</f>
        <v/>
      </c>
      <c r="H13" s="31">
        <f>IFERROR(G13-D13,"")</f>
        <v/>
      </c>
    </row>
    <row r="15">
      <c r="A15" s="5" t="inlineStr">
        <is>
          <t>HOW TO READ THIS</t>
        </is>
      </c>
    </row>
    <row r="16">
      <c r="A16" s="2" t="inlineStr">
        <is>
          <t>The Swing column is the test: Jun–Aug growth rate minus Jan–May growth rate. A positive swing is the signature of an incentive that changed behaviour.</t>
        </is>
      </c>
    </row>
    <row r="17">
      <c r="A17" s="2" t="inlineStr">
        <is>
          <t>Amplify entered the summer already growing double digits and did not speed up. Qualifier volume slowed by nearly three points.</t>
        </is>
      </c>
    </row>
    <row r="18">
      <c r="A18" s="2" t="inlineStr">
        <is>
          <t>Jan–May and Jun–Aug are different seasons, so each period is measured against its OWN prior year — that removes seasonality from the rates being compared. What it cannot remove is a change in the market between the two windows; the control tabs handle that.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36" customWidth="1" min="1" max="1"/>
    <col width="17" customWidth="1" min="2" max="2"/>
    <col width="17" customWidth="1" min="3" max="3"/>
    <col width="17" customWidth="1" min="4" max="4"/>
    <col width="17" customWidth="1" min="5" max="5"/>
    <col width="17" customWidth="1" min="6" max="6"/>
  </cols>
  <sheetData>
    <row r="1">
      <c r="A1" s="24" t="inlineStr">
        <is>
          <t>Test 2 — measured lift against the pre-program trajectory</t>
        </is>
      </c>
    </row>
    <row r="2">
      <c r="A2" s="2" t="inlineStr">
        <is>
          <t>Applies each segment's Jan–May growth rate to its Jun–Aug 2025 base. The gap to what actually happened is the lift the program can claim.</t>
        </is>
      </c>
    </row>
    <row r="4" ht="32" customHeight="1">
      <c r="A4" s="6" t="inlineStr"/>
      <c r="B4" s="6" t="inlineStr">
        <is>
          <t>Jan–May run rate</t>
        </is>
      </c>
      <c r="C4" s="6" t="inlineStr">
        <is>
          <t>Jun–Aug 2025 base</t>
        </is>
      </c>
      <c r="D4" s="6" t="inlineStr">
        <is>
          <t>Expected Jun–Aug</t>
        </is>
      </c>
      <c r="E4" s="6" t="inlineStr">
        <is>
          <t>Actual Jun–Aug</t>
        </is>
      </c>
      <c r="F4" s="6" t="inlineStr">
        <is>
          <t>Lift vs trend</t>
        </is>
      </c>
    </row>
    <row r="5">
      <c r="A5" s="23" t="inlineStr">
        <is>
          <t>CASE EQUIVALENTS</t>
        </is>
      </c>
    </row>
    <row r="6">
      <c r="A6" s="13" t="inlineStr">
        <is>
          <t>Qualifier brands</t>
        </is>
      </c>
      <c r="B6" s="15">
        <f>'Acceleration Test'!D6</f>
        <v/>
      </c>
      <c r="C6" s="14">
        <f>'Acceleration Test'!E6</f>
        <v/>
      </c>
      <c r="D6" s="14">
        <f>C6*(1+B6)</f>
        <v/>
      </c>
      <c r="E6" s="14">
        <f>'Acceleration Test'!F6</f>
        <v/>
      </c>
      <c r="F6" s="30">
        <f>E6-D6</f>
        <v/>
      </c>
    </row>
    <row r="7">
      <c r="A7" s="13" t="inlineStr">
        <is>
          <t>Amplify brands</t>
        </is>
      </c>
      <c r="B7" s="15">
        <f>'Acceleration Test'!D7</f>
        <v/>
      </c>
      <c r="C7" s="14">
        <f>'Acceleration Test'!E7</f>
        <v/>
      </c>
      <c r="D7" s="14">
        <f>C7*(1+B7)</f>
        <v/>
      </c>
      <c r="E7" s="14">
        <f>'Acceleration Test'!F7</f>
        <v/>
      </c>
      <c r="F7" s="30">
        <f>E7-D7</f>
        <v/>
      </c>
    </row>
    <row r="8">
      <c r="A8" s="17" t="inlineStr">
        <is>
          <t>TOTAL</t>
        </is>
      </c>
      <c r="C8" s="30">
        <f>SUM(C6:C7)</f>
        <v/>
      </c>
      <c r="D8" s="30">
        <f>SUM(D6:D7)</f>
        <v/>
      </c>
      <c r="E8" s="30">
        <f>SUM(E6:E7)</f>
        <v/>
      </c>
      <c r="F8" s="30">
        <f>SUM(F6:F7)</f>
        <v/>
      </c>
    </row>
    <row r="10">
      <c r="A10" s="23" t="inlineStr">
        <is>
          <t>GROSS PROFIT</t>
        </is>
      </c>
    </row>
    <row r="11">
      <c r="A11" s="13" t="inlineStr">
        <is>
          <t>Qualifier brands</t>
        </is>
      </c>
      <c r="B11" s="15">
        <f>'Acceleration Test'!D11</f>
        <v/>
      </c>
      <c r="C11" s="16">
        <f>'Acceleration Test'!E11</f>
        <v/>
      </c>
      <c r="D11" s="16">
        <f>C11*(1+B11)</f>
        <v/>
      </c>
      <c r="E11" s="16">
        <f>'Acceleration Test'!F11</f>
        <v/>
      </c>
      <c r="F11" s="18">
        <f>E11-D11</f>
        <v/>
      </c>
    </row>
    <row r="12">
      <c r="A12" s="13" t="inlineStr">
        <is>
          <t>Amplify brands</t>
        </is>
      </c>
      <c r="B12" s="15">
        <f>'Acceleration Test'!D12</f>
        <v/>
      </c>
      <c r="C12" s="16">
        <f>'Acceleration Test'!E12</f>
        <v/>
      </c>
      <c r="D12" s="16">
        <f>C12*(1+B12)</f>
        <v/>
      </c>
      <c r="E12" s="16">
        <f>'Acceleration Test'!F12</f>
        <v/>
      </c>
      <c r="F12" s="18">
        <f>E12-D12</f>
        <v/>
      </c>
    </row>
    <row r="13">
      <c r="A13" s="17" t="inlineStr">
        <is>
          <t>TOTAL</t>
        </is>
      </c>
      <c r="C13" s="18">
        <f>SUM(C11:C12)</f>
        <v/>
      </c>
      <c r="D13" s="18">
        <f>SUM(D11:D12)</f>
        <v/>
      </c>
      <c r="E13" s="18">
        <f>SUM(E11:E12)</f>
        <v/>
      </c>
      <c r="F13" s="18">
        <f>SUM(F11:F12)</f>
        <v/>
      </c>
    </row>
    <row r="15">
      <c r="A15" s="5" t="inlineStr">
        <is>
          <t>THE BOTTOM LINE</t>
        </is>
      </c>
    </row>
    <row r="16">
      <c r="A16" s="17" t="inlineStr">
        <is>
          <t>Gross profit lift vs pre-program trend</t>
        </is>
      </c>
      <c r="B16" s="18">
        <f>F13</f>
        <v/>
      </c>
    </row>
    <row r="17">
      <c r="A17" s="13" t="inlineStr">
        <is>
          <t>Case lift vs pre-program trend</t>
        </is>
      </c>
      <c r="B17" s="14">
        <f>F8</f>
        <v/>
      </c>
    </row>
    <row r="18">
      <c r="A18" s="17" t="inlineStr">
        <is>
          <t>Amplify GP lift alone (what the per-case payout targets)</t>
        </is>
      </c>
      <c r="B18" s="18">
        <f>F12</f>
        <v/>
      </c>
    </row>
    <row r="19">
      <c r="A19" s="13" t="inlineStr">
        <is>
          <t>Total payout</t>
        </is>
      </c>
      <c r="B19" s="16">
        <f>Assumptions!$B$7</f>
        <v/>
      </c>
    </row>
    <row r="20">
      <c r="A20" s="17" t="inlineStr">
        <is>
          <t>Net of payout</t>
        </is>
      </c>
      <c r="B20" s="18">
        <f>F13-Assumptions!$B$7</f>
        <v/>
      </c>
    </row>
    <row r="21">
      <c r="A21" s="17" t="inlineStr">
        <is>
          <t>Return per payout dollar</t>
        </is>
      </c>
      <c r="B21" s="32">
        <f>IFERROR(F13/Assumptions!$B$7,"")</f>
        <v/>
      </c>
    </row>
    <row r="23">
      <c r="A23" s="2" t="inlineStr">
        <is>
          <t>Read the Amplify line first: it is the segment the per-case payout actually targets, and it landed within a rounding error of the trajectory it was already on.</t>
        </is>
      </c>
    </row>
    <row r="24">
      <c r="A24" s="2" t="inlineStr">
        <is>
          <t>The Qualifier GP line reads positive, but the GP Bridge and control tabs show why that is not program lift — it is a house-wide margin expansion the non-incented book captured far more of, per case.</t>
        </is>
      </c>
    </row>
    <row r="25">
      <c r="A25" s="2" t="inlineStr">
        <is>
          <t>A trend extrapolation assumes the Jan–May trajectory would have continued. The control tabs test that assumption directly, and agree.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showGridLines="0" workbookViewId="0">
      <pane ySplit="4" topLeftCell="A5" activePane="bottomLeft" state="frozen"/>
      <selection pane="bottomLeft" activeCell="A1" sqref="A1"/>
    </sheetView>
  </sheetViews>
  <sheetFormatPr baseColWidth="8" defaultRowHeight="15"/>
  <cols>
    <col width="30" customWidth="1" min="1" max="1"/>
    <col width="14" customWidth="1" min="2" max="2"/>
    <col width="14" customWidth="1" min="3" max="3"/>
    <col width="12" customWidth="1" min="4" max="4"/>
    <col width="15" customWidth="1" min="5" max="5"/>
    <col width="15" customWidth="1" min="6" max="6"/>
    <col width="13" customWidth="1" min="7" max="7"/>
    <col width="11" customWidth="1" min="8" max="8"/>
    <col width="14" customWidth="1" min="9" max="9"/>
    <col width="15" customWidth="1" min="10" max="10"/>
  </cols>
  <sheetData>
    <row r="1">
      <c r="A1" s="24" t="inlineStr">
        <is>
          <t>Test 3 — incented brands vs the SAME supplier's non-incented brands</t>
        </is>
      </c>
    </row>
    <row r="2">
      <c r="A2" s="2" t="inlineStr">
        <is>
          <t>Jun–Aug, same reps, same window, same pricing environment. The only difference between the two halves is whether a payout was attached.</t>
        </is>
      </c>
    </row>
    <row r="4" ht="32" customHeight="1">
      <c r="A4" s="6" t="inlineStr">
        <is>
          <t>Supplier</t>
        </is>
      </c>
      <c r="B4" s="6" t="inlineStr">
        <is>
          <t>Incented CE 2025</t>
        </is>
      </c>
      <c r="C4" s="6" t="inlineStr">
        <is>
          <t>Incented CE 2026</t>
        </is>
      </c>
      <c r="D4" s="6" t="inlineStr">
        <is>
          <t>Incented %</t>
        </is>
      </c>
      <c r="E4" s="6" t="inlineStr">
        <is>
          <t>Not incented CE 2025</t>
        </is>
      </c>
      <c r="F4" s="6" t="inlineStr">
        <is>
          <t>Not incented CE 2026</t>
        </is>
      </c>
      <c r="G4" s="6" t="inlineStr">
        <is>
          <t>Not incented %</t>
        </is>
      </c>
      <c r="H4" s="6" t="inlineStr">
        <is>
          <t>Gap (pts)</t>
        </is>
      </c>
      <c r="I4" s="6" t="inlineStr">
        <is>
          <t>Incented GP Δ</t>
        </is>
      </c>
      <c r="J4" s="6" t="inlineStr">
        <is>
          <t>Not incented GP Δ</t>
        </is>
      </c>
    </row>
    <row r="5">
      <c r="A5" s="13" t="inlineStr">
        <is>
          <t>Bell's</t>
        </is>
      </c>
      <c r="B5" s="33">
        <f>SUMIFS('Program Brands'!$D$6:$D$37,'Program Brands'!$B$6:$B$37,$A5)</f>
        <v/>
      </c>
      <c r="C5" s="33">
        <f>SUMIFS('Program Brands'!$E$6:$E$37,'Program Brands'!$B$6:$B$37,$A5)</f>
        <v/>
      </c>
      <c r="D5" s="34">
        <f>IFERROR(C5/B5-1,"")</f>
        <v/>
      </c>
      <c r="E5" s="33">
        <f>SUMIFS('Control Brands'!$C$5:$C$296,'Control Brands'!$A$5:$A$296,$A5)</f>
        <v/>
      </c>
      <c r="F5" s="33">
        <f>SUMIFS('Control Brands'!$D$5:$D$296,'Control Brands'!$A$5:$A$296,$A5)</f>
        <v/>
      </c>
      <c r="G5" s="34">
        <f>IFERROR(F5/E5-1,"")</f>
        <v/>
      </c>
      <c r="H5" s="35">
        <f>IFERROR(D5-G5,"")</f>
        <v/>
      </c>
      <c r="I5" s="36">
        <f>SUMIFS('Program Brands'!$I$6:$I$37,'Program Brands'!$B$6:$B$37,$A5)-SUMIFS('Program Brands'!$H$6:$H$37,'Program Brands'!$B$6:$B$37,$A5)</f>
        <v/>
      </c>
      <c r="J5" s="36">
        <f>SUMIFS('Control Brands'!$H$5:$H$296,'Control Brands'!$A$5:$A$296,$A5)-SUMIFS('Control Brands'!$G$5:$G$296,'Control Brands'!$A$5:$A$296,$A5)</f>
        <v/>
      </c>
    </row>
    <row r="6">
      <c r="A6" s="13" t="inlineStr">
        <is>
          <t>Boston Beer Company</t>
        </is>
      </c>
      <c r="B6" s="33">
        <f>SUMIFS('Program Brands'!$D$6:$D$37,'Program Brands'!$B$6:$B$37,$A6)</f>
        <v/>
      </c>
      <c r="C6" s="33">
        <f>SUMIFS('Program Brands'!$E$6:$E$37,'Program Brands'!$B$6:$B$37,$A6)</f>
        <v/>
      </c>
      <c r="D6" s="34">
        <f>IFERROR(C6/B6-1,"")</f>
        <v/>
      </c>
      <c r="E6" s="33">
        <f>SUMIFS('Control Brands'!$C$5:$C$296,'Control Brands'!$A$5:$A$296,$A6)</f>
        <v/>
      </c>
      <c r="F6" s="33">
        <f>SUMIFS('Control Brands'!$D$5:$D$296,'Control Brands'!$A$5:$A$296,$A6)</f>
        <v/>
      </c>
      <c r="G6" s="34">
        <f>IFERROR(F6/E6-1,"")</f>
        <v/>
      </c>
      <c r="H6" s="35">
        <f>IFERROR(D6-G6,"")</f>
        <v/>
      </c>
      <c r="I6" s="36">
        <f>SUMIFS('Program Brands'!$I$6:$I$37,'Program Brands'!$B$6:$B$37,$A6)-SUMIFS('Program Brands'!$H$6:$H$37,'Program Brands'!$B$6:$B$37,$A6)</f>
        <v/>
      </c>
      <c r="J6" s="36">
        <f>SUMIFS('Control Brands'!$H$5:$H$296,'Control Brands'!$A$5:$A$296,$A6)-SUMIFS('Control Brands'!$G$5:$G$296,'Control Brands'!$A$5:$A$296,$A6)</f>
        <v/>
      </c>
    </row>
    <row r="7">
      <c r="A7" s="13" t="inlineStr">
        <is>
          <t>Constellation Brands</t>
        </is>
      </c>
      <c r="B7" s="33">
        <f>SUMIFS('Program Brands'!$D$6:$D$37,'Program Brands'!$B$6:$B$37,$A7)</f>
        <v/>
      </c>
      <c r="C7" s="33">
        <f>SUMIFS('Program Brands'!$E$6:$E$37,'Program Brands'!$B$6:$B$37,$A7)</f>
        <v/>
      </c>
      <c r="D7" s="34">
        <f>IFERROR(C7/B7-1,"")</f>
        <v/>
      </c>
      <c r="E7" s="33">
        <f>SUMIFS('Control Brands'!$C$5:$C$296,'Control Brands'!$A$5:$A$296,$A7)</f>
        <v/>
      </c>
      <c r="F7" s="33">
        <f>SUMIFS('Control Brands'!$D$5:$D$296,'Control Brands'!$A$5:$A$296,$A7)</f>
        <v/>
      </c>
      <c r="G7" s="34">
        <f>IFERROR(F7/E7-1,"")</f>
        <v/>
      </c>
      <c r="H7" s="35">
        <f>IFERROR(D7-G7,"")</f>
        <v/>
      </c>
      <c r="I7" s="36">
        <f>SUMIFS('Program Brands'!$I$6:$I$37,'Program Brands'!$B$6:$B$37,$A7)-SUMIFS('Program Brands'!$H$6:$H$37,'Program Brands'!$B$6:$B$37,$A7)</f>
        <v/>
      </c>
      <c r="J7" s="36">
        <f>SUMIFS('Control Brands'!$H$5:$H$296,'Control Brands'!$A$5:$A$296,$A7)-SUMIFS('Control Brands'!$G$5:$G$296,'Control Brands'!$A$5:$A$296,$A7)</f>
        <v/>
      </c>
    </row>
    <row r="8">
      <c r="A8" s="13" t="inlineStr">
        <is>
          <t>DG Yuengling Inc</t>
        </is>
      </c>
      <c r="B8" s="33">
        <f>SUMIFS('Program Brands'!$D$6:$D$37,'Program Brands'!$B$6:$B$37,$A8)</f>
        <v/>
      </c>
      <c r="C8" s="33">
        <f>SUMIFS('Program Brands'!$E$6:$E$37,'Program Brands'!$B$6:$B$37,$A8)</f>
        <v/>
      </c>
      <c r="D8" s="34">
        <f>IFERROR(C8/B8-1,"")</f>
        <v/>
      </c>
      <c r="E8" s="33">
        <f>SUMIFS('Control Brands'!$C$5:$C$296,'Control Brands'!$A$5:$A$296,$A8)</f>
        <v/>
      </c>
      <c r="F8" s="33">
        <f>SUMIFS('Control Brands'!$D$5:$D$296,'Control Brands'!$A$5:$A$296,$A8)</f>
        <v/>
      </c>
      <c r="G8" s="34">
        <f>IFERROR(F8/E8-1,"")</f>
        <v/>
      </c>
      <c r="H8" s="35">
        <f>IFERROR(D8-G8,"")</f>
        <v/>
      </c>
      <c r="I8" s="36">
        <f>SUMIFS('Program Brands'!$I$6:$I$37,'Program Brands'!$B$6:$B$37,$A8)-SUMIFS('Program Brands'!$H$6:$H$37,'Program Brands'!$B$6:$B$37,$A8)</f>
        <v/>
      </c>
      <c r="J8" s="36">
        <f>SUMIFS('Control Brands'!$H$5:$H$296,'Control Brands'!$A$5:$A$296,$A8)-SUMIFS('Control Brands'!$G$5:$G$296,'Control Brands'!$A$5:$A$296,$A8)</f>
        <v/>
      </c>
    </row>
    <row r="9">
      <c r="A9" s="13" t="inlineStr">
        <is>
          <t>Heineken USA</t>
        </is>
      </c>
      <c r="B9" s="33">
        <f>SUMIFS('Program Brands'!$D$6:$D$37,'Program Brands'!$B$6:$B$37,$A9)</f>
        <v/>
      </c>
      <c r="C9" s="33">
        <f>SUMIFS('Program Brands'!$E$6:$E$37,'Program Brands'!$B$6:$B$37,$A9)</f>
        <v/>
      </c>
      <c r="D9" s="34">
        <f>IFERROR(C9/B9-1,"")</f>
        <v/>
      </c>
      <c r="E9" s="33">
        <f>SUMIFS('Control Brands'!$C$5:$C$296,'Control Brands'!$A$5:$A$296,$A9)</f>
        <v/>
      </c>
      <c r="F9" s="33">
        <f>SUMIFS('Control Brands'!$D$5:$D$296,'Control Brands'!$A$5:$A$296,$A9)</f>
        <v/>
      </c>
      <c r="G9" s="34">
        <f>IFERROR(F9/E9-1,"")</f>
        <v/>
      </c>
      <c r="H9" s="35">
        <f>IFERROR(D9-G9,"")</f>
        <v/>
      </c>
      <c r="I9" s="36">
        <f>SUMIFS('Program Brands'!$I$6:$I$37,'Program Brands'!$B$6:$B$37,$A9)-SUMIFS('Program Brands'!$H$6:$H$37,'Program Brands'!$B$6:$B$37,$A9)</f>
        <v/>
      </c>
      <c r="J9" s="36">
        <f>SUMIFS('Control Brands'!$H$5:$H$296,'Control Brands'!$A$5:$A$296,$A9)-SUMIFS('Control Brands'!$G$5:$G$296,'Control Brands'!$A$5:$A$296,$A9)</f>
        <v/>
      </c>
    </row>
    <row r="10">
      <c r="A10" s="13" t="inlineStr">
        <is>
          <t>Mark Anthony</t>
        </is>
      </c>
      <c r="B10" s="33">
        <f>SUMIFS('Program Brands'!$D$6:$D$37,'Program Brands'!$B$6:$B$37,$A10)</f>
        <v/>
      </c>
      <c r="C10" s="33">
        <f>SUMIFS('Program Brands'!$E$6:$E$37,'Program Brands'!$B$6:$B$37,$A10)</f>
        <v/>
      </c>
      <c r="D10" s="34">
        <f>IFERROR(C10/B10-1,"")</f>
        <v/>
      </c>
      <c r="E10" s="33">
        <f>SUMIFS('Control Brands'!$C$5:$C$296,'Control Brands'!$A$5:$A$296,$A10)</f>
        <v/>
      </c>
      <c r="F10" s="33">
        <f>SUMIFS('Control Brands'!$D$5:$D$296,'Control Brands'!$A$5:$A$296,$A10)</f>
        <v/>
      </c>
      <c r="G10" s="34">
        <f>IFERROR(F10/E10-1,"")</f>
        <v/>
      </c>
      <c r="H10" s="35">
        <f>IFERROR(D10-G10,"")</f>
        <v/>
      </c>
      <c r="I10" s="36">
        <f>SUMIFS('Program Brands'!$I$6:$I$37,'Program Brands'!$B$6:$B$37,$A10)-SUMIFS('Program Brands'!$H$6:$H$37,'Program Brands'!$B$6:$B$37,$A10)</f>
        <v/>
      </c>
      <c r="J10" s="36">
        <f>SUMIFS('Control Brands'!$H$5:$H$296,'Control Brands'!$A$5:$A$296,$A10)-SUMIFS('Control Brands'!$G$5:$G$296,'Control Brands'!$A$5:$A$296,$A10)</f>
        <v/>
      </c>
    </row>
    <row r="11">
      <c r="A11" s="13" t="inlineStr">
        <is>
          <t>MolsonCoors Beverage Company</t>
        </is>
      </c>
      <c r="B11" s="33">
        <f>SUMIFS('Program Brands'!$D$6:$D$37,'Program Brands'!$B$6:$B$37,$A11)</f>
        <v/>
      </c>
      <c r="C11" s="33">
        <f>SUMIFS('Program Brands'!$E$6:$E$37,'Program Brands'!$B$6:$B$37,$A11)</f>
        <v/>
      </c>
      <c r="D11" s="34">
        <f>IFERROR(C11/B11-1,"")</f>
        <v/>
      </c>
      <c r="E11" s="33">
        <f>SUMIFS('Control Brands'!$C$5:$C$296,'Control Brands'!$A$5:$A$296,$A11)</f>
        <v/>
      </c>
      <c r="F11" s="33">
        <f>SUMIFS('Control Brands'!$D$5:$D$296,'Control Brands'!$A$5:$A$296,$A11)</f>
        <v/>
      </c>
      <c r="G11" s="34">
        <f>IFERROR(F11/E11-1,"")</f>
        <v/>
      </c>
      <c r="H11" s="35">
        <f>IFERROR(D11-G11,"")</f>
        <v/>
      </c>
      <c r="I11" s="36">
        <f>SUMIFS('Program Brands'!$I$6:$I$37,'Program Brands'!$B$6:$B$37,$A11)-SUMIFS('Program Brands'!$H$6:$H$37,'Program Brands'!$B$6:$B$37,$A11)</f>
        <v/>
      </c>
      <c r="J11" s="36">
        <f>SUMIFS('Control Brands'!$H$5:$H$296,'Control Brands'!$A$5:$A$296,$A11)-SUMIFS('Control Brands'!$G$5:$G$296,'Control Brands'!$A$5:$A$296,$A11)</f>
        <v/>
      </c>
    </row>
    <row r="12">
      <c r="A12" s="13" t="inlineStr">
        <is>
          <t>New Belgium Brewing Company</t>
        </is>
      </c>
      <c r="B12" s="33">
        <f>SUMIFS('Program Brands'!$D$6:$D$37,'Program Brands'!$B$6:$B$37,$A12)</f>
        <v/>
      </c>
      <c r="C12" s="33">
        <f>SUMIFS('Program Brands'!$E$6:$E$37,'Program Brands'!$B$6:$B$37,$A12)</f>
        <v/>
      </c>
      <c r="D12" s="34">
        <f>IFERROR(C12/B12-1,"")</f>
        <v/>
      </c>
      <c r="E12" s="33">
        <f>SUMIFS('Control Brands'!$C$5:$C$296,'Control Brands'!$A$5:$A$296,$A12)</f>
        <v/>
      </c>
      <c r="F12" s="33">
        <f>SUMIFS('Control Brands'!$D$5:$D$296,'Control Brands'!$A$5:$A$296,$A12)</f>
        <v/>
      </c>
      <c r="G12" s="34">
        <f>IFERROR(F12/E12-1,"")</f>
        <v/>
      </c>
      <c r="H12" s="35">
        <f>IFERROR(D12-G12,"")</f>
        <v/>
      </c>
      <c r="I12" s="36">
        <f>SUMIFS('Program Brands'!$I$6:$I$37,'Program Brands'!$B$6:$B$37,$A12)-SUMIFS('Program Brands'!$H$6:$H$37,'Program Brands'!$B$6:$B$37,$A12)</f>
        <v/>
      </c>
      <c r="J12" s="36">
        <f>SUMIFS('Control Brands'!$H$5:$H$296,'Control Brands'!$A$5:$A$296,$A12)-SUMIFS('Control Brands'!$G$5:$G$296,'Control Brands'!$A$5:$A$296,$A12)</f>
        <v/>
      </c>
    </row>
    <row r="13">
      <c r="A13" s="17" t="inlineStr">
        <is>
          <t>WEIGHTED TOTAL</t>
        </is>
      </c>
      <c r="B13" s="30">
        <f>SUM(B5:B12)</f>
        <v/>
      </c>
      <c r="C13" s="30">
        <f>SUM(C5:C12)</f>
        <v/>
      </c>
      <c r="D13" s="28">
        <f>IFERROR(C13/B13-1,"")</f>
        <v/>
      </c>
      <c r="E13" s="30">
        <f>SUM(E5:E12)</f>
        <v/>
      </c>
      <c r="F13" s="30">
        <f>SUM(F5:F12)</f>
        <v/>
      </c>
      <c r="G13" s="28">
        <f>IFERROR(F13/E13-1,"")</f>
        <v/>
      </c>
      <c r="H13" s="29">
        <f>IFERROR(D13-G13,"")</f>
        <v/>
      </c>
      <c r="I13" s="18">
        <f>SUM(I5:I12)</f>
        <v/>
      </c>
      <c r="J13" s="18">
        <f>SUM(J5:J12)</f>
        <v/>
      </c>
    </row>
    <row r="15">
      <c r="A15" s="2" t="inlineStr">
        <is>
          <t>Only suppliers appearing on both sides are shown — those are the ones where a true within-supplier comparison exists.</t>
        </is>
      </c>
    </row>
    <row r="16">
      <c r="A16" s="2" t="inlineStr">
        <is>
          <t>A negative gap means that supplier's incented brands did worse than its own non-incented brands over the same three months.</t>
        </is>
      </c>
    </row>
    <row r="17">
      <c r="A17" s="2" t="inlineStr">
        <is>
          <t>Boston Beer is the finding worth presenting — see the Brand Selection tab.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46" customWidth="1" min="1" max="1"/>
    <col width="18" customWidth="1" min="2" max="2"/>
    <col width="18" customWidth="1" min="3" max="3"/>
    <col width="16" customWidth="1" min="4" max="4"/>
    <col width="14" customWidth="1" min="5" max="5"/>
    <col width="14" customWidth="1" min="6" max="6"/>
  </cols>
  <sheetData>
    <row r="1">
      <c r="A1" s="24" t="inlineStr">
        <is>
          <t>The tightest control available — same account, same summer, same buyer</t>
        </is>
      </c>
    </row>
    <row r="2">
      <c r="A2" s="2" t="inlineStr">
        <is>
          <t>Restricted to accounts that bought BOTH incented and non-incented brands. Account mix, rep, channel and geography are all held constant; the only difference is the incentive.</t>
        </is>
      </c>
    </row>
    <row r="4" ht="32" customHeight="1">
      <c r="A4" s="6" t="inlineStr"/>
      <c r="B4" s="6" t="inlineStr">
        <is>
          <t>CE 2025</t>
        </is>
      </c>
      <c r="C4" s="6" t="inlineStr">
        <is>
          <t>CE 2026</t>
        </is>
      </c>
      <c r="D4" s="6" t="inlineStr">
        <is>
          <t>Change</t>
        </is>
      </c>
      <c r="E4" s="6" t="inlineStr"/>
      <c r="F4" s="6" t="inlineStr"/>
    </row>
    <row r="5">
      <c r="A5" s="13" t="inlineStr">
        <is>
          <t>Accounts buying on both sides</t>
        </is>
      </c>
      <c r="B5" s="30">
        <f>COUNTIFS('Data - Accounts'!$E$5:$E$2358,"&gt;0",'Data - Accounts'!$I$5:$I$2358,"&gt;0")</f>
        <v/>
      </c>
    </row>
    <row r="7">
      <c r="A7" s="17" t="inlineStr">
        <is>
          <t>INCENTED brands in those accounts</t>
        </is>
      </c>
      <c r="B7" s="14">
        <f>SUMIFS('Data - Accounts'!$E$5:$E$2358,'Data - Accounts'!$E$5:$E$2358,"&gt;0",'Data - Accounts'!$I$5:$I$2358,"&gt;0")</f>
        <v/>
      </c>
      <c r="C7" s="14">
        <f>SUMIFS('Data - Accounts'!$F$5:$F$2358,'Data - Accounts'!$E$5:$E$2358,"&gt;0",'Data - Accounts'!$I$5:$I$2358,"&gt;0")</f>
        <v/>
      </c>
      <c r="D7" s="37">
        <f>IFERROR(C7/B7-1,"")</f>
        <v/>
      </c>
    </row>
    <row r="8">
      <c r="A8" s="17" t="inlineStr">
        <is>
          <t>NON-incented brands in the SAME accounts</t>
        </is>
      </c>
      <c r="B8" s="14">
        <f>SUMIFS('Data - Accounts'!$I$5:$I$2358,'Data - Accounts'!$E$5:$E$2358,"&gt;0",'Data - Accounts'!$I$5:$I$2358,"&gt;0")</f>
        <v/>
      </c>
      <c r="C8" s="14">
        <f>SUMIFS('Data - Accounts'!$J$5:$J$2358,'Data - Accounts'!$E$5:$E$2358,"&gt;0",'Data - Accounts'!$I$5:$I$2358,"&gt;0")</f>
        <v/>
      </c>
      <c r="D8" s="37">
        <f>IFERROR(C8/B8-1,"")</f>
        <v/>
      </c>
    </row>
    <row r="9">
      <c r="A9" s="38" t="inlineStr">
        <is>
          <t>Gap</t>
        </is>
      </c>
      <c r="D9" s="39">
        <f>D7-D8</f>
        <v/>
      </c>
    </row>
    <row r="11">
      <c r="A11" s="5" t="inlineStr">
        <is>
          <t>WHY THIS MATTERS MOST</t>
        </is>
      </c>
    </row>
    <row r="12">
      <c r="A12" s="2" t="inlineStr">
        <is>
          <t>Every other control in this workbook can be answered with "but those were different accounts." This one cannot. Inside the same 1,704 stores, over the same three months, the brands carrying an incentive performed no better than the brands carrying none.</t>
        </is>
      </c>
    </row>
    <row r="13">
      <c r="A13" s="2" t="inlineStr">
        <is>
          <t>It is also the fairest test to the sales team: it holds constant everything a rep does not control — which accounts they have, what channel, what geography — and still finds no incentive effect.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7"/>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10" customWidth="1" min="4" max="4"/>
    <col width="11" customWidth="1" min="5" max="5"/>
    <col width="12" customWidth="1" min="6" max="6"/>
    <col width="11" customWidth="1" min="7" max="7"/>
    <col width="12" customWidth="1" min="8" max="8"/>
    <col width="12" customWidth="1" min="9" max="9"/>
    <col width="12" customWidth="1" min="10" max="10"/>
    <col width="10" customWidth="1" min="11" max="11"/>
    <col width="14" customWidth="1" min="12" max="12"/>
    <col width="14" customWidth="1" min="13" max="13"/>
    <col width="12" customWidth="1" min="15" max="15"/>
    <col width="12" customWidth="1" min="16" max="16"/>
  </cols>
  <sheetData>
    <row r="1">
      <c r="A1" s="24" t="inlineStr">
        <is>
          <t>Did the program build distribution, or just move cases?</t>
        </is>
      </c>
    </row>
    <row r="2">
      <c r="A2" s="2" t="inlineStr">
        <is>
          <t>A POD is one account × brand that bought. ΔCE splits into a distribution effect (more or fewer PODs) and a rate-of-sale effect (each POD buying more or less).</t>
        </is>
      </c>
    </row>
    <row r="4" ht="32" customHeight="1">
      <c r="A4" s="6" t="inlineStr"/>
      <c r="B4" s="6" t="inlineStr">
        <is>
          <t>PODs 2025</t>
        </is>
      </c>
      <c r="C4" s="6" t="inlineStr">
        <is>
          <t>PODs 2026</t>
        </is>
      </c>
      <c r="D4" s="6" t="inlineStr">
        <is>
          <t>POD %</t>
        </is>
      </c>
      <c r="E4" s="6" t="inlineStr">
        <is>
          <t>New PODs</t>
        </is>
      </c>
      <c r="F4" s="6" t="inlineStr">
        <is>
          <t>CE from new</t>
        </is>
      </c>
      <c r="G4" s="6" t="inlineStr">
        <is>
          <t>Lost PODs</t>
        </is>
      </c>
      <c r="H4" s="6" t="inlineStr">
        <is>
          <t>CE from lost</t>
        </is>
      </c>
      <c r="I4" s="6" t="inlineStr">
        <is>
          <t>Cases/POD 25</t>
        </is>
      </c>
      <c r="J4" s="6" t="inlineStr">
        <is>
          <t>Cases/POD 26</t>
        </is>
      </c>
      <c r="K4" s="6" t="inlineStr">
        <is>
          <t>Rate %</t>
        </is>
      </c>
      <c r="L4" s="6" t="inlineStr">
        <is>
          <t>Distribution effect</t>
        </is>
      </c>
      <c r="M4" s="6" t="inlineStr">
        <is>
          <t>Rate-of-sale effect</t>
        </is>
      </c>
      <c r="O4" s="40" t="inlineStr">
        <is>
          <t>CE 2025</t>
        </is>
      </c>
      <c r="P4" s="40" t="inlineStr">
        <is>
          <t>CE 2026</t>
        </is>
      </c>
    </row>
    <row r="5">
      <c r="A5" s="23" t="inlineStr">
        <is>
          <t>JUN–AUG — the program period</t>
        </is>
      </c>
    </row>
    <row r="6">
      <c r="A6" s="13" t="inlineStr">
        <is>
          <t>Qualifier brands</t>
        </is>
      </c>
      <c r="B6" s="14">
        <f>SUMIFS('Data - Season'!$K$5:$K$743,'Data - Season'!$B$5:$B$743,"Qualifier")</f>
        <v/>
      </c>
      <c r="C6" s="14">
        <f>SUMIFS('Data - Season'!$L$5:$L$743,'Data - Season'!$B$5:$B$743,"Qualifier")</f>
        <v/>
      </c>
      <c r="D6" s="28">
        <f>IFERROR(C6/B6-1,"")</f>
        <v/>
      </c>
      <c r="E6" s="14">
        <f>SUMIFS('Data - Season'!$M$5:$M$743,'Data - Season'!$B$5:$B$743,"Qualifier")</f>
        <v/>
      </c>
      <c r="F6" s="14">
        <f>SUMIFS('Data - Season'!$N$5:$N$743,'Data - Season'!$B$5:$B$743,"Qualifier")</f>
        <v/>
      </c>
      <c r="G6" s="14">
        <f>SUMIFS('Data - Season'!$O$5:$O$743,'Data - Season'!$B$5:$B$743,"Qualifier")</f>
        <v/>
      </c>
      <c r="H6" s="14">
        <f>SUMIFS('Data - Season'!$P$5:$P$743,'Data - Season'!$B$5:$B$743,"Qualifier")</f>
        <v/>
      </c>
      <c r="I6" s="41">
        <f>IFERROR(O6/B6,"")</f>
        <v/>
      </c>
      <c r="J6" s="41">
        <f>IFERROR(P6/C6,"")</f>
        <v/>
      </c>
      <c r="K6" s="28">
        <f>IFERROR(J6/I6-1,"")</f>
        <v/>
      </c>
      <c r="L6" s="30">
        <f>(C6-B6)*I6</f>
        <v/>
      </c>
      <c r="M6" s="30">
        <f>C6*(J6-I6)</f>
        <v/>
      </c>
      <c r="O6" s="42">
        <f>SUMIFS('Data - Season'!$E$5:$E$743,'Data - Season'!$B$5:$B$743,"Qualifier")</f>
        <v/>
      </c>
      <c r="P6" s="42">
        <f>SUMIFS('Data - Season'!$F$5:$F$743,'Data - Season'!$B$5:$B$743,"Qualifier")</f>
        <v/>
      </c>
    </row>
    <row r="7">
      <c r="A7" s="13" t="inlineStr">
        <is>
          <t>Amplify brands</t>
        </is>
      </c>
      <c r="B7" s="14">
        <f>SUMIFS('Data - Season'!$K$5:$K$743,'Data - Season'!$B$5:$B$743,"Amplify")</f>
        <v/>
      </c>
      <c r="C7" s="14">
        <f>SUMIFS('Data - Season'!$L$5:$L$743,'Data - Season'!$B$5:$B$743,"Amplify")</f>
        <v/>
      </c>
      <c r="D7" s="28">
        <f>IFERROR(C7/B7-1,"")</f>
        <v/>
      </c>
      <c r="E7" s="14">
        <f>SUMIFS('Data - Season'!$M$5:$M$743,'Data - Season'!$B$5:$B$743,"Amplify")</f>
        <v/>
      </c>
      <c r="F7" s="14">
        <f>SUMIFS('Data - Season'!$N$5:$N$743,'Data - Season'!$B$5:$B$743,"Amplify")</f>
        <v/>
      </c>
      <c r="G7" s="14">
        <f>SUMIFS('Data - Season'!$O$5:$O$743,'Data - Season'!$B$5:$B$743,"Amplify")</f>
        <v/>
      </c>
      <c r="H7" s="14">
        <f>SUMIFS('Data - Season'!$P$5:$P$743,'Data - Season'!$B$5:$B$743,"Amplify")</f>
        <v/>
      </c>
      <c r="I7" s="41">
        <f>IFERROR(O7/B7,"")</f>
        <v/>
      </c>
      <c r="J7" s="41">
        <f>IFERROR(P7/C7,"")</f>
        <v/>
      </c>
      <c r="K7" s="28">
        <f>IFERROR(J7/I7-1,"")</f>
        <v/>
      </c>
      <c r="L7" s="30">
        <f>(C7-B7)*I7</f>
        <v/>
      </c>
      <c r="M7" s="30">
        <f>C7*(J7-I7)</f>
        <v/>
      </c>
      <c r="O7" s="42">
        <f>SUMIFS('Data - Season'!$E$5:$E$743,'Data - Season'!$B$5:$B$743,"Amplify")</f>
        <v/>
      </c>
      <c r="P7" s="42">
        <f>SUMIFS('Data - Season'!$F$5:$F$743,'Data - Season'!$B$5:$B$743,"Amplify")</f>
        <v/>
      </c>
    </row>
    <row r="8">
      <c r="A8" s="13" t="inlineStr">
        <is>
          <t>Non-program brands (control)</t>
        </is>
      </c>
      <c r="B8" s="14">
        <f>SUM('Data - Control'!$I$5:$I$296)</f>
        <v/>
      </c>
      <c r="C8" s="14">
        <f>SUM('Data - Control'!$J$5:$J$296)</f>
        <v/>
      </c>
      <c r="D8" s="28">
        <f>IFERROR(C8/B8-1,"")</f>
        <v/>
      </c>
      <c r="E8" s="14">
        <f>SUM('Data - Control'!$K$5:$K$296)</f>
        <v/>
      </c>
      <c r="F8" s="14">
        <f>SUM('Data - Control'!$L$5:$L$296)</f>
        <v/>
      </c>
      <c r="G8" s="14">
        <f>SUM('Data - Control'!$M$5:$M$296)</f>
        <v/>
      </c>
      <c r="H8" s="14">
        <f>SUM('Data - Control'!$N$5:$N$296)</f>
        <v/>
      </c>
      <c r="I8" s="41">
        <f>IFERROR(O8/B8,"")</f>
        <v/>
      </c>
      <c r="J8" s="41">
        <f>IFERROR(P8/C8,"")</f>
        <v/>
      </c>
      <c r="K8" s="28">
        <f>IFERROR(J8/I8-1,"")</f>
        <v/>
      </c>
      <c r="L8" s="30">
        <f>(C8-B8)*I8</f>
        <v/>
      </c>
      <c r="M8" s="30">
        <f>C8*(J8-I8)</f>
        <v/>
      </c>
      <c r="O8" s="42">
        <f>SUM('Data - Control'!$C$5:$C$296)</f>
        <v/>
      </c>
      <c r="P8" s="42">
        <f>SUM('Data - Control'!$D$5:$D$296)</f>
        <v/>
      </c>
    </row>
    <row r="10">
      <c r="A10" s="23" t="inlineStr">
        <is>
          <t>JAN–MAY — the same brands, before the program</t>
        </is>
      </c>
    </row>
    <row r="11">
      <c r="A11" s="13" t="inlineStr">
        <is>
          <t>Qualifier brands</t>
        </is>
      </c>
      <c r="B11" s="14">
        <f>SUMIFS('Data - Pre'!$J$5:$J$36,'Data - Pre'!$A$5:$A$36,"Qualifier")</f>
        <v/>
      </c>
      <c r="C11" s="14">
        <f>SUMIFS('Data - Pre'!$K$5:$K$36,'Data - Pre'!$A$5:$A$36,"Qualifier")</f>
        <v/>
      </c>
      <c r="D11" s="28">
        <f>IFERROR(C11/B11-1,"")</f>
        <v/>
      </c>
      <c r="E11" s="14">
        <f>SUMIFS('Data - Pre'!$L$5:$L$36,'Data - Pre'!$A$5:$A$36,"Qualifier")</f>
        <v/>
      </c>
      <c r="F11" s="14">
        <f>SUMIFS('Data - Pre'!$M$5:$M$36,'Data - Pre'!$A$5:$A$36,"Qualifier")</f>
        <v/>
      </c>
      <c r="G11" s="14">
        <f>SUMIFS('Data - Pre'!$N$5:$N$36,'Data - Pre'!$A$5:$A$36,"Qualifier")</f>
        <v/>
      </c>
      <c r="H11" s="14">
        <f>SUMIFS('Data - Pre'!$O$5:$O$36,'Data - Pre'!$A$5:$A$36,"Qualifier")</f>
        <v/>
      </c>
      <c r="I11" s="41">
        <f>IFERROR(O11/B11,"")</f>
        <v/>
      </c>
      <c r="J11" s="41">
        <f>IFERROR(P11/C11,"")</f>
        <v/>
      </c>
      <c r="K11" s="28">
        <f>IFERROR(J11/I11-1,"")</f>
        <v/>
      </c>
      <c r="L11" s="30">
        <f>(C11-B11)*I11</f>
        <v/>
      </c>
      <c r="M11" s="30">
        <f>C11*(J11-I11)</f>
        <v/>
      </c>
      <c r="O11" s="42">
        <f>SUMIFS('Data - Pre'!$D$5:$D$36,'Data - Pre'!$A$5:$A$36,"Qualifier")</f>
        <v/>
      </c>
      <c r="P11" s="42">
        <f>SUMIFS('Data - Pre'!$E$5:$E$36,'Data - Pre'!$A$5:$A$36,"Qualifier")</f>
        <v/>
      </c>
    </row>
    <row r="12">
      <c r="A12" s="13" t="inlineStr">
        <is>
          <t>Amplify brands</t>
        </is>
      </c>
      <c r="B12" s="14">
        <f>SUMIFS('Data - Pre'!$J$5:$J$36,'Data - Pre'!$A$5:$A$36,"Amplify")</f>
        <v/>
      </c>
      <c r="C12" s="14">
        <f>SUMIFS('Data - Pre'!$K$5:$K$36,'Data - Pre'!$A$5:$A$36,"Amplify")</f>
        <v/>
      </c>
      <c r="D12" s="28">
        <f>IFERROR(C12/B12-1,"")</f>
        <v/>
      </c>
      <c r="E12" s="14">
        <f>SUMIFS('Data - Pre'!$L$5:$L$36,'Data - Pre'!$A$5:$A$36,"Amplify")</f>
        <v/>
      </c>
      <c r="F12" s="14">
        <f>SUMIFS('Data - Pre'!$M$5:$M$36,'Data - Pre'!$A$5:$A$36,"Amplify")</f>
        <v/>
      </c>
      <c r="G12" s="14">
        <f>SUMIFS('Data - Pre'!$N$5:$N$36,'Data - Pre'!$A$5:$A$36,"Amplify")</f>
        <v/>
      </c>
      <c r="H12" s="14">
        <f>SUMIFS('Data - Pre'!$O$5:$O$36,'Data - Pre'!$A$5:$A$36,"Amplify")</f>
        <v/>
      </c>
      <c r="I12" s="41">
        <f>IFERROR(O12/B12,"")</f>
        <v/>
      </c>
      <c r="J12" s="41">
        <f>IFERROR(P12/C12,"")</f>
        <v/>
      </c>
      <c r="K12" s="28">
        <f>IFERROR(J12/I12-1,"")</f>
        <v/>
      </c>
      <c r="L12" s="30">
        <f>(C12-B12)*I12</f>
        <v/>
      </c>
      <c r="M12" s="30">
        <f>C12*(J12-I12)</f>
        <v/>
      </c>
      <c r="O12" s="42">
        <f>SUMIFS('Data - Pre'!$D$5:$D$36,'Data - Pre'!$A$5:$A$36,"Amplify")</f>
        <v/>
      </c>
      <c r="P12" s="42">
        <f>SUMIFS('Data - Pre'!$E$5:$E$36,'Data - Pre'!$A$5:$A$36,"Amplify")</f>
        <v/>
      </c>
    </row>
    <row r="14">
      <c r="A14" s="5" t="inlineStr">
        <is>
          <t>WHAT THIS SETTLES</t>
        </is>
      </c>
    </row>
    <row r="15">
      <c r="A15" s="2" t="inlineStr">
        <is>
          <t>Amplify PODs grew 4.2% during the program — but 5.5% in the five months BEFORE it. Distribution growth decelerated, exactly like volume did.</t>
        </is>
      </c>
    </row>
    <row r="16">
      <c r="A16" s="2" t="inlineStr">
        <is>
          <t>The qualifier decline was NOT lost distribution. PODs fell only 1.2%, the same as the control; what collapsed was rate of sale, from -0.9% pre-program to -4.1% during. Reps held their accounts; the accounts bought less. That is a market result, not an effort one.</t>
        </is>
      </c>
    </row>
    <row r="17">
      <c r="A17" s="2" t="inlineStr">
        <is>
          <t>Distribution effect = (PODs 2026 − PODs 2025) × cases per POD in 2025. Rate-of-sale effect = PODs 2026 × the change in cases per POD. The two sum to ΔCE.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0"/>
  <sheetViews>
    <sheetView showGridLines="0" workbookViewId="0">
      <pane ySplit="4" topLeftCell="A5" activePane="bottomLeft" state="frozen"/>
      <selection pane="bottomLeft" activeCell="A1" sqref="A1"/>
    </sheetView>
  </sheetViews>
  <sheetFormatPr baseColWidth="8" defaultRowHeight="15"/>
  <cols>
    <col width="46" customWidth="1" min="1" max="1"/>
    <col width="40" customWidth="1" min="2" max="2"/>
    <col width="12" customWidth="1" min="3" max="3"/>
    <col width="13" customWidth="1" min="4" max="4"/>
    <col width="19" customWidth="1" min="5" max="5"/>
    <col width="14" customWidth="1" min="6" max="6"/>
    <col width="14" customWidth="1" min="7" max="7"/>
    <col width="12" customWidth="1" min="8" max="8"/>
    <col width="13" customWidth="1" min="9" max="9"/>
    <col width="16" customWidth="1" min="10" max="10"/>
  </cols>
  <sheetData>
    <row r="1">
      <c r="A1" s="24" t="inlineStr">
        <is>
          <t>How many accounts actually produced the gain?</t>
        </is>
      </c>
    </row>
    <row r="2">
      <c r="A2" s="2" t="inlineStr">
        <is>
          <t>AMPLIFY volume only — that is the segment with a positive net change, and the only one where "share of the gain" means anything. Accounts ranked by amplify case gain.</t>
        </is>
      </c>
    </row>
    <row r="4" ht="32" customHeight="1">
      <c r="A4" s="6" t="inlineStr">
        <is>
          <t>Rank</t>
        </is>
      </c>
      <c r="B4" s="6" t="inlineStr">
        <is>
          <t>Account</t>
        </is>
      </c>
      <c r="C4" s="6" t="inlineStr">
        <is>
          <t>County</t>
        </is>
      </c>
      <c r="D4" s="6" t="inlineStr">
        <is>
          <t>Channel</t>
        </is>
      </c>
      <c r="E4" s="6" t="inlineStr">
        <is>
          <t>Rep</t>
        </is>
      </c>
      <c r="F4" s="6" t="inlineStr">
        <is>
          <t>Amplify CE 2025</t>
        </is>
      </c>
      <c r="G4" s="6" t="inlineStr">
        <is>
          <t>Amplify CE 2026</t>
        </is>
      </c>
      <c r="H4" s="6" t="inlineStr">
        <is>
          <t>Δ cases</t>
        </is>
      </c>
      <c r="I4" s="6" t="inlineStr">
        <is>
          <t>Cumulative Δ</t>
        </is>
      </c>
      <c r="J4" s="6" t="inlineStr">
        <is>
          <t>Share of net amplify gain</t>
        </is>
      </c>
    </row>
    <row r="5">
      <c r="A5" s="43" t="n">
        <v>1</v>
      </c>
      <c r="B5" s="43">
        <f>'Data - Accounts'!A5</f>
        <v/>
      </c>
      <c r="C5" s="43">
        <f>'Data - Accounts'!B5</f>
        <v/>
      </c>
      <c r="D5" s="43">
        <f>'Data - Accounts'!D5</f>
        <v/>
      </c>
      <c r="E5" s="43">
        <f>'Data - Accounts'!C5</f>
        <v/>
      </c>
      <c r="F5" s="33">
        <f>'Data - Accounts'!K5</f>
        <v/>
      </c>
      <c r="G5" s="33">
        <f>'Data - Accounts'!L5</f>
        <v/>
      </c>
      <c r="H5" s="44">
        <f>G5-F5</f>
        <v/>
      </c>
      <c r="I5" s="33">
        <f>SUM($H$5:$H5)</f>
        <v/>
      </c>
      <c r="J5" s="45">
        <f>IFERROR($I5/$B$67,"")</f>
        <v/>
      </c>
    </row>
    <row r="6">
      <c r="A6" s="43" t="n">
        <v>2</v>
      </c>
      <c r="B6" s="43">
        <f>'Data - Accounts'!A6</f>
        <v/>
      </c>
      <c r="C6" s="43">
        <f>'Data - Accounts'!B6</f>
        <v/>
      </c>
      <c r="D6" s="43">
        <f>'Data - Accounts'!D6</f>
        <v/>
      </c>
      <c r="E6" s="43">
        <f>'Data - Accounts'!C6</f>
        <v/>
      </c>
      <c r="F6" s="33">
        <f>'Data - Accounts'!K6</f>
        <v/>
      </c>
      <c r="G6" s="33">
        <f>'Data - Accounts'!L6</f>
        <v/>
      </c>
      <c r="H6" s="44">
        <f>G6-F6</f>
        <v/>
      </c>
      <c r="I6" s="33">
        <f>SUM($H$5:$H6)</f>
        <v/>
      </c>
      <c r="J6" s="45">
        <f>IFERROR($I6/$B$67,"")</f>
        <v/>
      </c>
    </row>
    <row r="7">
      <c r="A7" s="43" t="n">
        <v>3</v>
      </c>
      <c r="B7" s="43">
        <f>'Data - Accounts'!A7</f>
        <v/>
      </c>
      <c r="C7" s="43">
        <f>'Data - Accounts'!B7</f>
        <v/>
      </c>
      <c r="D7" s="43">
        <f>'Data - Accounts'!D7</f>
        <v/>
      </c>
      <c r="E7" s="43">
        <f>'Data - Accounts'!C7</f>
        <v/>
      </c>
      <c r="F7" s="33">
        <f>'Data - Accounts'!K7</f>
        <v/>
      </c>
      <c r="G7" s="33">
        <f>'Data - Accounts'!L7</f>
        <v/>
      </c>
      <c r="H7" s="44">
        <f>G7-F7</f>
        <v/>
      </c>
      <c r="I7" s="33">
        <f>SUM($H$5:$H7)</f>
        <v/>
      </c>
      <c r="J7" s="45">
        <f>IFERROR($I7/$B$67,"")</f>
        <v/>
      </c>
    </row>
    <row r="8">
      <c r="A8" s="43" t="n">
        <v>4</v>
      </c>
      <c r="B8" s="43">
        <f>'Data - Accounts'!A8</f>
        <v/>
      </c>
      <c r="C8" s="43">
        <f>'Data - Accounts'!B8</f>
        <v/>
      </c>
      <c r="D8" s="43">
        <f>'Data - Accounts'!D8</f>
        <v/>
      </c>
      <c r="E8" s="43">
        <f>'Data - Accounts'!C8</f>
        <v/>
      </c>
      <c r="F8" s="33">
        <f>'Data - Accounts'!K8</f>
        <v/>
      </c>
      <c r="G8" s="33">
        <f>'Data - Accounts'!L8</f>
        <v/>
      </c>
      <c r="H8" s="44">
        <f>G8-F8</f>
        <v/>
      </c>
      <c r="I8" s="33">
        <f>SUM($H$5:$H8)</f>
        <v/>
      </c>
      <c r="J8" s="45">
        <f>IFERROR($I8/$B$67,"")</f>
        <v/>
      </c>
    </row>
    <row r="9">
      <c r="A9" s="43" t="n">
        <v>5</v>
      </c>
      <c r="B9" s="43">
        <f>'Data - Accounts'!A9</f>
        <v/>
      </c>
      <c r="C9" s="43">
        <f>'Data - Accounts'!B9</f>
        <v/>
      </c>
      <c r="D9" s="43">
        <f>'Data - Accounts'!D9</f>
        <v/>
      </c>
      <c r="E9" s="43">
        <f>'Data - Accounts'!C9</f>
        <v/>
      </c>
      <c r="F9" s="33">
        <f>'Data - Accounts'!K9</f>
        <v/>
      </c>
      <c r="G9" s="33">
        <f>'Data - Accounts'!L9</f>
        <v/>
      </c>
      <c r="H9" s="44">
        <f>G9-F9</f>
        <v/>
      </c>
      <c r="I9" s="33">
        <f>SUM($H$5:$H9)</f>
        <v/>
      </c>
      <c r="J9" s="45">
        <f>IFERROR($I9/$B$67,"")</f>
        <v/>
      </c>
    </row>
    <row r="10">
      <c r="A10" s="43" t="n">
        <v>6</v>
      </c>
      <c r="B10" s="43">
        <f>'Data - Accounts'!A10</f>
        <v/>
      </c>
      <c r="C10" s="43">
        <f>'Data - Accounts'!B10</f>
        <v/>
      </c>
      <c r="D10" s="43">
        <f>'Data - Accounts'!D10</f>
        <v/>
      </c>
      <c r="E10" s="43">
        <f>'Data - Accounts'!C10</f>
        <v/>
      </c>
      <c r="F10" s="33">
        <f>'Data - Accounts'!K10</f>
        <v/>
      </c>
      <c r="G10" s="33">
        <f>'Data - Accounts'!L10</f>
        <v/>
      </c>
      <c r="H10" s="44">
        <f>G10-F10</f>
        <v/>
      </c>
      <c r="I10" s="33">
        <f>SUM($H$5:$H10)</f>
        <v/>
      </c>
      <c r="J10" s="45">
        <f>IFERROR($I10/$B$67,"")</f>
        <v/>
      </c>
    </row>
    <row r="11">
      <c r="A11" s="43" t="n">
        <v>7</v>
      </c>
      <c r="B11" s="43">
        <f>'Data - Accounts'!A11</f>
        <v/>
      </c>
      <c r="C11" s="43">
        <f>'Data - Accounts'!B11</f>
        <v/>
      </c>
      <c r="D11" s="43">
        <f>'Data - Accounts'!D11</f>
        <v/>
      </c>
      <c r="E11" s="43">
        <f>'Data - Accounts'!C11</f>
        <v/>
      </c>
      <c r="F11" s="33">
        <f>'Data - Accounts'!K11</f>
        <v/>
      </c>
      <c r="G11" s="33">
        <f>'Data - Accounts'!L11</f>
        <v/>
      </c>
      <c r="H11" s="44">
        <f>G11-F11</f>
        <v/>
      </c>
      <c r="I11" s="33">
        <f>SUM($H$5:$H11)</f>
        <v/>
      </c>
      <c r="J11" s="45">
        <f>IFERROR($I11/$B$67,"")</f>
        <v/>
      </c>
    </row>
    <row r="12">
      <c r="A12" s="43" t="n">
        <v>8</v>
      </c>
      <c r="B12" s="43">
        <f>'Data - Accounts'!A12</f>
        <v/>
      </c>
      <c r="C12" s="43">
        <f>'Data - Accounts'!B12</f>
        <v/>
      </c>
      <c r="D12" s="43">
        <f>'Data - Accounts'!D12</f>
        <v/>
      </c>
      <c r="E12" s="43">
        <f>'Data - Accounts'!C12</f>
        <v/>
      </c>
      <c r="F12" s="33">
        <f>'Data - Accounts'!K12</f>
        <v/>
      </c>
      <c r="G12" s="33">
        <f>'Data - Accounts'!L12</f>
        <v/>
      </c>
      <c r="H12" s="44">
        <f>G12-F12</f>
        <v/>
      </c>
      <c r="I12" s="33">
        <f>SUM($H$5:$H12)</f>
        <v/>
      </c>
      <c r="J12" s="45">
        <f>IFERROR($I12/$B$67,"")</f>
        <v/>
      </c>
    </row>
    <row r="13">
      <c r="A13" s="43" t="n">
        <v>9</v>
      </c>
      <c r="B13" s="43">
        <f>'Data - Accounts'!A13</f>
        <v/>
      </c>
      <c r="C13" s="43">
        <f>'Data - Accounts'!B13</f>
        <v/>
      </c>
      <c r="D13" s="43">
        <f>'Data - Accounts'!D13</f>
        <v/>
      </c>
      <c r="E13" s="43">
        <f>'Data - Accounts'!C13</f>
        <v/>
      </c>
      <c r="F13" s="33">
        <f>'Data - Accounts'!K13</f>
        <v/>
      </c>
      <c r="G13" s="33">
        <f>'Data - Accounts'!L13</f>
        <v/>
      </c>
      <c r="H13" s="44">
        <f>G13-F13</f>
        <v/>
      </c>
      <c r="I13" s="33">
        <f>SUM($H$5:$H13)</f>
        <v/>
      </c>
      <c r="J13" s="45">
        <f>IFERROR($I13/$B$67,"")</f>
        <v/>
      </c>
    </row>
    <row r="14">
      <c r="A14" s="43" t="n">
        <v>10</v>
      </c>
      <c r="B14" s="43">
        <f>'Data - Accounts'!A14</f>
        <v/>
      </c>
      <c r="C14" s="43">
        <f>'Data - Accounts'!B14</f>
        <v/>
      </c>
      <c r="D14" s="43">
        <f>'Data - Accounts'!D14</f>
        <v/>
      </c>
      <c r="E14" s="43">
        <f>'Data - Accounts'!C14</f>
        <v/>
      </c>
      <c r="F14" s="33">
        <f>'Data - Accounts'!K14</f>
        <v/>
      </c>
      <c r="G14" s="33">
        <f>'Data - Accounts'!L14</f>
        <v/>
      </c>
      <c r="H14" s="44">
        <f>G14-F14</f>
        <v/>
      </c>
      <c r="I14" s="33">
        <f>SUM($H$5:$H14)</f>
        <v/>
      </c>
      <c r="J14" s="45">
        <f>IFERROR($I14/$B$67,"")</f>
        <v/>
      </c>
    </row>
    <row r="15">
      <c r="A15" s="43" t="n">
        <v>11</v>
      </c>
      <c r="B15" s="43">
        <f>'Data - Accounts'!A15</f>
        <v/>
      </c>
      <c r="C15" s="43">
        <f>'Data - Accounts'!B15</f>
        <v/>
      </c>
      <c r="D15" s="43">
        <f>'Data - Accounts'!D15</f>
        <v/>
      </c>
      <c r="E15" s="43">
        <f>'Data - Accounts'!C15</f>
        <v/>
      </c>
      <c r="F15" s="33">
        <f>'Data - Accounts'!K15</f>
        <v/>
      </c>
      <c r="G15" s="33">
        <f>'Data - Accounts'!L15</f>
        <v/>
      </c>
      <c r="H15" s="44">
        <f>G15-F15</f>
        <v/>
      </c>
      <c r="I15" s="33">
        <f>SUM($H$5:$H15)</f>
        <v/>
      </c>
      <c r="J15" s="45">
        <f>IFERROR($I15/$B$67,"")</f>
        <v/>
      </c>
    </row>
    <row r="16">
      <c r="A16" s="43" t="n">
        <v>12</v>
      </c>
      <c r="B16" s="43">
        <f>'Data - Accounts'!A16</f>
        <v/>
      </c>
      <c r="C16" s="43">
        <f>'Data - Accounts'!B16</f>
        <v/>
      </c>
      <c r="D16" s="43">
        <f>'Data - Accounts'!D16</f>
        <v/>
      </c>
      <c r="E16" s="43">
        <f>'Data - Accounts'!C16</f>
        <v/>
      </c>
      <c r="F16" s="33">
        <f>'Data - Accounts'!K16</f>
        <v/>
      </c>
      <c r="G16" s="33">
        <f>'Data - Accounts'!L16</f>
        <v/>
      </c>
      <c r="H16" s="44">
        <f>G16-F16</f>
        <v/>
      </c>
      <c r="I16" s="33">
        <f>SUM($H$5:$H16)</f>
        <v/>
      </c>
      <c r="J16" s="45">
        <f>IFERROR($I16/$B$67,"")</f>
        <v/>
      </c>
    </row>
    <row r="17">
      <c r="A17" s="43" t="n">
        <v>13</v>
      </c>
      <c r="B17" s="43">
        <f>'Data - Accounts'!A17</f>
        <v/>
      </c>
      <c r="C17" s="43">
        <f>'Data - Accounts'!B17</f>
        <v/>
      </c>
      <c r="D17" s="43">
        <f>'Data - Accounts'!D17</f>
        <v/>
      </c>
      <c r="E17" s="43">
        <f>'Data - Accounts'!C17</f>
        <v/>
      </c>
      <c r="F17" s="33">
        <f>'Data - Accounts'!K17</f>
        <v/>
      </c>
      <c r="G17" s="33">
        <f>'Data - Accounts'!L17</f>
        <v/>
      </c>
      <c r="H17" s="44">
        <f>G17-F17</f>
        <v/>
      </c>
      <c r="I17" s="33">
        <f>SUM($H$5:$H17)</f>
        <v/>
      </c>
      <c r="J17" s="45">
        <f>IFERROR($I17/$B$67,"")</f>
        <v/>
      </c>
    </row>
    <row r="18">
      <c r="A18" s="43" t="n">
        <v>14</v>
      </c>
      <c r="B18" s="43">
        <f>'Data - Accounts'!A18</f>
        <v/>
      </c>
      <c r="C18" s="43">
        <f>'Data - Accounts'!B18</f>
        <v/>
      </c>
      <c r="D18" s="43">
        <f>'Data - Accounts'!D18</f>
        <v/>
      </c>
      <c r="E18" s="43">
        <f>'Data - Accounts'!C18</f>
        <v/>
      </c>
      <c r="F18" s="33">
        <f>'Data - Accounts'!K18</f>
        <v/>
      </c>
      <c r="G18" s="33">
        <f>'Data - Accounts'!L18</f>
        <v/>
      </c>
      <c r="H18" s="44">
        <f>G18-F18</f>
        <v/>
      </c>
      <c r="I18" s="33">
        <f>SUM($H$5:$H18)</f>
        <v/>
      </c>
      <c r="J18" s="45">
        <f>IFERROR($I18/$B$67,"")</f>
        <v/>
      </c>
    </row>
    <row r="19">
      <c r="A19" s="43" t="n">
        <v>15</v>
      </c>
      <c r="B19" s="43">
        <f>'Data - Accounts'!A19</f>
        <v/>
      </c>
      <c r="C19" s="43">
        <f>'Data - Accounts'!B19</f>
        <v/>
      </c>
      <c r="D19" s="43">
        <f>'Data - Accounts'!D19</f>
        <v/>
      </c>
      <c r="E19" s="43">
        <f>'Data - Accounts'!C19</f>
        <v/>
      </c>
      <c r="F19" s="33">
        <f>'Data - Accounts'!K19</f>
        <v/>
      </c>
      <c r="G19" s="33">
        <f>'Data - Accounts'!L19</f>
        <v/>
      </c>
      <c r="H19" s="44">
        <f>G19-F19</f>
        <v/>
      </c>
      <c r="I19" s="33">
        <f>SUM($H$5:$H19)</f>
        <v/>
      </c>
      <c r="J19" s="45">
        <f>IFERROR($I19/$B$67,"")</f>
        <v/>
      </c>
    </row>
    <row r="20">
      <c r="A20" s="43" t="n">
        <v>16</v>
      </c>
      <c r="B20" s="43">
        <f>'Data - Accounts'!A20</f>
        <v/>
      </c>
      <c r="C20" s="43">
        <f>'Data - Accounts'!B20</f>
        <v/>
      </c>
      <c r="D20" s="43">
        <f>'Data - Accounts'!D20</f>
        <v/>
      </c>
      <c r="E20" s="43">
        <f>'Data - Accounts'!C20</f>
        <v/>
      </c>
      <c r="F20" s="33">
        <f>'Data - Accounts'!K20</f>
        <v/>
      </c>
      <c r="G20" s="33">
        <f>'Data - Accounts'!L20</f>
        <v/>
      </c>
      <c r="H20" s="44">
        <f>G20-F20</f>
        <v/>
      </c>
      <c r="I20" s="33">
        <f>SUM($H$5:$H20)</f>
        <v/>
      </c>
      <c r="J20" s="45">
        <f>IFERROR($I20/$B$67,"")</f>
        <v/>
      </c>
    </row>
    <row r="21">
      <c r="A21" s="43" t="n">
        <v>17</v>
      </c>
      <c r="B21" s="43">
        <f>'Data - Accounts'!A21</f>
        <v/>
      </c>
      <c r="C21" s="43">
        <f>'Data - Accounts'!B21</f>
        <v/>
      </c>
      <c r="D21" s="43">
        <f>'Data - Accounts'!D21</f>
        <v/>
      </c>
      <c r="E21" s="43">
        <f>'Data - Accounts'!C21</f>
        <v/>
      </c>
      <c r="F21" s="33">
        <f>'Data - Accounts'!K21</f>
        <v/>
      </c>
      <c r="G21" s="33">
        <f>'Data - Accounts'!L21</f>
        <v/>
      </c>
      <c r="H21" s="44">
        <f>G21-F21</f>
        <v/>
      </c>
      <c r="I21" s="33">
        <f>SUM($H$5:$H21)</f>
        <v/>
      </c>
      <c r="J21" s="45">
        <f>IFERROR($I21/$B$67,"")</f>
        <v/>
      </c>
    </row>
    <row r="22">
      <c r="A22" s="43" t="n">
        <v>18</v>
      </c>
      <c r="B22" s="43">
        <f>'Data - Accounts'!A22</f>
        <v/>
      </c>
      <c r="C22" s="43">
        <f>'Data - Accounts'!B22</f>
        <v/>
      </c>
      <c r="D22" s="43">
        <f>'Data - Accounts'!D22</f>
        <v/>
      </c>
      <c r="E22" s="43">
        <f>'Data - Accounts'!C22</f>
        <v/>
      </c>
      <c r="F22" s="33">
        <f>'Data - Accounts'!K22</f>
        <v/>
      </c>
      <c r="G22" s="33">
        <f>'Data - Accounts'!L22</f>
        <v/>
      </c>
      <c r="H22" s="44">
        <f>G22-F22</f>
        <v/>
      </c>
      <c r="I22" s="33">
        <f>SUM($H$5:$H22)</f>
        <v/>
      </c>
      <c r="J22" s="45">
        <f>IFERROR($I22/$B$67,"")</f>
        <v/>
      </c>
    </row>
    <row r="23">
      <c r="A23" s="43" t="n">
        <v>19</v>
      </c>
      <c r="B23" s="43">
        <f>'Data - Accounts'!A23</f>
        <v/>
      </c>
      <c r="C23" s="43">
        <f>'Data - Accounts'!B23</f>
        <v/>
      </c>
      <c r="D23" s="43">
        <f>'Data - Accounts'!D23</f>
        <v/>
      </c>
      <c r="E23" s="43">
        <f>'Data - Accounts'!C23</f>
        <v/>
      </c>
      <c r="F23" s="33">
        <f>'Data - Accounts'!K23</f>
        <v/>
      </c>
      <c r="G23" s="33">
        <f>'Data - Accounts'!L23</f>
        <v/>
      </c>
      <c r="H23" s="44">
        <f>G23-F23</f>
        <v/>
      </c>
      <c r="I23" s="33">
        <f>SUM($H$5:$H23)</f>
        <v/>
      </c>
      <c r="J23" s="45">
        <f>IFERROR($I23/$B$67,"")</f>
        <v/>
      </c>
    </row>
    <row r="24">
      <c r="A24" s="43" t="n">
        <v>20</v>
      </c>
      <c r="B24" s="43">
        <f>'Data - Accounts'!A24</f>
        <v/>
      </c>
      <c r="C24" s="43">
        <f>'Data - Accounts'!B24</f>
        <v/>
      </c>
      <c r="D24" s="43">
        <f>'Data - Accounts'!D24</f>
        <v/>
      </c>
      <c r="E24" s="43">
        <f>'Data - Accounts'!C24</f>
        <v/>
      </c>
      <c r="F24" s="33">
        <f>'Data - Accounts'!K24</f>
        <v/>
      </c>
      <c r="G24" s="33">
        <f>'Data - Accounts'!L24</f>
        <v/>
      </c>
      <c r="H24" s="44">
        <f>G24-F24</f>
        <v/>
      </c>
      <c r="I24" s="33">
        <f>SUM($H$5:$H24)</f>
        <v/>
      </c>
      <c r="J24" s="45">
        <f>IFERROR($I24/$B$67,"")</f>
        <v/>
      </c>
    </row>
    <row r="25">
      <c r="A25" s="43" t="n">
        <v>21</v>
      </c>
      <c r="B25" s="43">
        <f>'Data - Accounts'!A25</f>
        <v/>
      </c>
      <c r="C25" s="43">
        <f>'Data - Accounts'!B25</f>
        <v/>
      </c>
      <c r="D25" s="43">
        <f>'Data - Accounts'!D25</f>
        <v/>
      </c>
      <c r="E25" s="43">
        <f>'Data - Accounts'!C25</f>
        <v/>
      </c>
      <c r="F25" s="33">
        <f>'Data - Accounts'!K25</f>
        <v/>
      </c>
      <c r="G25" s="33">
        <f>'Data - Accounts'!L25</f>
        <v/>
      </c>
      <c r="H25" s="44">
        <f>G25-F25</f>
        <v/>
      </c>
      <c r="I25" s="33">
        <f>SUM($H$5:$H25)</f>
        <v/>
      </c>
      <c r="J25" s="45">
        <f>IFERROR($I25/$B$67,"")</f>
        <v/>
      </c>
    </row>
    <row r="26">
      <c r="A26" s="43" t="n">
        <v>22</v>
      </c>
      <c r="B26" s="43">
        <f>'Data - Accounts'!A26</f>
        <v/>
      </c>
      <c r="C26" s="43">
        <f>'Data - Accounts'!B26</f>
        <v/>
      </c>
      <c r="D26" s="43">
        <f>'Data - Accounts'!D26</f>
        <v/>
      </c>
      <c r="E26" s="43">
        <f>'Data - Accounts'!C26</f>
        <v/>
      </c>
      <c r="F26" s="33">
        <f>'Data - Accounts'!K26</f>
        <v/>
      </c>
      <c r="G26" s="33">
        <f>'Data - Accounts'!L26</f>
        <v/>
      </c>
      <c r="H26" s="44">
        <f>G26-F26</f>
        <v/>
      </c>
      <c r="I26" s="33">
        <f>SUM($H$5:$H26)</f>
        <v/>
      </c>
      <c r="J26" s="45">
        <f>IFERROR($I26/$B$67,"")</f>
        <v/>
      </c>
    </row>
    <row r="27">
      <c r="A27" s="43" t="n">
        <v>23</v>
      </c>
      <c r="B27" s="43">
        <f>'Data - Accounts'!A27</f>
        <v/>
      </c>
      <c r="C27" s="43">
        <f>'Data - Accounts'!B27</f>
        <v/>
      </c>
      <c r="D27" s="43">
        <f>'Data - Accounts'!D27</f>
        <v/>
      </c>
      <c r="E27" s="43">
        <f>'Data - Accounts'!C27</f>
        <v/>
      </c>
      <c r="F27" s="33">
        <f>'Data - Accounts'!K27</f>
        <v/>
      </c>
      <c r="G27" s="33">
        <f>'Data - Accounts'!L27</f>
        <v/>
      </c>
      <c r="H27" s="44">
        <f>G27-F27</f>
        <v/>
      </c>
      <c r="I27" s="33">
        <f>SUM($H$5:$H27)</f>
        <v/>
      </c>
      <c r="J27" s="45">
        <f>IFERROR($I27/$B$67,"")</f>
        <v/>
      </c>
    </row>
    <row r="28">
      <c r="A28" s="43" t="n">
        <v>24</v>
      </c>
      <c r="B28" s="43">
        <f>'Data - Accounts'!A28</f>
        <v/>
      </c>
      <c r="C28" s="43">
        <f>'Data - Accounts'!B28</f>
        <v/>
      </c>
      <c r="D28" s="43">
        <f>'Data - Accounts'!D28</f>
        <v/>
      </c>
      <c r="E28" s="43">
        <f>'Data - Accounts'!C28</f>
        <v/>
      </c>
      <c r="F28" s="33">
        <f>'Data - Accounts'!K28</f>
        <v/>
      </c>
      <c r="G28" s="33">
        <f>'Data - Accounts'!L28</f>
        <v/>
      </c>
      <c r="H28" s="44">
        <f>G28-F28</f>
        <v/>
      </c>
      <c r="I28" s="33">
        <f>SUM($H$5:$H28)</f>
        <v/>
      </c>
      <c r="J28" s="45">
        <f>IFERROR($I28/$B$67,"")</f>
        <v/>
      </c>
    </row>
    <row r="29">
      <c r="A29" s="43" t="n">
        <v>25</v>
      </c>
      <c r="B29" s="43">
        <f>'Data - Accounts'!A29</f>
        <v/>
      </c>
      <c r="C29" s="43">
        <f>'Data - Accounts'!B29</f>
        <v/>
      </c>
      <c r="D29" s="43">
        <f>'Data - Accounts'!D29</f>
        <v/>
      </c>
      <c r="E29" s="43">
        <f>'Data - Accounts'!C29</f>
        <v/>
      </c>
      <c r="F29" s="33">
        <f>'Data - Accounts'!K29</f>
        <v/>
      </c>
      <c r="G29" s="33">
        <f>'Data - Accounts'!L29</f>
        <v/>
      </c>
      <c r="H29" s="44">
        <f>G29-F29</f>
        <v/>
      </c>
      <c r="I29" s="33">
        <f>SUM($H$5:$H29)</f>
        <v/>
      </c>
      <c r="J29" s="45">
        <f>IFERROR($I29/$B$67,"")</f>
        <v/>
      </c>
    </row>
    <row r="30">
      <c r="A30" s="43" t="n">
        <v>26</v>
      </c>
      <c r="B30" s="43">
        <f>'Data - Accounts'!A30</f>
        <v/>
      </c>
      <c r="C30" s="43">
        <f>'Data - Accounts'!B30</f>
        <v/>
      </c>
      <c r="D30" s="43">
        <f>'Data - Accounts'!D30</f>
        <v/>
      </c>
      <c r="E30" s="43">
        <f>'Data - Accounts'!C30</f>
        <v/>
      </c>
      <c r="F30" s="33">
        <f>'Data - Accounts'!K30</f>
        <v/>
      </c>
      <c r="G30" s="33">
        <f>'Data - Accounts'!L30</f>
        <v/>
      </c>
      <c r="H30" s="44">
        <f>G30-F30</f>
        <v/>
      </c>
      <c r="I30" s="33">
        <f>SUM($H$5:$H30)</f>
        <v/>
      </c>
      <c r="J30" s="45">
        <f>IFERROR($I30/$B$67,"")</f>
        <v/>
      </c>
    </row>
    <row r="31">
      <c r="A31" s="43" t="n">
        <v>27</v>
      </c>
      <c r="B31" s="43">
        <f>'Data - Accounts'!A31</f>
        <v/>
      </c>
      <c r="C31" s="43">
        <f>'Data - Accounts'!B31</f>
        <v/>
      </c>
      <c r="D31" s="43">
        <f>'Data - Accounts'!D31</f>
        <v/>
      </c>
      <c r="E31" s="43">
        <f>'Data - Accounts'!C31</f>
        <v/>
      </c>
      <c r="F31" s="33">
        <f>'Data - Accounts'!K31</f>
        <v/>
      </c>
      <c r="G31" s="33">
        <f>'Data - Accounts'!L31</f>
        <v/>
      </c>
      <c r="H31" s="44">
        <f>G31-F31</f>
        <v/>
      </c>
      <c r="I31" s="33">
        <f>SUM($H$5:$H31)</f>
        <v/>
      </c>
      <c r="J31" s="45">
        <f>IFERROR($I31/$B$67,"")</f>
        <v/>
      </c>
    </row>
    <row r="32">
      <c r="A32" s="43" t="n">
        <v>28</v>
      </c>
      <c r="B32" s="43">
        <f>'Data - Accounts'!A32</f>
        <v/>
      </c>
      <c r="C32" s="43">
        <f>'Data - Accounts'!B32</f>
        <v/>
      </c>
      <c r="D32" s="43">
        <f>'Data - Accounts'!D32</f>
        <v/>
      </c>
      <c r="E32" s="43">
        <f>'Data - Accounts'!C32</f>
        <v/>
      </c>
      <c r="F32" s="33">
        <f>'Data - Accounts'!K32</f>
        <v/>
      </c>
      <c r="G32" s="33">
        <f>'Data - Accounts'!L32</f>
        <v/>
      </c>
      <c r="H32" s="44">
        <f>G32-F32</f>
        <v/>
      </c>
      <c r="I32" s="33">
        <f>SUM($H$5:$H32)</f>
        <v/>
      </c>
      <c r="J32" s="45">
        <f>IFERROR($I32/$B$67,"")</f>
        <v/>
      </c>
    </row>
    <row r="33">
      <c r="A33" s="43" t="n">
        <v>29</v>
      </c>
      <c r="B33" s="43">
        <f>'Data - Accounts'!A33</f>
        <v/>
      </c>
      <c r="C33" s="43">
        <f>'Data - Accounts'!B33</f>
        <v/>
      </c>
      <c r="D33" s="43">
        <f>'Data - Accounts'!D33</f>
        <v/>
      </c>
      <c r="E33" s="43">
        <f>'Data - Accounts'!C33</f>
        <v/>
      </c>
      <c r="F33" s="33">
        <f>'Data - Accounts'!K33</f>
        <v/>
      </c>
      <c r="G33" s="33">
        <f>'Data - Accounts'!L33</f>
        <v/>
      </c>
      <c r="H33" s="44">
        <f>G33-F33</f>
        <v/>
      </c>
      <c r="I33" s="33">
        <f>SUM($H$5:$H33)</f>
        <v/>
      </c>
      <c r="J33" s="45">
        <f>IFERROR($I33/$B$67,"")</f>
        <v/>
      </c>
    </row>
    <row r="34">
      <c r="A34" s="43" t="n">
        <v>30</v>
      </c>
      <c r="B34" s="43">
        <f>'Data - Accounts'!A34</f>
        <v/>
      </c>
      <c r="C34" s="43">
        <f>'Data - Accounts'!B34</f>
        <v/>
      </c>
      <c r="D34" s="43">
        <f>'Data - Accounts'!D34</f>
        <v/>
      </c>
      <c r="E34" s="43">
        <f>'Data - Accounts'!C34</f>
        <v/>
      </c>
      <c r="F34" s="33">
        <f>'Data - Accounts'!K34</f>
        <v/>
      </c>
      <c r="G34" s="33">
        <f>'Data - Accounts'!L34</f>
        <v/>
      </c>
      <c r="H34" s="44">
        <f>G34-F34</f>
        <v/>
      </c>
      <c r="I34" s="33">
        <f>SUM($H$5:$H34)</f>
        <v/>
      </c>
      <c r="J34" s="45">
        <f>IFERROR($I34/$B$67,"")</f>
        <v/>
      </c>
    </row>
    <row r="35">
      <c r="A35" s="43" t="n">
        <v>31</v>
      </c>
      <c r="B35" s="43">
        <f>'Data - Accounts'!A35</f>
        <v/>
      </c>
      <c r="C35" s="43">
        <f>'Data - Accounts'!B35</f>
        <v/>
      </c>
      <c r="D35" s="43">
        <f>'Data - Accounts'!D35</f>
        <v/>
      </c>
      <c r="E35" s="43">
        <f>'Data - Accounts'!C35</f>
        <v/>
      </c>
      <c r="F35" s="33">
        <f>'Data - Accounts'!K35</f>
        <v/>
      </c>
      <c r="G35" s="33">
        <f>'Data - Accounts'!L35</f>
        <v/>
      </c>
      <c r="H35" s="44">
        <f>G35-F35</f>
        <v/>
      </c>
      <c r="I35" s="33">
        <f>SUM($H$5:$H35)</f>
        <v/>
      </c>
      <c r="J35" s="45">
        <f>IFERROR($I35/$B$67,"")</f>
        <v/>
      </c>
    </row>
    <row r="36">
      <c r="A36" s="43" t="n">
        <v>32</v>
      </c>
      <c r="B36" s="43">
        <f>'Data - Accounts'!A36</f>
        <v/>
      </c>
      <c r="C36" s="43">
        <f>'Data - Accounts'!B36</f>
        <v/>
      </c>
      <c r="D36" s="43">
        <f>'Data - Accounts'!D36</f>
        <v/>
      </c>
      <c r="E36" s="43">
        <f>'Data - Accounts'!C36</f>
        <v/>
      </c>
      <c r="F36" s="33">
        <f>'Data - Accounts'!K36</f>
        <v/>
      </c>
      <c r="G36" s="33">
        <f>'Data - Accounts'!L36</f>
        <v/>
      </c>
      <c r="H36" s="44">
        <f>G36-F36</f>
        <v/>
      </c>
      <c r="I36" s="33">
        <f>SUM($H$5:$H36)</f>
        <v/>
      </c>
      <c r="J36" s="45">
        <f>IFERROR($I36/$B$67,"")</f>
        <v/>
      </c>
    </row>
    <row r="37">
      <c r="A37" s="43" t="n">
        <v>33</v>
      </c>
      <c r="B37" s="43">
        <f>'Data - Accounts'!A37</f>
        <v/>
      </c>
      <c r="C37" s="43">
        <f>'Data - Accounts'!B37</f>
        <v/>
      </c>
      <c r="D37" s="43">
        <f>'Data - Accounts'!D37</f>
        <v/>
      </c>
      <c r="E37" s="43">
        <f>'Data - Accounts'!C37</f>
        <v/>
      </c>
      <c r="F37" s="33">
        <f>'Data - Accounts'!K37</f>
        <v/>
      </c>
      <c r="G37" s="33">
        <f>'Data - Accounts'!L37</f>
        <v/>
      </c>
      <c r="H37" s="44">
        <f>G37-F37</f>
        <v/>
      </c>
      <c r="I37" s="33">
        <f>SUM($H$5:$H37)</f>
        <v/>
      </c>
      <c r="J37" s="45">
        <f>IFERROR($I37/$B$67,"")</f>
        <v/>
      </c>
    </row>
    <row r="38">
      <c r="A38" s="43" t="n">
        <v>34</v>
      </c>
      <c r="B38" s="43">
        <f>'Data - Accounts'!A38</f>
        <v/>
      </c>
      <c r="C38" s="43">
        <f>'Data - Accounts'!B38</f>
        <v/>
      </c>
      <c r="D38" s="43">
        <f>'Data - Accounts'!D38</f>
        <v/>
      </c>
      <c r="E38" s="43">
        <f>'Data - Accounts'!C38</f>
        <v/>
      </c>
      <c r="F38" s="33">
        <f>'Data - Accounts'!K38</f>
        <v/>
      </c>
      <c r="G38" s="33">
        <f>'Data - Accounts'!L38</f>
        <v/>
      </c>
      <c r="H38" s="44">
        <f>G38-F38</f>
        <v/>
      </c>
      <c r="I38" s="33">
        <f>SUM($H$5:$H38)</f>
        <v/>
      </c>
      <c r="J38" s="45">
        <f>IFERROR($I38/$B$67,"")</f>
        <v/>
      </c>
    </row>
    <row r="39">
      <c r="A39" s="43" t="n">
        <v>35</v>
      </c>
      <c r="B39" s="43">
        <f>'Data - Accounts'!A39</f>
        <v/>
      </c>
      <c r="C39" s="43">
        <f>'Data - Accounts'!B39</f>
        <v/>
      </c>
      <c r="D39" s="43">
        <f>'Data - Accounts'!D39</f>
        <v/>
      </c>
      <c r="E39" s="43">
        <f>'Data - Accounts'!C39</f>
        <v/>
      </c>
      <c r="F39" s="33">
        <f>'Data - Accounts'!K39</f>
        <v/>
      </c>
      <c r="G39" s="33">
        <f>'Data - Accounts'!L39</f>
        <v/>
      </c>
      <c r="H39" s="44">
        <f>G39-F39</f>
        <v/>
      </c>
      <c r="I39" s="33">
        <f>SUM($H$5:$H39)</f>
        <v/>
      </c>
      <c r="J39" s="45">
        <f>IFERROR($I39/$B$67,"")</f>
        <v/>
      </c>
    </row>
    <row r="40">
      <c r="A40" s="43" t="n">
        <v>36</v>
      </c>
      <c r="B40" s="43">
        <f>'Data - Accounts'!A40</f>
        <v/>
      </c>
      <c r="C40" s="43">
        <f>'Data - Accounts'!B40</f>
        <v/>
      </c>
      <c r="D40" s="43">
        <f>'Data - Accounts'!D40</f>
        <v/>
      </c>
      <c r="E40" s="43">
        <f>'Data - Accounts'!C40</f>
        <v/>
      </c>
      <c r="F40" s="33">
        <f>'Data - Accounts'!K40</f>
        <v/>
      </c>
      <c r="G40" s="33">
        <f>'Data - Accounts'!L40</f>
        <v/>
      </c>
      <c r="H40" s="44">
        <f>G40-F40</f>
        <v/>
      </c>
      <c r="I40" s="33">
        <f>SUM($H$5:$H40)</f>
        <v/>
      </c>
      <c r="J40" s="45">
        <f>IFERROR($I40/$B$67,"")</f>
        <v/>
      </c>
    </row>
    <row r="41">
      <c r="A41" s="43" t="n">
        <v>37</v>
      </c>
      <c r="B41" s="43">
        <f>'Data - Accounts'!A41</f>
        <v/>
      </c>
      <c r="C41" s="43">
        <f>'Data - Accounts'!B41</f>
        <v/>
      </c>
      <c r="D41" s="43">
        <f>'Data - Accounts'!D41</f>
        <v/>
      </c>
      <c r="E41" s="43">
        <f>'Data - Accounts'!C41</f>
        <v/>
      </c>
      <c r="F41" s="33">
        <f>'Data - Accounts'!K41</f>
        <v/>
      </c>
      <c r="G41" s="33">
        <f>'Data - Accounts'!L41</f>
        <v/>
      </c>
      <c r="H41" s="44">
        <f>G41-F41</f>
        <v/>
      </c>
      <c r="I41" s="33">
        <f>SUM($H$5:$H41)</f>
        <v/>
      </c>
      <c r="J41" s="45">
        <f>IFERROR($I41/$B$67,"")</f>
        <v/>
      </c>
    </row>
    <row r="42">
      <c r="A42" s="43" t="n">
        <v>38</v>
      </c>
      <c r="B42" s="43">
        <f>'Data - Accounts'!A42</f>
        <v/>
      </c>
      <c r="C42" s="43">
        <f>'Data - Accounts'!B42</f>
        <v/>
      </c>
      <c r="D42" s="43">
        <f>'Data - Accounts'!D42</f>
        <v/>
      </c>
      <c r="E42" s="43">
        <f>'Data - Accounts'!C42</f>
        <v/>
      </c>
      <c r="F42" s="33">
        <f>'Data - Accounts'!K42</f>
        <v/>
      </c>
      <c r="G42" s="33">
        <f>'Data - Accounts'!L42</f>
        <v/>
      </c>
      <c r="H42" s="44">
        <f>G42-F42</f>
        <v/>
      </c>
      <c r="I42" s="33">
        <f>SUM($H$5:$H42)</f>
        <v/>
      </c>
      <c r="J42" s="45">
        <f>IFERROR($I42/$B$67,"")</f>
        <v/>
      </c>
    </row>
    <row r="43">
      <c r="A43" s="43" t="n">
        <v>39</v>
      </c>
      <c r="B43" s="43">
        <f>'Data - Accounts'!A43</f>
        <v/>
      </c>
      <c r="C43" s="43">
        <f>'Data - Accounts'!B43</f>
        <v/>
      </c>
      <c r="D43" s="43">
        <f>'Data - Accounts'!D43</f>
        <v/>
      </c>
      <c r="E43" s="43">
        <f>'Data - Accounts'!C43</f>
        <v/>
      </c>
      <c r="F43" s="33">
        <f>'Data - Accounts'!K43</f>
        <v/>
      </c>
      <c r="G43" s="33">
        <f>'Data - Accounts'!L43</f>
        <v/>
      </c>
      <c r="H43" s="44">
        <f>G43-F43</f>
        <v/>
      </c>
      <c r="I43" s="33">
        <f>SUM($H$5:$H43)</f>
        <v/>
      </c>
      <c r="J43" s="45">
        <f>IFERROR($I43/$B$67,"")</f>
        <v/>
      </c>
    </row>
    <row r="44">
      <c r="A44" s="43" t="n">
        <v>40</v>
      </c>
      <c r="B44" s="43">
        <f>'Data - Accounts'!A44</f>
        <v/>
      </c>
      <c r="C44" s="43">
        <f>'Data - Accounts'!B44</f>
        <v/>
      </c>
      <c r="D44" s="43">
        <f>'Data - Accounts'!D44</f>
        <v/>
      </c>
      <c r="E44" s="43">
        <f>'Data - Accounts'!C44</f>
        <v/>
      </c>
      <c r="F44" s="33">
        <f>'Data - Accounts'!K44</f>
        <v/>
      </c>
      <c r="G44" s="33">
        <f>'Data - Accounts'!L44</f>
        <v/>
      </c>
      <c r="H44" s="44">
        <f>G44-F44</f>
        <v/>
      </c>
      <c r="I44" s="33">
        <f>SUM($H$5:$H44)</f>
        <v/>
      </c>
      <c r="J44" s="45">
        <f>IFERROR($I44/$B$67,"")</f>
        <v/>
      </c>
    </row>
    <row r="45">
      <c r="A45" s="43" t="n">
        <v>41</v>
      </c>
      <c r="B45" s="43">
        <f>'Data - Accounts'!A45</f>
        <v/>
      </c>
      <c r="C45" s="43">
        <f>'Data - Accounts'!B45</f>
        <v/>
      </c>
      <c r="D45" s="43">
        <f>'Data - Accounts'!D45</f>
        <v/>
      </c>
      <c r="E45" s="43">
        <f>'Data - Accounts'!C45</f>
        <v/>
      </c>
      <c r="F45" s="33">
        <f>'Data - Accounts'!K45</f>
        <v/>
      </c>
      <c r="G45" s="33">
        <f>'Data - Accounts'!L45</f>
        <v/>
      </c>
      <c r="H45" s="44">
        <f>G45-F45</f>
        <v/>
      </c>
      <c r="I45" s="33">
        <f>SUM($H$5:$H45)</f>
        <v/>
      </c>
      <c r="J45" s="45">
        <f>IFERROR($I45/$B$67,"")</f>
        <v/>
      </c>
    </row>
    <row r="46">
      <c r="A46" s="43" t="n">
        <v>42</v>
      </c>
      <c r="B46" s="43">
        <f>'Data - Accounts'!A46</f>
        <v/>
      </c>
      <c r="C46" s="43">
        <f>'Data - Accounts'!B46</f>
        <v/>
      </c>
      <c r="D46" s="43">
        <f>'Data - Accounts'!D46</f>
        <v/>
      </c>
      <c r="E46" s="43">
        <f>'Data - Accounts'!C46</f>
        <v/>
      </c>
      <c r="F46" s="33">
        <f>'Data - Accounts'!K46</f>
        <v/>
      </c>
      <c r="G46" s="33">
        <f>'Data - Accounts'!L46</f>
        <v/>
      </c>
      <c r="H46" s="44">
        <f>G46-F46</f>
        <v/>
      </c>
      <c r="I46" s="33">
        <f>SUM($H$5:$H46)</f>
        <v/>
      </c>
      <c r="J46" s="45">
        <f>IFERROR($I46/$B$67,"")</f>
        <v/>
      </c>
    </row>
    <row r="47">
      <c r="A47" s="43" t="n">
        <v>43</v>
      </c>
      <c r="B47" s="43">
        <f>'Data - Accounts'!A47</f>
        <v/>
      </c>
      <c r="C47" s="43">
        <f>'Data - Accounts'!B47</f>
        <v/>
      </c>
      <c r="D47" s="43">
        <f>'Data - Accounts'!D47</f>
        <v/>
      </c>
      <c r="E47" s="43">
        <f>'Data - Accounts'!C47</f>
        <v/>
      </c>
      <c r="F47" s="33">
        <f>'Data - Accounts'!K47</f>
        <v/>
      </c>
      <c r="G47" s="33">
        <f>'Data - Accounts'!L47</f>
        <v/>
      </c>
      <c r="H47" s="44">
        <f>G47-F47</f>
        <v/>
      </c>
      <c r="I47" s="33">
        <f>SUM($H$5:$H47)</f>
        <v/>
      </c>
      <c r="J47" s="45">
        <f>IFERROR($I47/$B$67,"")</f>
        <v/>
      </c>
    </row>
    <row r="48">
      <c r="A48" s="43" t="n">
        <v>44</v>
      </c>
      <c r="B48" s="43">
        <f>'Data - Accounts'!A48</f>
        <v/>
      </c>
      <c r="C48" s="43">
        <f>'Data - Accounts'!B48</f>
        <v/>
      </c>
      <c r="D48" s="43">
        <f>'Data - Accounts'!D48</f>
        <v/>
      </c>
      <c r="E48" s="43">
        <f>'Data - Accounts'!C48</f>
        <v/>
      </c>
      <c r="F48" s="33">
        <f>'Data - Accounts'!K48</f>
        <v/>
      </c>
      <c r="G48" s="33">
        <f>'Data - Accounts'!L48</f>
        <v/>
      </c>
      <c r="H48" s="44">
        <f>G48-F48</f>
        <v/>
      </c>
      <c r="I48" s="33">
        <f>SUM($H$5:$H48)</f>
        <v/>
      </c>
      <c r="J48" s="45">
        <f>IFERROR($I48/$B$67,"")</f>
        <v/>
      </c>
    </row>
    <row r="49">
      <c r="A49" s="43" t="n">
        <v>45</v>
      </c>
      <c r="B49" s="43">
        <f>'Data - Accounts'!A49</f>
        <v/>
      </c>
      <c r="C49" s="43">
        <f>'Data - Accounts'!B49</f>
        <v/>
      </c>
      <c r="D49" s="43">
        <f>'Data - Accounts'!D49</f>
        <v/>
      </c>
      <c r="E49" s="43">
        <f>'Data - Accounts'!C49</f>
        <v/>
      </c>
      <c r="F49" s="33">
        <f>'Data - Accounts'!K49</f>
        <v/>
      </c>
      <c r="G49" s="33">
        <f>'Data - Accounts'!L49</f>
        <v/>
      </c>
      <c r="H49" s="44">
        <f>G49-F49</f>
        <v/>
      </c>
      <c r="I49" s="33">
        <f>SUM($H$5:$H49)</f>
        <v/>
      </c>
      <c r="J49" s="45">
        <f>IFERROR($I49/$B$67,"")</f>
        <v/>
      </c>
    </row>
    <row r="50">
      <c r="A50" s="43" t="n">
        <v>46</v>
      </c>
      <c r="B50" s="43">
        <f>'Data - Accounts'!A50</f>
        <v/>
      </c>
      <c r="C50" s="43">
        <f>'Data - Accounts'!B50</f>
        <v/>
      </c>
      <c r="D50" s="43">
        <f>'Data - Accounts'!D50</f>
        <v/>
      </c>
      <c r="E50" s="43">
        <f>'Data - Accounts'!C50</f>
        <v/>
      </c>
      <c r="F50" s="33">
        <f>'Data - Accounts'!K50</f>
        <v/>
      </c>
      <c r="G50" s="33">
        <f>'Data - Accounts'!L50</f>
        <v/>
      </c>
      <c r="H50" s="44">
        <f>G50-F50</f>
        <v/>
      </c>
      <c r="I50" s="33">
        <f>SUM($H$5:$H50)</f>
        <v/>
      </c>
      <c r="J50" s="45">
        <f>IFERROR($I50/$B$67,"")</f>
        <v/>
      </c>
    </row>
    <row r="51">
      <c r="A51" s="43" t="n">
        <v>47</v>
      </c>
      <c r="B51" s="43">
        <f>'Data - Accounts'!A51</f>
        <v/>
      </c>
      <c r="C51" s="43">
        <f>'Data - Accounts'!B51</f>
        <v/>
      </c>
      <c r="D51" s="43">
        <f>'Data - Accounts'!D51</f>
        <v/>
      </c>
      <c r="E51" s="43">
        <f>'Data - Accounts'!C51</f>
        <v/>
      </c>
      <c r="F51" s="33">
        <f>'Data - Accounts'!K51</f>
        <v/>
      </c>
      <c r="G51" s="33">
        <f>'Data - Accounts'!L51</f>
        <v/>
      </c>
      <c r="H51" s="44">
        <f>G51-F51</f>
        <v/>
      </c>
      <c r="I51" s="33">
        <f>SUM($H$5:$H51)</f>
        <v/>
      </c>
      <c r="J51" s="45">
        <f>IFERROR($I51/$B$67,"")</f>
        <v/>
      </c>
    </row>
    <row r="52">
      <c r="A52" s="43" t="n">
        <v>48</v>
      </c>
      <c r="B52" s="43">
        <f>'Data - Accounts'!A52</f>
        <v/>
      </c>
      <c r="C52" s="43">
        <f>'Data - Accounts'!B52</f>
        <v/>
      </c>
      <c r="D52" s="43">
        <f>'Data - Accounts'!D52</f>
        <v/>
      </c>
      <c r="E52" s="43">
        <f>'Data - Accounts'!C52</f>
        <v/>
      </c>
      <c r="F52" s="33">
        <f>'Data - Accounts'!K52</f>
        <v/>
      </c>
      <c r="G52" s="33">
        <f>'Data - Accounts'!L52</f>
        <v/>
      </c>
      <c r="H52" s="44">
        <f>G52-F52</f>
        <v/>
      </c>
      <c r="I52" s="33">
        <f>SUM($H$5:$H52)</f>
        <v/>
      </c>
      <c r="J52" s="45">
        <f>IFERROR($I52/$B$67,"")</f>
        <v/>
      </c>
    </row>
    <row r="53">
      <c r="A53" s="43" t="n">
        <v>49</v>
      </c>
      <c r="B53" s="43">
        <f>'Data - Accounts'!A53</f>
        <v/>
      </c>
      <c r="C53" s="43">
        <f>'Data - Accounts'!B53</f>
        <v/>
      </c>
      <c r="D53" s="43">
        <f>'Data - Accounts'!D53</f>
        <v/>
      </c>
      <c r="E53" s="43">
        <f>'Data - Accounts'!C53</f>
        <v/>
      </c>
      <c r="F53" s="33">
        <f>'Data - Accounts'!K53</f>
        <v/>
      </c>
      <c r="G53" s="33">
        <f>'Data - Accounts'!L53</f>
        <v/>
      </c>
      <c r="H53" s="44">
        <f>G53-F53</f>
        <v/>
      </c>
      <c r="I53" s="33">
        <f>SUM($H$5:$H53)</f>
        <v/>
      </c>
      <c r="J53" s="45">
        <f>IFERROR($I53/$B$67,"")</f>
        <v/>
      </c>
    </row>
    <row r="54">
      <c r="A54" s="43" t="n">
        <v>50</v>
      </c>
      <c r="B54" s="43">
        <f>'Data - Accounts'!A54</f>
        <v/>
      </c>
      <c r="C54" s="43">
        <f>'Data - Accounts'!B54</f>
        <v/>
      </c>
      <c r="D54" s="43">
        <f>'Data - Accounts'!D54</f>
        <v/>
      </c>
      <c r="E54" s="43">
        <f>'Data - Accounts'!C54</f>
        <v/>
      </c>
      <c r="F54" s="33">
        <f>'Data - Accounts'!K54</f>
        <v/>
      </c>
      <c r="G54" s="33">
        <f>'Data - Accounts'!L54</f>
        <v/>
      </c>
      <c r="H54" s="44">
        <f>G54-F54</f>
        <v/>
      </c>
      <c r="I54" s="33">
        <f>SUM($H$5:$H54)</f>
        <v/>
      </c>
      <c r="J54" s="45">
        <f>IFERROR($I54/$B$67,"")</f>
        <v/>
      </c>
    </row>
    <row r="55">
      <c r="A55" s="43" t="n">
        <v>51</v>
      </c>
      <c r="B55" s="43">
        <f>'Data - Accounts'!A55</f>
        <v/>
      </c>
      <c r="C55" s="43">
        <f>'Data - Accounts'!B55</f>
        <v/>
      </c>
      <c r="D55" s="43">
        <f>'Data - Accounts'!D55</f>
        <v/>
      </c>
      <c r="E55" s="43">
        <f>'Data - Accounts'!C55</f>
        <v/>
      </c>
      <c r="F55" s="33">
        <f>'Data - Accounts'!K55</f>
        <v/>
      </c>
      <c r="G55" s="33">
        <f>'Data - Accounts'!L55</f>
        <v/>
      </c>
      <c r="H55" s="44">
        <f>G55-F55</f>
        <v/>
      </c>
      <c r="I55" s="33">
        <f>SUM($H$5:$H55)</f>
        <v/>
      </c>
      <c r="J55" s="45">
        <f>IFERROR($I55/$B$67,"")</f>
        <v/>
      </c>
    </row>
    <row r="56">
      <c r="A56" s="43" t="n">
        <v>52</v>
      </c>
      <c r="B56" s="43">
        <f>'Data - Accounts'!A56</f>
        <v/>
      </c>
      <c r="C56" s="43">
        <f>'Data - Accounts'!B56</f>
        <v/>
      </c>
      <c r="D56" s="43">
        <f>'Data - Accounts'!D56</f>
        <v/>
      </c>
      <c r="E56" s="43">
        <f>'Data - Accounts'!C56</f>
        <v/>
      </c>
      <c r="F56" s="33">
        <f>'Data - Accounts'!K56</f>
        <v/>
      </c>
      <c r="G56" s="33">
        <f>'Data - Accounts'!L56</f>
        <v/>
      </c>
      <c r="H56" s="44">
        <f>G56-F56</f>
        <v/>
      </c>
      <c r="I56" s="33">
        <f>SUM($H$5:$H56)</f>
        <v/>
      </c>
      <c r="J56" s="45">
        <f>IFERROR($I56/$B$67,"")</f>
        <v/>
      </c>
    </row>
    <row r="57">
      <c r="A57" s="43" t="n">
        <v>53</v>
      </c>
      <c r="B57" s="43">
        <f>'Data - Accounts'!A57</f>
        <v/>
      </c>
      <c r="C57" s="43">
        <f>'Data - Accounts'!B57</f>
        <v/>
      </c>
      <c r="D57" s="43">
        <f>'Data - Accounts'!D57</f>
        <v/>
      </c>
      <c r="E57" s="43">
        <f>'Data - Accounts'!C57</f>
        <v/>
      </c>
      <c r="F57" s="33">
        <f>'Data - Accounts'!K57</f>
        <v/>
      </c>
      <c r="G57" s="33">
        <f>'Data - Accounts'!L57</f>
        <v/>
      </c>
      <c r="H57" s="44">
        <f>G57-F57</f>
        <v/>
      </c>
      <c r="I57" s="33">
        <f>SUM($H$5:$H57)</f>
        <v/>
      </c>
      <c r="J57" s="45">
        <f>IFERROR($I57/$B$67,"")</f>
        <v/>
      </c>
    </row>
    <row r="58">
      <c r="A58" s="43" t="n">
        <v>54</v>
      </c>
      <c r="B58" s="43">
        <f>'Data - Accounts'!A58</f>
        <v/>
      </c>
      <c r="C58" s="43">
        <f>'Data - Accounts'!B58</f>
        <v/>
      </c>
      <c r="D58" s="43">
        <f>'Data - Accounts'!D58</f>
        <v/>
      </c>
      <c r="E58" s="43">
        <f>'Data - Accounts'!C58</f>
        <v/>
      </c>
      <c r="F58" s="33">
        <f>'Data - Accounts'!K58</f>
        <v/>
      </c>
      <c r="G58" s="33">
        <f>'Data - Accounts'!L58</f>
        <v/>
      </c>
      <c r="H58" s="44">
        <f>G58-F58</f>
        <v/>
      </c>
      <c r="I58" s="33">
        <f>SUM($H$5:$H58)</f>
        <v/>
      </c>
      <c r="J58" s="45">
        <f>IFERROR($I58/$B$67,"")</f>
        <v/>
      </c>
    </row>
    <row r="59">
      <c r="A59" s="43" t="n">
        <v>55</v>
      </c>
      <c r="B59" s="43">
        <f>'Data - Accounts'!A59</f>
        <v/>
      </c>
      <c r="C59" s="43">
        <f>'Data - Accounts'!B59</f>
        <v/>
      </c>
      <c r="D59" s="43">
        <f>'Data - Accounts'!D59</f>
        <v/>
      </c>
      <c r="E59" s="43">
        <f>'Data - Accounts'!C59</f>
        <v/>
      </c>
      <c r="F59" s="33">
        <f>'Data - Accounts'!K59</f>
        <v/>
      </c>
      <c r="G59" s="33">
        <f>'Data - Accounts'!L59</f>
        <v/>
      </c>
      <c r="H59" s="44">
        <f>G59-F59</f>
        <v/>
      </c>
      <c r="I59" s="33">
        <f>SUM($H$5:$H59)</f>
        <v/>
      </c>
      <c r="J59" s="45">
        <f>IFERROR($I59/$B$67,"")</f>
        <v/>
      </c>
    </row>
    <row r="60">
      <c r="A60" s="43" t="n">
        <v>56</v>
      </c>
      <c r="B60" s="43">
        <f>'Data - Accounts'!A60</f>
        <v/>
      </c>
      <c r="C60" s="43">
        <f>'Data - Accounts'!B60</f>
        <v/>
      </c>
      <c r="D60" s="43">
        <f>'Data - Accounts'!D60</f>
        <v/>
      </c>
      <c r="E60" s="43">
        <f>'Data - Accounts'!C60</f>
        <v/>
      </c>
      <c r="F60" s="33">
        <f>'Data - Accounts'!K60</f>
        <v/>
      </c>
      <c r="G60" s="33">
        <f>'Data - Accounts'!L60</f>
        <v/>
      </c>
      <c r="H60" s="44">
        <f>G60-F60</f>
        <v/>
      </c>
      <c r="I60" s="33">
        <f>SUM($H$5:$H60)</f>
        <v/>
      </c>
      <c r="J60" s="45">
        <f>IFERROR($I60/$B$67,"")</f>
        <v/>
      </c>
    </row>
    <row r="61">
      <c r="A61" s="43" t="n">
        <v>57</v>
      </c>
      <c r="B61" s="43">
        <f>'Data - Accounts'!A61</f>
        <v/>
      </c>
      <c r="C61" s="43">
        <f>'Data - Accounts'!B61</f>
        <v/>
      </c>
      <c r="D61" s="43">
        <f>'Data - Accounts'!D61</f>
        <v/>
      </c>
      <c r="E61" s="43">
        <f>'Data - Accounts'!C61</f>
        <v/>
      </c>
      <c r="F61" s="33">
        <f>'Data - Accounts'!K61</f>
        <v/>
      </c>
      <c r="G61" s="33">
        <f>'Data - Accounts'!L61</f>
        <v/>
      </c>
      <c r="H61" s="44">
        <f>G61-F61</f>
        <v/>
      </c>
      <c r="I61" s="33">
        <f>SUM($H$5:$H61)</f>
        <v/>
      </c>
      <c r="J61" s="45">
        <f>IFERROR($I61/$B$67,"")</f>
        <v/>
      </c>
    </row>
    <row r="62">
      <c r="A62" s="43" t="n">
        <v>58</v>
      </c>
      <c r="B62" s="43">
        <f>'Data - Accounts'!A62</f>
        <v/>
      </c>
      <c r="C62" s="43">
        <f>'Data - Accounts'!B62</f>
        <v/>
      </c>
      <c r="D62" s="43">
        <f>'Data - Accounts'!D62</f>
        <v/>
      </c>
      <c r="E62" s="43">
        <f>'Data - Accounts'!C62</f>
        <v/>
      </c>
      <c r="F62" s="33">
        <f>'Data - Accounts'!K62</f>
        <v/>
      </c>
      <c r="G62" s="33">
        <f>'Data - Accounts'!L62</f>
        <v/>
      </c>
      <c r="H62" s="44">
        <f>G62-F62</f>
        <v/>
      </c>
      <c r="I62" s="33">
        <f>SUM($H$5:$H62)</f>
        <v/>
      </c>
      <c r="J62" s="45">
        <f>IFERROR($I62/$B$67,"")</f>
        <v/>
      </c>
    </row>
    <row r="63">
      <c r="A63" s="43" t="n">
        <v>59</v>
      </c>
      <c r="B63" s="43">
        <f>'Data - Accounts'!A63</f>
        <v/>
      </c>
      <c r="C63" s="43">
        <f>'Data - Accounts'!B63</f>
        <v/>
      </c>
      <c r="D63" s="43">
        <f>'Data - Accounts'!D63</f>
        <v/>
      </c>
      <c r="E63" s="43">
        <f>'Data - Accounts'!C63</f>
        <v/>
      </c>
      <c r="F63" s="33">
        <f>'Data - Accounts'!K63</f>
        <v/>
      </c>
      <c r="G63" s="33">
        <f>'Data - Accounts'!L63</f>
        <v/>
      </c>
      <c r="H63" s="44">
        <f>G63-F63</f>
        <v/>
      </c>
      <c r="I63" s="33">
        <f>SUM($H$5:$H63)</f>
        <v/>
      </c>
      <c r="J63" s="45">
        <f>IFERROR($I63/$B$67,"")</f>
        <v/>
      </c>
    </row>
    <row r="64">
      <c r="A64" s="43" t="n">
        <v>60</v>
      </c>
      <c r="B64" s="43">
        <f>'Data - Accounts'!A64</f>
        <v/>
      </c>
      <c r="C64" s="43">
        <f>'Data - Accounts'!B64</f>
        <v/>
      </c>
      <c r="D64" s="43">
        <f>'Data - Accounts'!D64</f>
        <v/>
      </c>
      <c r="E64" s="43">
        <f>'Data - Accounts'!C64</f>
        <v/>
      </c>
      <c r="F64" s="33">
        <f>'Data - Accounts'!K64</f>
        <v/>
      </c>
      <c r="G64" s="33">
        <f>'Data - Accounts'!L64</f>
        <v/>
      </c>
      <c r="H64" s="44">
        <f>G64-F64</f>
        <v/>
      </c>
      <c r="I64" s="33">
        <f>SUM($H$5:$H64)</f>
        <v/>
      </c>
      <c r="J64" s="45">
        <f>IFERROR($I64/$B$67,"")</f>
        <v/>
      </c>
    </row>
    <row r="66">
      <c r="A66" s="17" t="inlineStr">
        <is>
          <t>Net AMPLIFY case gain, all accounts</t>
        </is>
      </c>
    </row>
    <row r="67">
      <c r="A67" s="17" t="inlineStr">
        <is>
          <t>Net amplify case gain, all accounts</t>
        </is>
      </c>
      <c r="B67" s="30">
        <f>SUM('Data - Accounts'!$L$5:$L$2358)-SUM('Data - Accounts'!$K$5:$K$2358)</f>
        <v/>
      </c>
    </row>
    <row r="68">
      <c r="A68" s="13" t="inlineStr">
        <is>
          <t>Accounts buying amplify brands</t>
        </is>
      </c>
      <c r="B68" s="14">
        <f>COUNTIF('Data - Accounts'!$L$5:$L$2358,"&gt;0")+COUNTIFS('Data - Accounts'!$L$5:$L$2358,0,'Data - Accounts'!$K$5:$K$2358,"&gt;0")</f>
        <v/>
      </c>
    </row>
    <row r="69">
      <c r="A69" s="13" t="inlineStr">
        <is>
          <t xml:space="preserve">   of those, accounts that grew</t>
        </is>
      </c>
      <c r="B69" s="14">
        <f>COUNTIF('Data - Accounts'!$N$5:$N$2358,"&gt;0")</f>
        <v/>
      </c>
    </row>
    <row r="70">
      <c r="A70" s="13" t="inlineStr">
        <is>
          <t xml:space="preserve">   accounts that declined</t>
        </is>
      </c>
      <c r="B70" s="14">
        <f>COUNTIF('Data - Accounts'!$N$5:$N$2358,"&lt;0")</f>
        <v/>
      </c>
    </row>
    <row r="71">
      <c r="A71" s="17" t="inlineStr">
        <is>
          <t>Top 10 accounts — share of the net amplify gain</t>
        </is>
      </c>
      <c r="B71" s="28">
        <f>IFERROR(SUM($H$5:$H$14)/$B$67,"")</f>
        <v/>
      </c>
    </row>
    <row r="72">
      <c r="A72" s="17" t="inlineStr">
        <is>
          <t>Top 25 accounts — share of the net amplify gain</t>
        </is>
      </c>
      <c r="B72" s="28">
        <f>IFERROR(SUM($H$5:$H$29)/$B$67,"")</f>
        <v/>
      </c>
    </row>
    <row r="73">
      <c r="A73" s="17" t="inlineStr">
        <is>
          <t>Top 50 accounts — share of the net amplify gain</t>
        </is>
      </c>
      <c r="B73" s="28">
        <f>IFERROR(SUM($H$5:$H$54)/$B$67,"")</f>
        <v/>
      </c>
    </row>
    <row r="74">
      <c r="A74" s="13" t="inlineStr">
        <is>
          <t>For contrast — net PROGRAM case change, all accounts</t>
        </is>
      </c>
      <c r="B74" s="14">
        <f>SUM('Data - Accounts'!$F$5:$F$2358)-SUM('Data - Accounts'!$E$5:$E$2358)</f>
        <v/>
      </c>
    </row>
    <row r="76">
      <c r="A76" s="5" t="inlineStr">
        <is>
          <t>WHAT THIS MEANS</t>
        </is>
      </c>
    </row>
    <row r="77">
      <c r="A77" s="2" t="inlineStr">
        <is>
          <t>The gain is not broad execution across a route. A handful of large-format accounts — BJ's, Super Wine Warehouse, Beverage Barn, Total Wine, Sam's Club — carry most of it.</t>
        </is>
      </c>
    </row>
    <row r="78">
      <c r="A78" s="2" t="inlineStr">
        <is>
          <t>Volume in those doors moves on chain decisions and warehouse display buys negotiated above the rep. A per-case incentive paid to 28 reps is not the lever that produced it, and would not reliably reproduce it.</t>
        </is>
      </c>
    </row>
    <row r="79">
      <c r="A79" s="2" t="inlineStr">
        <is>
          <t>This is also why the program looked better at brand level than it does here: brand totals hide the fact that the growth came from very few doors.</t>
        </is>
      </c>
    </row>
    <row r="80">
      <c r="A80" s="2" t="inlineStr">
        <is>
          <t>The last line is the reminder that the program as a whole LOST cases. Concentration is measured on amplify because that is the only segment with a gain to concentrate.</t>
        </is>
      </c>
    </row>
  </sheetData>
  <pageMargins left="0.75" right="0.75" top="1" bottom="1" header="0.5" footer="0.5"/>
</worksheet>
</file>

<file path=xl/worksheets/sheet9.xml><?xml version="1.0" encoding="utf-8"?>
<worksheet xmlns="http://schemas.openxmlformats.org/spreadsheetml/2006/main">
  <sheetPr>
    <tabColor rgb="00156B2E"/>
    <outlinePr summaryBelow="1" summaryRight="1"/>
    <pageSetUpPr/>
  </sheetPr>
  <dimension ref="A1:I16"/>
  <sheetViews>
    <sheetView showGridLines="0" workbookViewId="0">
      <pane ySplit="4" topLeftCell="A5"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15" customWidth="1" min="6" max="6"/>
    <col width="15" customWidth="1" min="7" max="7"/>
    <col width="17" customWidth="1" min="8" max="8"/>
    <col width="13" customWidth="1" min="9" max="9"/>
  </cols>
  <sheetData>
    <row r="1">
      <c r="A1" s="24" t="inlineStr">
        <is>
          <t>On-premise vs off-premise — the one place the program shows a pulse</t>
        </is>
      </c>
    </row>
    <row r="2">
      <c r="A2" s="2" t="inlineStr">
        <is>
          <t>Same acceleration test as Test 1, cut by channel, with each channel's own non-incented brands as the control.</t>
        </is>
      </c>
    </row>
    <row r="4" ht="32" customHeight="1">
      <c r="A4" s="6" t="inlineStr">
        <is>
          <t>Channel</t>
        </is>
      </c>
      <c r="B4" s="6" t="inlineStr">
        <is>
          <t>Segment</t>
        </is>
      </c>
      <c r="C4" s="6" t="inlineStr">
        <is>
          <t>Jan–May %</t>
        </is>
      </c>
      <c r="D4" s="6" t="inlineStr">
        <is>
          <t>Jun–Aug %</t>
        </is>
      </c>
      <c r="E4" s="6" t="inlineStr">
        <is>
          <t>Swing</t>
        </is>
      </c>
      <c r="F4" s="6" t="inlineStr">
        <is>
          <t>Jun–Aug CE 2026</t>
        </is>
      </c>
      <c r="G4" s="6" t="inlineStr">
        <is>
          <t>Share of program volume</t>
        </is>
      </c>
      <c r="H4" s="6" t="inlineStr">
        <is>
          <t>Control % (same channel)</t>
        </is>
      </c>
      <c r="I4" s="6" t="inlineStr">
        <is>
          <t>Gap vs control</t>
        </is>
      </c>
    </row>
    <row r="5">
      <c r="A5" s="13" t="inlineStr">
        <is>
          <t>Off-premise</t>
        </is>
      </c>
      <c r="B5" s="13" t="inlineStr">
        <is>
          <t>Qualifier</t>
        </is>
      </c>
      <c r="C5" s="15">
        <f>IFERROR(SUMIFS('Data - Channel'!$E$5:$E$19,'Data - Channel'!$A$5:$A$19,"Off-premise",'Data - Channel'!$B$5:$B$19,"Jan–May",'Data - Channel'!$C$5:$C$19,"Qualifier")/SUMIFS('Data - Channel'!$D$5:$D$19,'Data - Channel'!$A$5:$A$19,"Off-premise",'Data - Channel'!$B$5:$B$19,"Jan–May",'Data - Channel'!$C$5:$C$19,"Qualifier")-1,"")</f>
        <v/>
      </c>
      <c r="D5" s="15">
        <f>IFERROR(SUMIFS('Data - Channel'!$E$5:$E$19,'Data - Channel'!$A$5:$A$19,"Off-premise",'Data - Channel'!$B$5:$B$19,"Jun–Aug",'Data - Channel'!$C$5:$C$19,"Qualifier")/SUMIFS('Data - Channel'!$D$5:$D$19,'Data - Channel'!$A$5:$A$19,"Off-premise",'Data - Channel'!$B$5:$B$19,"Jun–Aug",'Data - Channel'!$C$5:$C$19,"Qualifier")-1,"")</f>
        <v/>
      </c>
      <c r="E5" s="31">
        <f>IFERROR(D5-C5,"")</f>
        <v/>
      </c>
      <c r="F5" s="14">
        <f>SUMIFS('Data - Channel'!$E$5:$E$19,'Data - Channel'!$A$5:$A$19,"Off-premise",'Data - Channel'!$B$5:$B$19,"Jun–Aug",'Data - Channel'!$C$5:$C$19,"Qualifier")</f>
        <v/>
      </c>
      <c r="G5" s="15">
        <f>IFERROR(F5/SUM('Data - Accounts'!$F$5:$F$2358),"")</f>
        <v/>
      </c>
      <c r="H5" s="15">
        <f>IFERROR(SUMIFS('Data - Channel'!$E$5:$E$19,'Data - Channel'!$A$5:$A$19,"Off-premise",'Data - Channel'!$B$5:$B$19,"Jun–Aug",'Data - Channel'!$C$5:$C$19,"Control")/SUMIFS('Data - Channel'!$D$5:$D$19,'Data - Channel'!$A$5:$A$19,"Off-premise",'Data - Channel'!$B$5:$B$19,"Jun–Aug",'Data - Channel'!$C$5:$C$19,"Control")-1,"")</f>
        <v/>
      </c>
      <c r="I5" s="46">
        <f>IFERROR(D5-H5,"")</f>
        <v/>
      </c>
    </row>
    <row r="6">
      <c r="A6" s="13" t="inlineStr">
        <is>
          <t>Off-premise</t>
        </is>
      </c>
      <c r="B6" s="13" t="inlineStr">
        <is>
          <t>Amplify</t>
        </is>
      </c>
      <c r="C6" s="15">
        <f>IFERROR(SUMIFS('Data - Channel'!$E$5:$E$19,'Data - Channel'!$A$5:$A$19,"Off-premise",'Data - Channel'!$B$5:$B$19,"Jan–May",'Data - Channel'!$C$5:$C$19,"Amplify")/SUMIFS('Data - Channel'!$D$5:$D$19,'Data - Channel'!$A$5:$A$19,"Off-premise",'Data - Channel'!$B$5:$B$19,"Jan–May",'Data - Channel'!$C$5:$C$19,"Amplify")-1,"")</f>
        <v/>
      </c>
      <c r="D6" s="15">
        <f>IFERROR(SUMIFS('Data - Channel'!$E$5:$E$19,'Data - Channel'!$A$5:$A$19,"Off-premise",'Data - Channel'!$B$5:$B$19,"Jun–Aug",'Data - Channel'!$C$5:$C$19,"Amplify")/SUMIFS('Data - Channel'!$D$5:$D$19,'Data - Channel'!$A$5:$A$19,"Off-premise",'Data - Channel'!$B$5:$B$19,"Jun–Aug",'Data - Channel'!$C$5:$C$19,"Amplify")-1,"")</f>
        <v/>
      </c>
      <c r="E6" s="31">
        <f>IFERROR(D6-C6,"")</f>
        <v/>
      </c>
      <c r="F6" s="14">
        <f>SUMIFS('Data - Channel'!$E$5:$E$19,'Data - Channel'!$A$5:$A$19,"Off-premise",'Data - Channel'!$B$5:$B$19,"Jun–Aug",'Data - Channel'!$C$5:$C$19,"Amplify")</f>
        <v/>
      </c>
      <c r="G6" s="15">
        <f>IFERROR(F6/SUM('Data - Accounts'!$F$5:$F$2358),"")</f>
        <v/>
      </c>
      <c r="H6" s="15">
        <f>IFERROR(SUMIFS('Data - Channel'!$E$5:$E$19,'Data - Channel'!$A$5:$A$19,"Off-premise",'Data - Channel'!$B$5:$B$19,"Jun–Aug",'Data - Channel'!$C$5:$C$19,"Control")/SUMIFS('Data - Channel'!$D$5:$D$19,'Data - Channel'!$A$5:$A$19,"Off-premise",'Data - Channel'!$B$5:$B$19,"Jun–Aug",'Data - Channel'!$C$5:$C$19,"Control")-1,"")</f>
        <v/>
      </c>
      <c r="I6" s="46">
        <f>IFERROR(D6-H6,"")</f>
        <v/>
      </c>
    </row>
    <row r="7">
      <c r="A7" s="13" t="inlineStr">
        <is>
          <t>On-premise</t>
        </is>
      </c>
      <c r="B7" s="13" t="inlineStr">
        <is>
          <t>Qualifier</t>
        </is>
      </c>
      <c r="C7" s="15">
        <f>IFERROR(SUMIFS('Data - Channel'!$E$5:$E$19,'Data - Channel'!$A$5:$A$19,"On-premise",'Data - Channel'!$B$5:$B$19,"Jan–May",'Data - Channel'!$C$5:$C$19,"Qualifier")/SUMIFS('Data - Channel'!$D$5:$D$19,'Data - Channel'!$A$5:$A$19,"On-premise",'Data - Channel'!$B$5:$B$19,"Jan–May",'Data - Channel'!$C$5:$C$19,"Qualifier")-1,"")</f>
        <v/>
      </c>
      <c r="D7" s="15">
        <f>IFERROR(SUMIFS('Data - Channel'!$E$5:$E$19,'Data - Channel'!$A$5:$A$19,"On-premise",'Data - Channel'!$B$5:$B$19,"Jun–Aug",'Data - Channel'!$C$5:$C$19,"Qualifier")/SUMIFS('Data - Channel'!$D$5:$D$19,'Data - Channel'!$A$5:$A$19,"On-premise",'Data - Channel'!$B$5:$B$19,"Jun–Aug",'Data - Channel'!$C$5:$C$19,"Qualifier")-1,"")</f>
        <v/>
      </c>
      <c r="E7" s="20">
        <f>IFERROR(D7-C7,"")</f>
        <v/>
      </c>
      <c r="F7" s="14">
        <f>SUMIFS('Data - Channel'!$E$5:$E$19,'Data - Channel'!$A$5:$A$19,"On-premise",'Data - Channel'!$B$5:$B$19,"Jun–Aug",'Data - Channel'!$C$5:$C$19,"Qualifier")</f>
        <v/>
      </c>
      <c r="G7" s="15">
        <f>IFERROR(F7/SUM('Data - Accounts'!$F$5:$F$2358),"")</f>
        <v/>
      </c>
      <c r="H7" s="15">
        <f>IFERROR(SUMIFS('Data - Channel'!$E$5:$E$19,'Data - Channel'!$A$5:$A$19,"On-premise",'Data - Channel'!$B$5:$B$19,"Jun–Aug",'Data - Channel'!$C$5:$C$19,"Control")/SUMIFS('Data - Channel'!$D$5:$D$19,'Data - Channel'!$A$5:$A$19,"On-premise",'Data - Channel'!$B$5:$B$19,"Jun–Aug",'Data - Channel'!$C$5:$C$19,"Control")-1,"")</f>
        <v/>
      </c>
      <c r="I7" s="46">
        <f>IFERROR(D7-H7,"")</f>
        <v/>
      </c>
    </row>
    <row r="8">
      <c r="A8" s="13" t="inlineStr">
        <is>
          <t>On-premise</t>
        </is>
      </c>
      <c r="B8" s="13" t="inlineStr">
        <is>
          <t>Amplify</t>
        </is>
      </c>
      <c r="C8" s="15">
        <f>IFERROR(SUMIFS('Data - Channel'!$E$5:$E$19,'Data - Channel'!$A$5:$A$19,"On-premise",'Data - Channel'!$B$5:$B$19,"Jan–May",'Data - Channel'!$C$5:$C$19,"Amplify")/SUMIFS('Data - Channel'!$D$5:$D$19,'Data - Channel'!$A$5:$A$19,"On-premise",'Data - Channel'!$B$5:$B$19,"Jan–May",'Data - Channel'!$C$5:$C$19,"Amplify")-1,"")</f>
        <v/>
      </c>
      <c r="D8" s="15">
        <f>IFERROR(SUMIFS('Data - Channel'!$E$5:$E$19,'Data - Channel'!$A$5:$A$19,"On-premise",'Data - Channel'!$B$5:$B$19,"Jun–Aug",'Data - Channel'!$C$5:$C$19,"Amplify")/SUMIFS('Data - Channel'!$D$5:$D$19,'Data - Channel'!$A$5:$A$19,"On-premise",'Data - Channel'!$B$5:$B$19,"Jun–Aug",'Data - Channel'!$C$5:$C$19,"Amplify")-1,"")</f>
        <v/>
      </c>
      <c r="E8" s="20">
        <f>IFERROR(D8-C8,"")</f>
        <v/>
      </c>
      <c r="F8" s="14">
        <f>SUMIFS('Data - Channel'!$E$5:$E$19,'Data - Channel'!$A$5:$A$19,"On-premise",'Data - Channel'!$B$5:$B$19,"Jun–Aug",'Data - Channel'!$C$5:$C$19,"Amplify")</f>
        <v/>
      </c>
      <c r="G8" s="15">
        <f>IFERROR(F8/SUM('Data - Accounts'!$F$5:$F$2358),"")</f>
        <v/>
      </c>
      <c r="H8" s="15">
        <f>IFERROR(SUMIFS('Data - Channel'!$E$5:$E$19,'Data - Channel'!$A$5:$A$19,"On-premise",'Data - Channel'!$B$5:$B$19,"Jun–Aug",'Data - Channel'!$C$5:$C$19,"Control")/SUMIFS('Data - Channel'!$D$5:$D$19,'Data - Channel'!$A$5:$A$19,"On-premise",'Data - Channel'!$B$5:$B$19,"Jun–Aug",'Data - Channel'!$C$5:$C$19,"Control")-1,"")</f>
        <v/>
      </c>
      <c r="I8" s="46">
        <f>IFERROR(D8-H8,"")</f>
        <v/>
      </c>
    </row>
    <row r="9">
      <c r="A9" s="13" t="inlineStr">
        <is>
          <t>Unmatched</t>
        </is>
      </c>
      <c r="B9" s="13" t="inlineStr">
        <is>
          <t>Qualifier</t>
        </is>
      </c>
      <c r="C9" s="15">
        <f>IFERROR(SUMIFS('Data - Channel'!$E$5:$E$19,'Data - Channel'!$A$5:$A$19,"Unmatched",'Data - Channel'!$B$5:$B$19,"Jan–May",'Data - Channel'!$C$5:$C$19,"Qualifier")/SUMIFS('Data - Channel'!$D$5:$D$19,'Data - Channel'!$A$5:$A$19,"Unmatched",'Data - Channel'!$B$5:$B$19,"Jan–May",'Data - Channel'!$C$5:$C$19,"Qualifier")-1,"")</f>
        <v/>
      </c>
      <c r="D9" s="15">
        <f>IFERROR(SUMIFS('Data - Channel'!$E$5:$E$19,'Data - Channel'!$A$5:$A$19,"Unmatched",'Data - Channel'!$B$5:$B$19,"Jun–Aug",'Data - Channel'!$C$5:$C$19,"Qualifier")/SUMIFS('Data - Channel'!$D$5:$D$19,'Data - Channel'!$A$5:$A$19,"Unmatched",'Data - Channel'!$B$5:$B$19,"Jun–Aug",'Data - Channel'!$C$5:$C$19,"Qualifier")-1,"")</f>
        <v/>
      </c>
      <c r="E9" s="31">
        <f>IFERROR(D9-C9,"")</f>
        <v/>
      </c>
      <c r="F9" s="14">
        <f>SUMIFS('Data - Channel'!$E$5:$E$19,'Data - Channel'!$A$5:$A$19,"Unmatched",'Data - Channel'!$B$5:$B$19,"Jun–Aug",'Data - Channel'!$C$5:$C$19,"Qualifier")</f>
        <v/>
      </c>
      <c r="G9" s="15">
        <f>IFERROR(F9/SUM('Data - Accounts'!$F$5:$F$2358),"")</f>
        <v/>
      </c>
      <c r="H9" s="15">
        <f>IFERROR(SUMIFS('Data - Channel'!$E$5:$E$19,'Data - Channel'!$A$5:$A$19,"Unmatched",'Data - Channel'!$B$5:$B$19,"Jun–Aug",'Data - Channel'!$C$5:$C$19,"Control")/SUMIFS('Data - Channel'!$D$5:$D$19,'Data - Channel'!$A$5:$A$19,"Unmatched",'Data - Channel'!$B$5:$B$19,"Jun–Aug",'Data - Channel'!$C$5:$C$19,"Control")-1,"")</f>
        <v/>
      </c>
      <c r="I9" s="46">
        <f>IFERROR(D9-H9,"")</f>
        <v/>
      </c>
    </row>
    <row r="10">
      <c r="A10" s="13" t="inlineStr">
        <is>
          <t>Unmatched</t>
        </is>
      </c>
      <c r="B10" s="13" t="inlineStr">
        <is>
          <t>Amplify</t>
        </is>
      </c>
      <c r="C10" s="15">
        <f>IFERROR(SUMIFS('Data - Channel'!$E$5:$E$19,'Data - Channel'!$A$5:$A$19,"Unmatched",'Data - Channel'!$B$5:$B$19,"Jan–May",'Data - Channel'!$C$5:$C$19,"Amplify")/SUMIFS('Data - Channel'!$D$5:$D$19,'Data - Channel'!$A$5:$A$19,"Unmatched",'Data - Channel'!$B$5:$B$19,"Jan–May",'Data - Channel'!$C$5:$C$19,"Amplify")-1,"")</f>
        <v/>
      </c>
      <c r="D10" s="15">
        <f>IFERROR(SUMIFS('Data - Channel'!$E$5:$E$19,'Data - Channel'!$A$5:$A$19,"Unmatched",'Data - Channel'!$B$5:$B$19,"Jun–Aug",'Data - Channel'!$C$5:$C$19,"Amplify")/SUMIFS('Data - Channel'!$D$5:$D$19,'Data - Channel'!$A$5:$A$19,"Unmatched",'Data - Channel'!$B$5:$B$19,"Jun–Aug",'Data - Channel'!$C$5:$C$19,"Amplify")-1,"")</f>
        <v/>
      </c>
      <c r="E10" s="31">
        <f>IFERROR(D10-C10,"")</f>
        <v/>
      </c>
      <c r="F10" s="14">
        <f>SUMIFS('Data - Channel'!$E$5:$E$19,'Data - Channel'!$A$5:$A$19,"Unmatched",'Data - Channel'!$B$5:$B$19,"Jun–Aug",'Data - Channel'!$C$5:$C$19,"Amplify")</f>
        <v/>
      </c>
      <c r="G10" s="15">
        <f>IFERROR(F10/SUM('Data - Accounts'!$F$5:$F$2358),"")</f>
        <v/>
      </c>
      <c r="H10" s="15">
        <f>IFERROR(SUMIFS('Data - Channel'!$E$5:$E$19,'Data - Channel'!$A$5:$A$19,"Unmatched",'Data - Channel'!$B$5:$B$19,"Jun–Aug",'Data - Channel'!$C$5:$C$19,"Control")/SUMIFS('Data - Channel'!$D$5:$D$19,'Data - Channel'!$A$5:$A$19,"Unmatched",'Data - Channel'!$B$5:$B$19,"Jun–Aug",'Data - Channel'!$C$5:$C$19,"Control")-1,"")</f>
        <v/>
      </c>
      <c r="I10" s="46">
        <f>IFERROR(D10-H10,"")</f>
        <v/>
      </c>
    </row>
    <row r="12">
      <c r="A12" s="19" t="inlineStr">
        <is>
          <t>THE ONE CONSTRUCTIVE FINDING IN THIS WORKBOOK</t>
        </is>
      </c>
    </row>
    <row r="13">
      <c r="A13" s="2" t="inlineStr">
        <is>
          <t>On-premise is the only cut where the program accelerated. Amplify went from +13.7% pre-program to +18.4% during it, and Qualifier from -3.6% to -0.1% — the only positive swings anywhere in this analysis.</t>
        </is>
      </c>
    </row>
    <row r="14">
      <c r="A14" s="2" t="inlineStr">
        <is>
          <t>Read it with two caveats. On-premise is about 11% of program volume, so it cannot rescue the total. And even there the incented brands still trailed that channel's non-incented brands, so the acceleration is real but the lead is not.</t>
        </is>
      </c>
    </row>
    <row r="15">
      <c r="A15" s="2" t="inlineStr">
        <is>
          <t>Off-premise, which is 87% of the volume and where the concentrated large-format gains sit, decelerated in both segments.</t>
        </is>
      </c>
    </row>
    <row r="16">
      <c r="A16" s="2" t="inlineStr">
        <is>
          <t>This is the part worth testing deliberately in 2027: a smaller, on-premise-weighted program is the one version of this incentive the data gives any reason to believe in.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7"/>
  <sheetViews>
    <sheetView showGridLines="0" workbookViewId="0">
      <pane ySplit="4" topLeftCell="A5" activePane="bottomLeft" state="frozen"/>
      <selection pane="bottomLeft" activeCell="A1" sqref="A1"/>
    </sheetView>
  </sheetViews>
  <sheetFormatPr baseColWidth="8" defaultRowHeight="15"/>
  <cols>
    <col width="16" customWidth="1" min="1" max="1"/>
    <col width="15" customWidth="1" min="2" max="2"/>
    <col width="15" customWidth="1" min="3" max="3"/>
    <col width="12" customWidth="1" min="4" max="4"/>
    <col width="16" customWidth="1" min="5" max="5"/>
    <col width="16" customWidth="1" min="6" max="6"/>
    <col width="13" customWidth="1" min="7" max="7"/>
    <col width="11" customWidth="1" min="8" max="8"/>
    <col width="15" customWidth="1" min="9" max="9"/>
  </cols>
  <sheetData>
    <row r="1">
      <c r="A1" s="24" t="inlineStr">
        <is>
          <t>Did the program work anywhere in particular?</t>
        </is>
      </c>
    </row>
    <row r="2">
      <c r="A2" s="2" t="inlineStr">
        <is>
          <t>Program vs non-program brands by county, Jun–Aug. The control column is the same county's non-incented volume.</t>
        </is>
      </c>
    </row>
    <row r="4" ht="32" customHeight="1">
      <c r="A4" s="6" t="inlineStr">
        <is>
          <t>County</t>
        </is>
      </c>
      <c r="B4" s="6" t="inlineStr">
        <is>
          <t>Program CE 2025</t>
        </is>
      </c>
      <c r="C4" s="6" t="inlineStr">
        <is>
          <t>Program CE 2026</t>
        </is>
      </c>
      <c r="D4" s="6" t="inlineStr">
        <is>
          <t>Program %</t>
        </is>
      </c>
      <c r="E4" s="6" t="inlineStr">
        <is>
          <t>Non-program CE 2025</t>
        </is>
      </c>
      <c r="F4" s="6" t="inlineStr">
        <is>
          <t>Non-program CE 2026</t>
        </is>
      </c>
      <c r="G4" s="6" t="inlineStr">
        <is>
          <t>Non-program %</t>
        </is>
      </c>
      <c r="H4" s="6" t="inlineStr">
        <is>
          <t>Gap</t>
        </is>
      </c>
      <c r="I4" s="6" t="inlineStr">
        <is>
          <t>Share of program volume</t>
        </is>
      </c>
    </row>
    <row r="5">
      <c r="A5" s="13" t="inlineStr">
        <is>
          <t>Bergen</t>
        </is>
      </c>
      <c r="B5" s="33">
        <f>SUMIFS('Data - Accounts'!$E$5:$E$2358,'Data - Accounts'!$B$5:$B$2358,$A5)</f>
        <v/>
      </c>
      <c r="C5" s="33">
        <f>SUMIFS('Data - Accounts'!$F$5:$F$2358,'Data - Accounts'!$B$5:$B$2358,$A5)</f>
        <v/>
      </c>
      <c r="D5" s="34">
        <f>IFERROR(C5/B5-1,"")</f>
        <v/>
      </c>
      <c r="E5" s="33">
        <f>SUMIFS('Data - Accounts'!$I$5:$I$2358,'Data - Accounts'!$B$5:$B$2358,$A5)</f>
        <v/>
      </c>
      <c r="F5" s="33">
        <f>SUMIFS('Data - Accounts'!$J$5:$J$2358,'Data - Accounts'!$B$5:$B$2358,$A5)</f>
        <v/>
      </c>
      <c r="G5" s="45">
        <f>IFERROR(F5/E5-1,"")</f>
        <v/>
      </c>
      <c r="H5" s="35">
        <f>IFERROR(D5-G5,"")</f>
        <v/>
      </c>
      <c r="I5" s="45">
        <f>IFERROR(C5/SUM('Data - Accounts'!$F$5:$F$2358),"")</f>
        <v/>
      </c>
    </row>
    <row r="6">
      <c r="A6" s="13" t="inlineStr">
        <is>
          <t>Essex</t>
        </is>
      </c>
      <c r="B6" s="33">
        <f>SUMIFS('Data - Accounts'!$E$5:$E$2358,'Data - Accounts'!$B$5:$B$2358,$A6)</f>
        <v/>
      </c>
      <c r="C6" s="33">
        <f>SUMIFS('Data - Accounts'!$F$5:$F$2358,'Data - Accounts'!$B$5:$B$2358,$A6)</f>
        <v/>
      </c>
      <c r="D6" s="34">
        <f>IFERROR(C6/B6-1,"")</f>
        <v/>
      </c>
      <c r="E6" s="33">
        <f>SUMIFS('Data - Accounts'!$I$5:$I$2358,'Data - Accounts'!$B$5:$B$2358,$A6)</f>
        <v/>
      </c>
      <c r="F6" s="33">
        <f>SUMIFS('Data - Accounts'!$J$5:$J$2358,'Data - Accounts'!$B$5:$B$2358,$A6)</f>
        <v/>
      </c>
      <c r="G6" s="45">
        <f>IFERROR(F6/E6-1,"")</f>
        <v/>
      </c>
      <c r="H6" s="35">
        <f>IFERROR(D6-G6,"")</f>
        <v/>
      </c>
      <c r="I6" s="45">
        <f>IFERROR(C6/SUM('Data - Accounts'!$F$5:$F$2358),"")</f>
        <v/>
      </c>
    </row>
    <row r="7">
      <c r="A7" s="13" t="inlineStr">
        <is>
          <t>Hudson</t>
        </is>
      </c>
      <c r="B7" s="33">
        <f>SUMIFS('Data - Accounts'!$E$5:$E$2358,'Data - Accounts'!$B$5:$B$2358,$A7)</f>
        <v/>
      </c>
      <c r="C7" s="33">
        <f>SUMIFS('Data - Accounts'!$F$5:$F$2358,'Data - Accounts'!$B$5:$B$2358,$A7)</f>
        <v/>
      </c>
      <c r="D7" s="34">
        <f>IFERROR(C7/B7-1,"")</f>
        <v/>
      </c>
      <c r="E7" s="33">
        <f>SUMIFS('Data - Accounts'!$I$5:$I$2358,'Data - Accounts'!$B$5:$B$2358,$A7)</f>
        <v/>
      </c>
      <c r="F7" s="33">
        <f>SUMIFS('Data - Accounts'!$J$5:$J$2358,'Data - Accounts'!$B$5:$B$2358,$A7)</f>
        <v/>
      </c>
      <c r="G7" s="45">
        <f>IFERROR(F7/E7-1,"")</f>
        <v/>
      </c>
      <c r="H7" s="35">
        <f>IFERROR(D7-G7,"")</f>
        <v/>
      </c>
      <c r="I7" s="45">
        <f>IFERROR(C7/SUM('Data - Accounts'!$F$5:$F$2358),"")</f>
        <v/>
      </c>
    </row>
    <row r="8">
      <c r="A8" s="13" t="inlineStr">
        <is>
          <t>Middlesex</t>
        </is>
      </c>
      <c r="B8" s="33">
        <f>SUMIFS('Data - Accounts'!$E$5:$E$2358,'Data - Accounts'!$B$5:$B$2358,$A8)</f>
        <v/>
      </c>
      <c r="C8" s="33">
        <f>SUMIFS('Data - Accounts'!$F$5:$F$2358,'Data - Accounts'!$B$5:$B$2358,$A8)</f>
        <v/>
      </c>
      <c r="D8" s="34">
        <f>IFERROR(C8/B8-1,"")</f>
        <v/>
      </c>
      <c r="E8" s="33">
        <f>SUMIFS('Data - Accounts'!$I$5:$I$2358,'Data - Accounts'!$B$5:$B$2358,$A8)</f>
        <v/>
      </c>
      <c r="F8" s="33">
        <f>SUMIFS('Data - Accounts'!$J$5:$J$2358,'Data - Accounts'!$B$5:$B$2358,$A8)</f>
        <v/>
      </c>
      <c r="G8" s="45">
        <f>IFERROR(F8/E8-1,"")</f>
        <v/>
      </c>
      <c r="H8" s="35">
        <f>IFERROR(D8-G8,"")</f>
        <v/>
      </c>
      <c r="I8" s="45">
        <f>IFERROR(C8/SUM('Data - Accounts'!$F$5:$F$2358),"")</f>
        <v/>
      </c>
    </row>
    <row r="9">
      <c r="A9" s="13" t="inlineStr">
        <is>
          <t>Morris</t>
        </is>
      </c>
      <c r="B9" s="33">
        <f>SUMIFS('Data - Accounts'!$E$5:$E$2358,'Data - Accounts'!$B$5:$B$2358,$A9)</f>
        <v/>
      </c>
      <c r="C9" s="33">
        <f>SUMIFS('Data - Accounts'!$F$5:$F$2358,'Data - Accounts'!$B$5:$B$2358,$A9)</f>
        <v/>
      </c>
      <c r="D9" s="34">
        <f>IFERROR(C9/B9-1,"")</f>
        <v/>
      </c>
      <c r="E9" s="33">
        <f>SUMIFS('Data - Accounts'!$I$5:$I$2358,'Data - Accounts'!$B$5:$B$2358,$A9)</f>
        <v/>
      </c>
      <c r="F9" s="33">
        <f>SUMIFS('Data - Accounts'!$J$5:$J$2358,'Data - Accounts'!$B$5:$B$2358,$A9)</f>
        <v/>
      </c>
      <c r="G9" s="45">
        <f>IFERROR(F9/E9-1,"")</f>
        <v/>
      </c>
      <c r="H9" s="35">
        <f>IFERROR(D9-G9,"")</f>
        <v/>
      </c>
      <c r="I9" s="45">
        <f>IFERROR(C9/SUM('Data - Accounts'!$F$5:$F$2358),"")</f>
        <v/>
      </c>
    </row>
    <row r="10">
      <c r="A10" s="13" t="inlineStr">
        <is>
          <t>Passaic</t>
        </is>
      </c>
      <c r="B10" s="33">
        <f>SUMIFS('Data - Accounts'!$E$5:$E$2358,'Data - Accounts'!$B$5:$B$2358,$A10)</f>
        <v/>
      </c>
      <c r="C10" s="33">
        <f>SUMIFS('Data - Accounts'!$F$5:$F$2358,'Data - Accounts'!$B$5:$B$2358,$A10)</f>
        <v/>
      </c>
      <c r="D10" s="34">
        <f>IFERROR(C10/B10-1,"")</f>
        <v/>
      </c>
      <c r="E10" s="33">
        <f>SUMIFS('Data - Accounts'!$I$5:$I$2358,'Data - Accounts'!$B$5:$B$2358,$A10)</f>
        <v/>
      </c>
      <c r="F10" s="33">
        <f>SUMIFS('Data - Accounts'!$J$5:$J$2358,'Data - Accounts'!$B$5:$B$2358,$A10)</f>
        <v/>
      </c>
      <c r="G10" s="45">
        <f>IFERROR(F10/E10-1,"")</f>
        <v/>
      </c>
      <c r="H10" s="35">
        <f>IFERROR(D10-G10,"")</f>
        <v/>
      </c>
      <c r="I10" s="45">
        <f>IFERROR(C10/SUM('Data - Accounts'!$F$5:$F$2358),"")</f>
        <v/>
      </c>
    </row>
    <row r="11">
      <c r="A11" s="13" t="inlineStr">
        <is>
          <t>Sussex</t>
        </is>
      </c>
      <c r="B11" s="33">
        <f>SUMIFS('Data - Accounts'!$E$5:$E$2358,'Data - Accounts'!$B$5:$B$2358,$A11)</f>
        <v/>
      </c>
      <c r="C11" s="33">
        <f>SUMIFS('Data - Accounts'!$F$5:$F$2358,'Data - Accounts'!$B$5:$B$2358,$A11)</f>
        <v/>
      </c>
      <c r="D11" s="34">
        <f>IFERROR(C11/B11-1,"")</f>
        <v/>
      </c>
      <c r="E11" s="33">
        <f>SUMIFS('Data - Accounts'!$I$5:$I$2358,'Data - Accounts'!$B$5:$B$2358,$A11)</f>
        <v/>
      </c>
      <c r="F11" s="33">
        <f>SUMIFS('Data - Accounts'!$J$5:$J$2358,'Data - Accounts'!$B$5:$B$2358,$A11)</f>
        <v/>
      </c>
      <c r="G11" s="45">
        <f>IFERROR(F11/E11-1,"")</f>
        <v/>
      </c>
      <c r="H11" s="35">
        <f>IFERROR(D11-G11,"")</f>
        <v/>
      </c>
      <c r="I11" s="45">
        <f>IFERROR(C11/SUM('Data - Accounts'!$F$5:$F$2358),"")</f>
        <v/>
      </c>
    </row>
    <row r="12">
      <c r="A12" s="13" t="inlineStr">
        <is>
          <t>Union</t>
        </is>
      </c>
      <c r="B12" s="33">
        <f>SUMIFS('Data - Accounts'!$E$5:$E$2358,'Data - Accounts'!$B$5:$B$2358,$A12)</f>
        <v/>
      </c>
      <c r="C12" s="33">
        <f>SUMIFS('Data - Accounts'!$F$5:$F$2358,'Data - Accounts'!$B$5:$B$2358,$A12)</f>
        <v/>
      </c>
      <c r="D12" s="34">
        <f>IFERROR(C12/B12-1,"")</f>
        <v/>
      </c>
      <c r="E12" s="33">
        <f>SUMIFS('Data - Accounts'!$I$5:$I$2358,'Data - Accounts'!$B$5:$B$2358,$A12)</f>
        <v/>
      </c>
      <c r="F12" s="33">
        <f>SUMIFS('Data - Accounts'!$J$5:$J$2358,'Data - Accounts'!$B$5:$B$2358,$A12)</f>
        <v/>
      </c>
      <c r="G12" s="45">
        <f>IFERROR(F12/E12-1,"")</f>
        <v/>
      </c>
      <c r="H12" s="35">
        <f>IFERROR(D12-G12,"")</f>
        <v/>
      </c>
      <c r="I12" s="45">
        <f>IFERROR(C12/SUM('Data - Accounts'!$F$5:$F$2358),"")</f>
        <v/>
      </c>
    </row>
    <row r="13">
      <c r="A13" s="13" t="inlineStr">
        <is>
          <t>Warren</t>
        </is>
      </c>
      <c r="B13" s="33">
        <f>SUMIFS('Data - Accounts'!$E$5:$E$2358,'Data - Accounts'!$B$5:$B$2358,$A13)</f>
        <v/>
      </c>
      <c r="C13" s="33">
        <f>SUMIFS('Data - Accounts'!$F$5:$F$2358,'Data - Accounts'!$B$5:$B$2358,$A13)</f>
        <v/>
      </c>
      <c r="D13" s="34">
        <f>IFERROR(C13/B13-1,"")</f>
        <v/>
      </c>
      <c r="E13" s="33">
        <f>SUMIFS('Data - Accounts'!$I$5:$I$2358,'Data - Accounts'!$B$5:$B$2358,$A13)</f>
        <v/>
      </c>
      <c r="F13" s="33">
        <f>SUMIFS('Data - Accounts'!$J$5:$J$2358,'Data - Accounts'!$B$5:$B$2358,$A13)</f>
        <v/>
      </c>
      <c r="G13" s="45">
        <f>IFERROR(F13/E13-1,"")</f>
        <v/>
      </c>
      <c r="H13" s="35">
        <f>IFERROR(D13-G13,"")</f>
        <v/>
      </c>
      <c r="I13" s="45">
        <f>IFERROR(C13/SUM('Data - Accounts'!$F$5:$F$2358),"")</f>
        <v/>
      </c>
    </row>
    <row r="14">
      <c r="A14" s="17" t="inlineStr">
        <is>
          <t>TOTAL</t>
        </is>
      </c>
      <c r="B14" s="44">
        <f>SUM(B5:B13)</f>
        <v/>
      </c>
      <c r="C14" s="44">
        <f>SUM(C5:C13)</f>
        <v/>
      </c>
      <c r="D14" s="34">
        <f>IFERROR(C14/B14-1,"")</f>
        <v/>
      </c>
      <c r="E14" s="44">
        <f>SUM(E5:E13)</f>
        <v/>
      </c>
      <c r="F14" s="44">
        <f>SUM(F5:F13)</f>
        <v/>
      </c>
      <c r="G14" s="34">
        <f>IFERROR(F14/E14-1,"")</f>
        <v/>
      </c>
      <c r="H14" s="35">
        <f>IFERROR(D14-G14,"")</f>
        <v/>
      </c>
    </row>
    <row r="16">
      <c r="A16" s="2" t="inlineStr">
        <is>
          <t>The four counties carrying essentially all the volume — Bergen, Passaic, Morris, Sussex — each trailed their own county's non-incented brands.</t>
        </is>
      </c>
    </row>
    <row r="17">
      <c r="A17" s="2" t="inlineStr">
        <is>
          <t>Hudson, Union and Essex show big positive percentages on a base of roughly 12,000 cases between them, under 1% of the program. Read the Share column before the Gap column.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3"/>
  <sheetViews>
    <sheetView showGridLines="0" workbookViewId="0">
      <pane ySplit="4" topLeftCell="A5" activePane="bottomLeft" state="frozen"/>
      <selection pane="bottomLeft" activeCell="A1" sqref="A1"/>
    </sheetView>
  </sheetViews>
  <sheetFormatPr baseColWidth="8" defaultRowHeight="15"/>
  <cols>
    <col width="44" customWidth="1" min="1" max="1"/>
    <col width="20" customWidth="1" min="2" max="2"/>
    <col width="24" customWidth="1" min="3" max="3"/>
  </cols>
  <sheetData>
    <row r="1">
      <c r="A1" s="24" t="inlineStr">
        <is>
          <t>Where the gross profit change actually came from</t>
        </is>
      </c>
    </row>
    <row r="2">
      <c r="A2" s="2" t="inlineStr">
        <is>
          <t>ΔGP split three ways: cases sold (Volume), which brands sold (Mix), and gross profit per case within a brand (Rate). Volume is the only one an incentive plausibly drives.</t>
        </is>
      </c>
    </row>
    <row r="4" ht="32" customHeight="1">
      <c r="A4" s="6" t="inlineStr"/>
      <c r="B4" s="6" t="inlineStr">
        <is>
          <t>Program brands</t>
        </is>
      </c>
      <c r="C4" s="6" t="inlineStr">
        <is>
          <t>Non-program brands (control)</t>
        </is>
      </c>
    </row>
    <row r="5">
      <c r="A5" s="13" t="inlineStr">
        <is>
          <t>Cases 2025</t>
        </is>
      </c>
      <c r="B5" s="14">
        <f>SUM('Program Brands'!$D$6:$D$37)</f>
        <v/>
      </c>
      <c r="C5" s="14">
        <f>SUM('Control Brands'!$C$5:$C$296)</f>
        <v/>
      </c>
    </row>
    <row r="6">
      <c r="A6" s="13" t="inlineStr">
        <is>
          <t>Cases 2026</t>
        </is>
      </c>
      <c r="B6" s="14">
        <f>SUM('Program Brands'!$E$6:$E$37)</f>
        <v/>
      </c>
      <c r="C6" s="14">
        <f>SUM('Control Brands'!$D$5:$D$296)</f>
        <v/>
      </c>
    </row>
    <row r="7">
      <c r="A7" s="13" t="inlineStr">
        <is>
          <t>Gross profit 2025</t>
        </is>
      </c>
      <c r="B7" s="16">
        <f>SUM('Program Brands'!$H$6:$H$37)</f>
        <v/>
      </c>
      <c r="C7" s="16">
        <f>SUM('Control Brands'!$G$5:$G$296)</f>
        <v/>
      </c>
    </row>
    <row r="8">
      <c r="A8" s="13" t="inlineStr">
        <is>
          <t>Gross profit 2026</t>
        </is>
      </c>
      <c r="B8" s="16">
        <f>SUM('Program Brands'!$I$6:$I$37)</f>
        <v/>
      </c>
      <c r="C8" s="16">
        <f>SUM('Control Brands'!$H$5:$H$296)</f>
        <v/>
      </c>
    </row>
    <row r="9">
      <c r="A9" s="17" t="inlineStr">
        <is>
          <t>Actual ΔGP</t>
        </is>
      </c>
      <c r="B9" s="18">
        <f>B8-B7</f>
        <v/>
      </c>
      <c r="C9" s="18">
        <f>C8-C7</f>
        <v/>
      </c>
    </row>
    <row r="11">
      <c r="A11" s="23" t="inlineStr">
        <is>
          <t>DECOMPOSED</t>
        </is>
      </c>
    </row>
    <row r="12">
      <c r="A12" s="13" t="inlineStr">
        <is>
          <t>Volume — cases, at last year's GP/CE</t>
        </is>
      </c>
      <c r="B12" s="16">
        <f>(B6-B5)*(B7/B5)</f>
        <v/>
      </c>
      <c r="C12" s="16">
        <f>(C6-C5)*(C7/C5)</f>
        <v/>
      </c>
    </row>
    <row r="13">
      <c r="A13" s="13" t="inlineStr">
        <is>
          <t>Mix — which brands sold</t>
        </is>
      </c>
      <c r="B13" s="16">
        <f>SUM('Program Brands'!$R$6:$R$37)-B6*(B7/B5)</f>
        <v/>
      </c>
      <c r="C13" s="16">
        <f>SUM('Control Brands'!$K$5:$K$296)-C6*(C7/C5)</f>
        <v/>
      </c>
    </row>
    <row r="14">
      <c r="A14" s="13" t="inlineStr">
        <is>
          <t>Rate — GP per case within a brand</t>
        </is>
      </c>
      <c r="B14" s="16">
        <f>SUM('Program Brands'!$S$6:$S$37)</f>
        <v/>
      </c>
      <c r="C14" s="16">
        <f>SUM('Control Brands'!$L$5:$L$296)</f>
        <v/>
      </c>
    </row>
    <row r="15">
      <c r="A15" s="47" t="inlineStr">
        <is>
          <t>Sum (ties to Actual ΔGP)</t>
        </is>
      </c>
      <c r="B15" s="48">
        <f>SUM(B12:B14)</f>
        <v/>
      </c>
      <c r="C15" s="48">
        <f>SUM(C12:C14)</f>
        <v/>
      </c>
    </row>
    <row r="17">
      <c r="A17" s="23" t="inlineStr">
        <is>
          <t>RATE EFFECT PER 2026 CASE</t>
        </is>
      </c>
    </row>
    <row r="18">
      <c r="A18" s="17" t="inlineStr">
        <is>
          <t>Rate effect per case</t>
        </is>
      </c>
      <c r="B18" s="49">
        <f>IFERROR(B14/B6,"")</f>
        <v/>
      </c>
      <c r="C18" s="49">
        <f>IFERROR(C14/C6,"")</f>
        <v/>
      </c>
    </row>
    <row r="19">
      <c r="A19" s="13" t="inlineStr">
        <is>
          <t>Control advantage per case</t>
        </is>
      </c>
      <c r="B19" s="50">
        <f>C18-B18</f>
        <v/>
      </c>
    </row>
    <row r="21">
      <c r="A21" s="2" t="inlineStr">
        <is>
          <t>The margin gain was real but house-wide. Per case, the non-incented book captured several times the rate improvement the incented book did, so the program cannot claim it.</t>
        </is>
      </c>
    </row>
    <row r="22">
      <c r="A22" s="2" t="inlineStr">
        <is>
          <t>Volume is the line an incentive is supposed to move, and on the program brands it is the negative one.</t>
        </is>
      </c>
    </row>
    <row r="23">
      <c r="A23" s="2" t="inlineStr">
        <is>
          <t>Control mix is large because the non-program book shifted toward higher-margin brands (Sun Cruiser, Sierra Nevada) while low-margin Pabst declined.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7"/>
  <sheetViews>
    <sheetView showGridLines="0" workbookViewId="0">
      <pane ySplit="4" topLeftCell="A5" activePane="bottomLeft" state="frozen"/>
      <selection pane="bottomLeft" activeCell="A1" sqref="A1"/>
    </sheetView>
  </sheetViews>
  <sheetFormatPr baseColWidth="8" defaultRowHeight="15"/>
  <cols>
    <col width="28" customWidth="1" min="1" max="1"/>
    <col width="13" customWidth="1" min="2" max="2"/>
    <col width="26" customWidth="1" min="3" max="3"/>
    <col width="12" customWidth="1" min="4" max="4"/>
    <col width="12" customWidth="1" min="5" max="5"/>
    <col width="12" customWidth="1" min="6" max="6"/>
    <col width="11" customWidth="1" min="7" max="7"/>
    <col width="13" customWidth="1" min="8" max="8"/>
    <col width="13" customWidth="1" min="9" max="9"/>
    <col width="13" customWidth="1" min="10" max="10"/>
    <col width="11" customWidth="1" min="11" max="11"/>
  </cols>
  <sheetData>
    <row r="1">
      <c r="A1" s="24" t="inlineStr">
        <is>
          <t>The variable that decided the outcome — which brands got incented</t>
        </is>
      </c>
    </row>
    <row r="2">
      <c r="A2" s="2" t="inlineStr">
        <is>
          <t>Every brand of every supplier appearing on both sides, Jun–Aug. INCENTED rows carried a payout; NOT INCENTED rows did not.</t>
        </is>
      </c>
    </row>
    <row r="4" ht="32" customHeight="1">
      <c r="A4" s="6" t="inlineStr">
        <is>
          <t>Supplier</t>
        </is>
      </c>
      <c r="B4" s="6" t="inlineStr">
        <is>
          <t>Incented?</t>
        </is>
      </c>
      <c r="C4" s="6" t="inlineStr">
        <is>
          <t>Brand Family</t>
        </is>
      </c>
      <c r="D4" s="6" t="inlineStr">
        <is>
          <t>CE 2025</t>
        </is>
      </c>
      <c r="E4" s="6" t="inlineStr">
        <is>
          <t>CE 2026</t>
        </is>
      </c>
      <c r="F4" s="6" t="inlineStr">
        <is>
          <t>Δ cases</t>
        </is>
      </c>
      <c r="G4" s="6" t="inlineStr">
        <is>
          <t>Cases %</t>
        </is>
      </c>
      <c r="H4" s="6" t="inlineStr">
        <is>
          <t>GP 2025</t>
        </is>
      </c>
      <c r="I4" s="6" t="inlineStr">
        <is>
          <t>GP 2026</t>
        </is>
      </c>
      <c r="J4" s="6" t="inlineStr">
        <is>
          <t>Δ GP</t>
        </is>
      </c>
      <c r="K4" s="6" t="inlineStr">
        <is>
          <t>PODs 2026</t>
        </is>
      </c>
    </row>
    <row r="5">
      <c r="A5" s="43" t="inlineStr">
        <is>
          <t>Bell's</t>
        </is>
      </c>
      <c r="B5" s="51" t="inlineStr">
        <is>
          <t>INCENTED</t>
        </is>
      </c>
      <c r="C5" s="43" t="inlineStr">
        <is>
          <t>Bell's</t>
        </is>
      </c>
      <c r="D5" s="33">
        <f>SUMIFS('Program Brands'!$D$6:$D$37,'Program Brands'!$B$6:$B$37,$A5,'Program Brands'!$C$6:$C$37,$C5)</f>
        <v/>
      </c>
      <c r="E5" s="33">
        <f>SUMIFS('Program Brands'!$E$6:$E$37,'Program Brands'!$B$6:$B$37,$A5,'Program Brands'!$C$6:$C$37,$C5)</f>
        <v/>
      </c>
      <c r="F5" s="44">
        <f>E5-D5</f>
        <v/>
      </c>
      <c r="G5" s="45">
        <f>IFERROR(E5/D5-1,"")</f>
        <v/>
      </c>
      <c r="H5" s="36">
        <f>SUMIFS('Program Brands'!$H$6:$H$37,'Program Brands'!$B$6:$B$37,$A5,'Program Brands'!$C$6:$C$37,$C5)</f>
        <v/>
      </c>
      <c r="I5" s="36">
        <f>SUMIFS('Program Brands'!$I$6:$I$37,'Program Brands'!$B$6:$B$37,$A5,'Program Brands'!$C$6:$C$37,$C5)</f>
        <v/>
      </c>
      <c r="J5" s="48">
        <f>I5-H5</f>
        <v/>
      </c>
      <c r="K5" s="33">
        <f>SUMIFS('Data - Season'!$L$5:$L$743,'Data - Season'!$C$5:$C$743,$A5,'Data - Season'!$D$5:$D$743,$C5)</f>
        <v/>
      </c>
    </row>
    <row r="6">
      <c r="A6" s="2" t="inlineStr">
        <is>
          <t>Bell's</t>
        </is>
      </c>
      <c r="B6" s="2" t="inlineStr">
        <is>
          <t>not incented</t>
        </is>
      </c>
      <c r="C6" s="43" t="inlineStr">
        <is>
          <t>Bell's Hearted Family</t>
        </is>
      </c>
      <c r="D6" s="33">
        <f>SUMIFS('Control Brands'!$C$5:$C$296,'Control Brands'!$A$5:$A$296,$A6,'Control Brands'!$B$5:$B$296,$C6)</f>
        <v/>
      </c>
      <c r="E6" s="33">
        <f>SUMIFS('Control Brands'!$D$5:$D$296,'Control Brands'!$A$5:$A$296,$A6,'Control Brands'!$B$5:$B$296,$C6)</f>
        <v/>
      </c>
      <c r="F6" s="44">
        <f>E6-D6</f>
        <v/>
      </c>
      <c r="G6" s="45">
        <f>IFERROR(E6/D6-1,"")</f>
        <v/>
      </c>
      <c r="H6" s="36">
        <f>SUMIFS('Control Brands'!$G$5:$G$296,'Control Brands'!$A$5:$A$296,$A6,'Control Brands'!$B$5:$B$296,$C6)</f>
        <v/>
      </c>
      <c r="I6" s="36">
        <f>SUMIFS('Control Brands'!$H$5:$H$296,'Control Brands'!$A$5:$A$296,$A6,'Control Brands'!$B$5:$B$296,$C6)</f>
        <v/>
      </c>
      <c r="J6" s="48">
        <f>I6-H6</f>
        <v/>
      </c>
      <c r="K6" s="33">
        <f>SUMIFS('Data - Control'!$J$5:$J$296,'Data - Control'!$A$5:$A$296,$A6,'Data - Control'!$B$5:$B$296,$C6)</f>
        <v/>
      </c>
    </row>
    <row r="7">
      <c r="C7" s="52" t="inlineStr">
        <is>
          <t>Bell's — total</t>
        </is>
      </c>
      <c r="D7" s="44">
        <f>SUM(D5:D6)</f>
        <v/>
      </c>
      <c r="E7" s="44">
        <f>SUM(E5:E6)</f>
        <v/>
      </c>
      <c r="F7" s="44">
        <f>SUM(F5:F6)</f>
        <v/>
      </c>
      <c r="H7" s="48">
        <f>SUM(H5:H6)</f>
        <v/>
      </c>
      <c r="I7" s="48">
        <f>SUM(I5:I6)</f>
        <v/>
      </c>
      <c r="J7" s="48">
        <f>SUM(J5:J6)</f>
        <v/>
      </c>
      <c r="K7" s="44">
        <f>SUM(K5:K6)</f>
        <v/>
      </c>
    </row>
    <row r="9">
      <c r="A9" s="43" t="inlineStr">
        <is>
          <t>Boston Beer Company</t>
        </is>
      </c>
      <c r="B9" s="51" t="inlineStr">
        <is>
          <t>INCENTED</t>
        </is>
      </c>
      <c r="C9" s="43" t="inlineStr">
        <is>
          <t>Dogfish Head Beer</t>
        </is>
      </c>
      <c r="D9" s="33">
        <f>SUMIFS('Program Brands'!$D$6:$D$37,'Program Brands'!$B$6:$B$37,$A9,'Program Brands'!$C$6:$C$37,$C9)</f>
        <v/>
      </c>
      <c r="E9" s="33">
        <f>SUMIFS('Program Brands'!$E$6:$E$37,'Program Brands'!$B$6:$B$37,$A9,'Program Brands'!$C$6:$C$37,$C9)</f>
        <v/>
      </c>
      <c r="F9" s="44">
        <f>E9-D9</f>
        <v/>
      </c>
      <c r="G9" s="45">
        <f>IFERROR(E9/D9-1,"")</f>
        <v/>
      </c>
      <c r="H9" s="36">
        <f>SUMIFS('Program Brands'!$H$6:$H$37,'Program Brands'!$B$6:$B$37,$A9,'Program Brands'!$C$6:$C$37,$C9)</f>
        <v/>
      </c>
      <c r="I9" s="36">
        <f>SUMIFS('Program Brands'!$I$6:$I$37,'Program Brands'!$B$6:$B$37,$A9,'Program Brands'!$C$6:$C$37,$C9)</f>
        <v/>
      </c>
      <c r="J9" s="48">
        <f>I9-H9</f>
        <v/>
      </c>
      <c r="K9" s="33">
        <f>SUMIFS('Data - Season'!$L$5:$L$743,'Data - Season'!$C$5:$C$743,$A9,'Data - Season'!$D$5:$D$743,$C9)</f>
        <v/>
      </c>
    </row>
    <row r="10">
      <c r="A10" s="43" t="inlineStr">
        <is>
          <t>Boston Beer Company</t>
        </is>
      </c>
      <c r="B10" s="51" t="inlineStr">
        <is>
          <t>INCENTED</t>
        </is>
      </c>
      <c r="C10" s="43" t="inlineStr">
        <is>
          <t>Dogfish Head Spirits</t>
        </is>
      </c>
      <c r="D10" s="33">
        <f>SUMIFS('Program Brands'!$D$6:$D$37,'Program Brands'!$B$6:$B$37,$A10,'Program Brands'!$C$6:$C$37,$C10)</f>
        <v/>
      </c>
      <c r="E10" s="33">
        <f>SUMIFS('Program Brands'!$E$6:$E$37,'Program Brands'!$B$6:$B$37,$A10,'Program Brands'!$C$6:$C$37,$C10)</f>
        <v/>
      </c>
      <c r="F10" s="44">
        <f>E10-D10</f>
        <v/>
      </c>
      <c r="G10" s="45">
        <f>IFERROR(E10/D10-1,"")</f>
        <v/>
      </c>
      <c r="H10" s="36">
        <f>SUMIFS('Program Brands'!$H$6:$H$37,'Program Brands'!$B$6:$B$37,$A10,'Program Brands'!$C$6:$C$37,$C10)</f>
        <v/>
      </c>
      <c r="I10" s="36">
        <f>SUMIFS('Program Brands'!$I$6:$I$37,'Program Brands'!$B$6:$B$37,$A10,'Program Brands'!$C$6:$C$37,$C10)</f>
        <v/>
      </c>
      <c r="J10" s="48">
        <f>I10-H10</f>
        <v/>
      </c>
      <c r="K10" s="33">
        <f>SUMIFS('Data - Season'!$L$5:$L$743,'Data - Season'!$C$5:$C$743,$A10,'Data - Season'!$D$5:$D$743,$C10)</f>
        <v/>
      </c>
    </row>
    <row r="11">
      <c r="A11" s="43" t="inlineStr">
        <is>
          <t>Boston Beer Company</t>
        </is>
      </c>
      <c r="B11" s="51" t="inlineStr">
        <is>
          <t>INCENTED</t>
        </is>
      </c>
      <c r="C11" s="43" t="inlineStr">
        <is>
          <t>Truly</t>
        </is>
      </c>
      <c r="D11" s="33">
        <f>SUMIFS('Program Brands'!$D$6:$D$37,'Program Brands'!$B$6:$B$37,$A11,'Program Brands'!$C$6:$C$37,$C11)</f>
        <v/>
      </c>
      <c r="E11" s="33">
        <f>SUMIFS('Program Brands'!$E$6:$E$37,'Program Brands'!$B$6:$B$37,$A11,'Program Brands'!$C$6:$C$37,$C11)</f>
        <v/>
      </c>
      <c r="F11" s="44">
        <f>E11-D11</f>
        <v/>
      </c>
      <c r="G11" s="45">
        <f>IFERROR(E11/D11-1,"")</f>
        <v/>
      </c>
      <c r="H11" s="36">
        <f>SUMIFS('Program Brands'!$H$6:$H$37,'Program Brands'!$B$6:$B$37,$A11,'Program Brands'!$C$6:$C$37,$C11)</f>
        <v/>
      </c>
      <c r="I11" s="36">
        <f>SUMIFS('Program Brands'!$I$6:$I$37,'Program Brands'!$B$6:$B$37,$A11,'Program Brands'!$C$6:$C$37,$C11)</f>
        <v/>
      </c>
      <c r="J11" s="48">
        <f>I11-H11</f>
        <v/>
      </c>
      <c r="K11" s="33">
        <f>SUMIFS('Data - Season'!$L$5:$L$743,'Data - Season'!$C$5:$C$743,$A11,'Data - Season'!$D$5:$D$743,$C11)</f>
        <v/>
      </c>
    </row>
    <row r="12">
      <c r="A12" s="43" t="inlineStr">
        <is>
          <t>Boston Beer Company</t>
        </is>
      </c>
      <c r="B12" s="51" t="inlineStr">
        <is>
          <t>INCENTED</t>
        </is>
      </c>
      <c r="C12" s="43" t="inlineStr">
        <is>
          <t>Twisted Tea</t>
        </is>
      </c>
      <c r="D12" s="33">
        <f>SUMIFS('Program Brands'!$D$6:$D$37,'Program Brands'!$B$6:$B$37,$A12,'Program Brands'!$C$6:$C$37,$C12)</f>
        <v/>
      </c>
      <c r="E12" s="33">
        <f>SUMIFS('Program Brands'!$E$6:$E$37,'Program Brands'!$B$6:$B$37,$A12,'Program Brands'!$C$6:$C$37,$C12)</f>
        <v/>
      </c>
      <c r="F12" s="44">
        <f>E12-D12</f>
        <v/>
      </c>
      <c r="G12" s="45">
        <f>IFERROR(E12/D12-1,"")</f>
        <v/>
      </c>
      <c r="H12" s="36">
        <f>SUMIFS('Program Brands'!$H$6:$H$37,'Program Brands'!$B$6:$B$37,$A12,'Program Brands'!$C$6:$C$37,$C12)</f>
        <v/>
      </c>
      <c r="I12" s="36">
        <f>SUMIFS('Program Brands'!$I$6:$I$37,'Program Brands'!$B$6:$B$37,$A12,'Program Brands'!$C$6:$C$37,$C12)</f>
        <v/>
      </c>
      <c r="J12" s="48">
        <f>I12-H12</f>
        <v/>
      </c>
      <c r="K12" s="33">
        <f>SUMIFS('Data - Season'!$L$5:$L$743,'Data - Season'!$C$5:$C$743,$A12,'Data - Season'!$D$5:$D$743,$C12)</f>
        <v/>
      </c>
    </row>
    <row r="13">
      <c r="A13" s="2" t="inlineStr">
        <is>
          <t>Boston Beer Company</t>
        </is>
      </c>
      <c r="B13" s="2" t="inlineStr">
        <is>
          <t>not incented</t>
        </is>
      </c>
      <c r="C13" s="43" t="inlineStr">
        <is>
          <t>Angry Orchard</t>
        </is>
      </c>
      <c r="D13" s="33">
        <f>SUMIFS('Control Brands'!$C$5:$C$296,'Control Brands'!$A$5:$A$296,$A13,'Control Brands'!$B$5:$B$296,$C13)</f>
        <v/>
      </c>
      <c r="E13" s="33">
        <f>SUMIFS('Control Brands'!$D$5:$D$296,'Control Brands'!$A$5:$A$296,$A13,'Control Brands'!$B$5:$B$296,$C13)</f>
        <v/>
      </c>
      <c r="F13" s="44">
        <f>E13-D13</f>
        <v/>
      </c>
      <c r="G13" s="45">
        <f>IFERROR(E13/D13-1,"")</f>
        <v/>
      </c>
      <c r="H13" s="36">
        <f>SUMIFS('Control Brands'!$G$5:$G$296,'Control Brands'!$A$5:$A$296,$A13,'Control Brands'!$B$5:$B$296,$C13)</f>
        <v/>
      </c>
      <c r="I13" s="36">
        <f>SUMIFS('Control Brands'!$H$5:$H$296,'Control Brands'!$A$5:$A$296,$A13,'Control Brands'!$B$5:$B$296,$C13)</f>
        <v/>
      </c>
      <c r="J13" s="48">
        <f>I13-H13</f>
        <v/>
      </c>
      <c r="K13" s="33">
        <f>SUMIFS('Data - Control'!$J$5:$J$296,'Data - Control'!$A$5:$A$296,$A13,'Data - Control'!$B$5:$B$296,$C13)</f>
        <v/>
      </c>
    </row>
    <row r="14">
      <c r="A14" s="2" t="inlineStr">
        <is>
          <t>Boston Beer Company</t>
        </is>
      </c>
      <c r="B14" s="2" t="inlineStr">
        <is>
          <t>not incented</t>
        </is>
      </c>
      <c r="C14" s="43" t="inlineStr">
        <is>
          <t>Coney Island</t>
        </is>
      </c>
      <c r="D14" s="33">
        <f>SUMIFS('Control Brands'!$C$5:$C$296,'Control Brands'!$A$5:$A$296,$A14,'Control Brands'!$B$5:$B$296,$C14)</f>
        <v/>
      </c>
      <c r="E14" s="33">
        <f>SUMIFS('Control Brands'!$D$5:$D$296,'Control Brands'!$A$5:$A$296,$A14,'Control Brands'!$B$5:$B$296,$C14)</f>
        <v/>
      </c>
      <c r="F14" s="44">
        <f>E14-D14</f>
        <v/>
      </c>
      <c r="G14" s="45">
        <f>IFERROR(E14/D14-1,"")</f>
        <v/>
      </c>
      <c r="H14" s="36">
        <f>SUMIFS('Control Brands'!$G$5:$G$296,'Control Brands'!$A$5:$A$296,$A14,'Control Brands'!$B$5:$B$296,$C14)</f>
        <v/>
      </c>
      <c r="I14" s="36">
        <f>SUMIFS('Control Brands'!$H$5:$H$296,'Control Brands'!$A$5:$A$296,$A14,'Control Brands'!$B$5:$B$296,$C14)</f>
        <v/>
      </c>
      <c r="J14" s="48">
        <f>I14-H14</f>
        <v/>
      </c>
      <c r="K14" s="33">
        <f>SUMIFS('Data - Control'!$J$5:$J$296,'Data - Control'!$A$5:$A$296,$A14,'Data - Control'!$B$5:$B$296,$C14)</f>
        <v/>
      </c>
    </row>
    <row r="15">
      <c r="A15" s="2" t="inlineStr">
        <is>
          <t>Boston Beer Company</t>
        </is>
      </c>
      <c r="B15" s="2" t="inlineStr">
        <is>
          <t>not incented</t>
        </is>
      </c>
      <c r="C15" s="43" t="inlineStr">
        <is>
          <t>Hard Mountain Dew</t>
        </is>
      </c>
      <c r="D15" s="33">
        <f>SUMIFS('Control Brands'!$C$5:$C$296,'Control Brands'!$A$5:$A$296,$A15,'Control Brands'!$B$5:$B$296,$C15)</f>
        <v/>
      </c>
      <c r="E15" s="33">
        <f>SUMIFS('Control Brands'!$D$5:$D$296,'Control Brands'!$A$5:$A$296,$A15,'Control Brands'!$B$5:$B$296,$C15)</f>
        <v/>
      </c>
      <c r="F15" s="44">
        <f>E15-D15</f>
        <v/>
      </c>
      <c r="G15" s="45">
        <f>IFERROR(E15/D15-1,"")</f>
        <v/>
      </c>
      <c r="H15" s="36">
        <f>SUMIFS('Control Brands'!$G$5:$G$296,'Control Brands'!$A$5:$A$296,$A15,'Control Brands'!$B$5:$B$296,$C15)</f>
        <v/>
      </c>
      <c r="I15" s="36">
        <f>SUMIFS('Control Brands'!$H$5:$H$296,'Control Brands'!$A$5:$A$296,$A15,'Control Brands'!$B$5:$B$296,$C15)</f>
        <v/>
      </c>
      <c r="J15" s="48">
        <f>I15-H15</f>
        <v/>
      </c>
      <c r="K15" s="33">
        <f>SUMIFS('Data - Control'!$J$5:$J$296,'Data - Control'!$A$5:$A$296,$A15,'Data - Control'!$B$5:$B$296,$C15)</f>
        <v/>
      </c>
    </row>
    <row r="16">
      <c r="A16" s="2" t="inlineStr">
        <is>
          <t>Boston Beer Company</t>
        </is>
      </c>
      <c r="B16" s="2" t="inlineStr">
        <is>
          <t>not incented</t>
        </is>
      </c>
      <c r="C16" s="43" t="inlineStr">
        <is>
          <t>Lytt</t>
        </is>
      </c>
      <c r="D16" s="33">
        <f>SUMIFS('Control Brands'!$C$5:$C$296,'Control Brands'!$A$5:$A$296,$A16,'Control Brands'!$B$5:$B$296,$C16)</f>
        <v/>
      </c>
      <c r="E16" s="33">
        <f>SUMIFS('Control Brands'!$D$5:$D$296,'Control Brands'!$A$5:$A$296,$A16,'Control Brands'!$B$5:$B$296,$C16)</f>
        <v/>
      </c>
      <c r="F16" s="44">
        <f>E16-D16</f>
        <v/>
      </c>
      <c r="G16" s="45">
        <f>IFERROR(E16/D16-1,"")</f>
        <v/>
      </c>
      <c r="H16" s="36">
        <f>SUMIFS('Control Brands'!$G$5:$G$296,'Control Brands'!$A$5:$A$296,$A16,'Control Brands'!$B$5:$B$296,$C16)</f>
        <v/>
      </c>
      <c r="I16" s="36">
        <f>SUMIFS('Control Brands'!$H$5:$H$296,'Control Brands'!$A$5:$A$296,$A16,'Control Brands'!$B$5:$B$296,$C16)</f>
        <v/>
      </c>
      <c r="J16" s="48">
        <f>I16-H16</f>
        <v/>
      </c>
      <c r="K16" s="33">
        <f>SUMIFS('Data - Control'!$J$5:$J$296,'Data - Control'!$A$5:$A$296,$A16,'Data - Control'!$B$5:$B$296,$C16)</f>
        <v/>
      </c>
    </row>
    <row r="17">
      <c r="A17" s="2" t="inlineStr">
        <is>
          <t>Boston Beer Company</t>
        </is>
      </c>
      <c r="B17" s="2" t="inlineStr">
        <is>
          <t>not incented</t>
        </is>
      </c>
      <c r="C17" s="43" t="inlineStr">
        <is>
          <t>Samuel Adams</t>
        </is>
      </c>
      <c r="D17" s="33">
        <f>SUMIFS('Control Brands'!$C$5:$C$296,'Control Brands'!$A$5:$A$296,$A17,'Control Brands'!$B$5:$B$296,$C17)</f>
        <v/>
      </c>
      <c r="E17" s="33">
        <f>SUMIFS('Control Brands'!$D$5:$D$296,'Control Brands'!$A$5:$A$296,$A17,'Control Brands'!$B$5:$B$296,$C17)</f>
        <v/>
      </c>
      <c r="F17" s="44">
        <f>E17-D17</f>
        <v/>
      </c>
      <c r="G17" s="45">
        <f>IFERROR(E17/D17-1,"")</f>
        <v/>
      </c>
      <c r="H17" s="36">
        <f>SUMIFS('Control Brands'!$G$5:$G$296,'Control Brands'!$A$5:$A$296,$A17,'Control Brands'!$B$5:$B$296,$C17)</f>
        <v/>
      </c>
      <c r="I17" s="36">
        <f>SUMIFS('Control Brands'!$H$5:$H$296,'Control Brands'!$A$5:$A$296,$A17,'Control Brands'!$B$5:$B$296,$C17)</f>
        <v/>
      </c>
      <c r="J17" s="48">
        <f>I17-H17</f>
        <v/>
      </c>
      <c r="K17" s="33">
        <f>SUMIFS('Data - Control'!$J$5:$J$296,'Data - Control'!$A$5:$A$296,$A17,'Data - Control'!$B$5:$B$296,$C17)</f>
        <v/>
      </c>
    </row>
    <row r="18">
      <c r="A18" s="2" t="inlineStr">
        <is>
          <t>Boston Beer Company</t>
        </is>
      </c>
      <c r="B18" s="2" t="inlineStr">
        <is>
          <t>not incented</t>
        </is>
      </c>
      <c r="C18" s="43" t="inlineStr">
        <is>
          <t>Sinless Vodka Cocktail</t>
        </is>
      </c>
      <c r="D18" s="33">
        <f>SUMIFS('Control Brands'!$C$5:$C$296,'Control Brands'!$A$5:$A$296,$A18,'Control Brands'!$B$5:$B$296,$C18)</f>
        <v/>
      </c>
      <c r="E18" s="33">
        <f>SUMIFS('Control Brands'!$D$5:$D$296,'Control Brands'!$A$5:$A$296,$A18,'Control Brands'!$B$5:$B$296,$C18)</f>
        <v/>
      </c>
      <c r="F18" s="44">
        <f>E18-D18</f>
        <v/>
      </c>
      <c r="G18" s="45">
        <f>IFERROR(E18/D18-1,"")</f>
        <v/>
      </c>
      <c r="H18" s="36">
        <f>SUMIFS('Control Brands'!$G$5:$G$296,'Control Brands'!$A$5:$A$296,$A18,'Control Brands'!$B$5:$B$296,$C18)</f>
        <v/>
      </c>
      <c r="I18" s="36">
        <f>SUMIFS('Control Brands'!$H$5:$H$296,'Control Brands'!$A$5:$A$296,$A18,'Control Brands'!$B$5:$B$296,$C18)</f>
        <v/>
      </c>
      <c r="J18" s="48">
        <f>I18-H18</f>
        <v/>
      </c>
      <c r="K18" s="33">
        <f>SUMIFS('Data - Control'!$J$5:$J$296,'Data - Control'!$A$5:$A$296,$A18,'Data - Control'!$B$5:$B$296,$C18)</f>
        <v/>
      </c>
    </row>
    <row r="19">
      <c r="A19" s="2" t="inlineStr">
        <is>
          <t>Boston Beer Company</t>
        </is>
      </c>
      <c r="B19" s="2" t="inlineStr">
        <is>
          <t>not incented</t>
        </is>
      </c>
      <c r="C19" s="43" t="inlineStr">
        <is>
          <t>Sun Cruiser</t>
        </is>
      </c>
      <c r="D19" s="33">
        <f>SUMIFS('Control Brands'!$C$5:$C$296,'Control Brands'!$A$5:$A$296,$A19,'Control Brands'!$B$5:$B$296,$C19)</f>
        <v/>
      </c>
      <c r="E19" s="33">
        <f>SUMIFS('Control Brands'!$D$5:$D$296,'Control Brands'!$A$5:$A$296,$A19,'Control Brands'!$B$5:$B$296,$C19)</f>
        <v/>
      </c>
      <c r="F19" s="44">
        <f>E19-D19</f>
        <v/>
      </c>
      <c r="G19" s="45">
        <f>IFERROR(E19/D19-1,"")</f>
        <v/>
      </c>
      <c r="H19" s="36">
        <f>SUMIFS('Control Brands'!$G$5:$G$296,'Control Brands'!$A$5:$A$296,$A19,'Control Brands'!$B$5:$B$296,$C19)</f>
        <v/>
      </c>
      <c r="I19" s="36">
        <f>SUMIFS('Control Brands'!$H$5:$H$296,'Control Brands'!$A$5:$A$296,$A19,'Control Brands'!$B$5:$B$296,$C19)</f>
        <v/>
      </c>
      <c r="J19" s="48">
        <f>I19-H19</f>
        <v/>
      </c>
      <c r="K19" s="33">
        <f>SUMIFS('Data - Control'!$J$5:$J$296,'Data - Control'!$A$5:$A$296,$A19,'Data - Control'!$B$5:$B$296,$C19)</f>
        <v/>
      </c>
    </row>
    <row r="20">
      <c r="C20" s="52" t="inlineStr">
        <is>
          <t>Boston Beer Company — total</t>
        </is>
      </c>
      <c r="D20" s="44">
        <f>SUM(D9:D19)</f>
        <v/>
      </c>
      <c r="E20" s="44">
        <f>SUM(E9:E19)</f>
        <v/>
      </c>
      <c r="F20" s="44">
        <f>SUM(F9:F19)</f>
        <v/>
      </c>
      <c r="H20" s="48">
        <f>SUM(H9:H19)</f>
        <v/>
      </c>
      <c r="I20" s="48">
        <f>SUM(I9:I19)</f>
        <v/>
      </c>
      <c r="J20" s="48">
        <f>SUM(J9:J19)</f>
        <v/>
      </c>
      <c r="K20" s="44">
        <f>SUM(K9:K19)</f>
        <v/>
      </c>
    </row>
    <row r="22">
      <c r="A22" s="43" t="inlineStr">
        <is>
          <t>New Belgium Brewing Company</t>
        </is>
      </c>
      <c r="B22" s="51" t="inlineStr">
        <is>
          <t>INCENTED</t>
        </is>
      </c>
      <c r="C22" s="43" t="inlineStr">
        <is>
          <t>Fat Tire Family</t>
        </is>
      </c>
      <c r="D22" s="33">
        <f>SUMIFS('Program Brands'!$D$6:$D$37,'Program Brands'!$B$6:$B$37,$A22,'Program Brands'!$C$6:$C$37,$C22)</f>
        <v/>
      </c>
      <c r="E22" s="33">
        <f>SUMIFS('Program Brands'!$E$6:$E$37,'Program Brands'!$B$6:$B$37,$A22,'Program Brands'!$C$6:$C$37,$C22)</f>
        <v/>
      </c>
      <c r="F22" s="44">
        <f>E22-D22</f>
        <v/>
      </c>
      <c r="G22" s="45">
        <f>IFERROR(E22/D22-1,"")</f>
        <v/>
      </c>
      <c r="H22" s="36">
        <f>SUMIFS('Program Brands'!$H$6:$H$37,'Program Brands'!$B$6:$B$37,$A22,'Program Brands'!$C$6:$C$37,$C22)</f>
        <v/>
      </c>
      <c r="I22" s="36">
        <f>SUMIFS('Program Brands'!$I$6:$I$37,'Program Brands'!$B$6:$B$37,$A22,'Program Brands'!$C$6:$C$37,$C22)</f>
        <v/>
      </c>
      <c r="J22" s="48">
        <f>I22-H22</f>
        <v/>
      </c>
      <c r="K22" s="33">
        <f>SUMIFS('Data - Season'!$L$5:$L$743,'Data - Season'!$C$5:$C$743,$A22,'Data - Season'!$D$5:$D$743,$C22)</f>
        <v/>
      </c>
    </row>
    <row r="23">
      <c r="A23" s="43" t="inlineStr">
        <is>
          <t>New Belgium Brewing Company</t>
        </is>
      </c>
      <c r="B23" s="51" t="inlineStr">
        <is>
          <t>INCENTED</t>
        </is>
      </c>
      <c r="C23" s="43" t="inlineStr">
        <is>
          <t>Kirin Ichiban</t>
        </is>
      </c>
      <c r="D23" s="33">
        <f>SUMIFS('Program Brands'!$D$6:$D$37,'Program Brands'!$B$6:$B$37,$A23,'Program Brands'!$C$6:$C$37,$C23)</f>
        <v/>
      </c>
      <c r="E23" s="33">
        <f>SUMIFS('Program Brands'!$E$6:$E$37,'Program Brands'!$B$6:$B$37,$A23,'Program Brands'!$C$6:$C$37,$C23)</f>
        <v/>
      </c>
      <c r="F23" s="44">
        <f>E23-D23</f>
        <v/>
      </c>
      <c r="G23" s="45">
        <f>IFERROR(E23/D23-1,"")</f>
        <v/>
      </c>
      <c r="H23" s="36">
        <f>SUMIFS('Program Brands'!$H$6:$H$37,'Program Brands'!$B$6:$B$37,$A23,'Program Brands'!$C$6:$C$37,$C23)</f>
        <v/>
      </c>
      <c r="I23" s="36">
        <f>SUMIFS('Program Brands'!$I$6:$I$37,'Program Brands'!$B$6:$B$37,$A23,'Program Brands'!$C$6:$C$37,$C23)</f>
        <v/>
      </c>
      <c r="J23" s="48">
        <f>I23-H23</f>
        <v/>
      </c>
      <c r="K23" s="33">
        <f>SUMIFS('Data - Season'!$L$5:$L$743,'Data - Season'!$C$5:$C$743,$A23,'Data - Season'!$D$5:$D$743,$C23)</f>
        <v/>
      </c>
    </row>
    <row r="24">
      <c r="A24" s="43" t="inlineStr">
        <is>
          <t>New Belgium Brewing Company</t>
        </is>
      </c>
      <c r="B24" s="51" t="inlineStr">
        <is>
          <t>INCENTED</t>
        </is>
      </c>
      <c r="C24" s="43" t="inlineStr">
        <is>
          <t>Voodoo Family</t>
        </is>
      </c>
      <c r="D24" s="33">
        <f>SUMIFS('Program Brands'!$D$6:$D$37,'Program Brands'!$B$6:$B$37,$A24,'Program Brands'!$C$6:$C$37,$C24)</f>
        <v/>
      </c>
      <c r="E24" s="33">
        <f>SUMIFS('Program Brands'!$E$6:$E$37,'Program Brands'!$B$6:$B$37,$A24,'Program Brands'!$C$6:$C$37,$C24)</f>
        <v/>
      </c>
      <c r="F24" s="44">
        <f>E24-D24</f>
        <v/>
      </c>
      <c r="G24" s="45">
        <f>IFERROR(E24/D24-1,"")</f>
        <v/>
      </c>
      <c r="H24" s="36">
        <f>SUMIFS('Program Brands'!$H$6:$H$37,'Program Brands'!$B$6:$B$37,$A24,'Program Brands'!$C$6:$C$37,$C24)</f>
        <v/>
      </c>
      <c r="I24" s="36">
        <f>SUMIFS('Program Brands'!$I$6:$I$37,'Program Brands'!$B$6:$B$37,$A24,'Program Brands'!$C$6:$C$37,$C24)</f>
        <v/>
      </c>
      <c r="J24" s="48">
        <f>I24-H24</f>
        <v/>
      </c>
      <c r="K24" s="33">
        <f>SUMIFS('Data - Season'!$L$5:$L$743,'Data - Season'!$C$5:$C$743,$A24,'Data - Season'!$D$5:$D$743,$C24)</f>
        <v/>
      </c>
    </row>
    <row r="25">
      <c r="A25" s="2" t="inlineStr">
        <is>
          <t>New Belgium Brewing Company</t>
        </is>
      </c>
      <c r="B25" s="2" t="inlineStr">
        <is>
          <t>not incented</t>
        </is>
      </c>
      <c r="C25" s="43" t="inlineStr">
        <is>
          <t>Kirin Light</t>
        </is>
      </c>
      <c r="D25" s="33">
        <f>SUMIFS('Control Brands'!$C$5:$C$296,'Control Brands'!$A$5:$A$296,$A25,'Control Brands'!$B$5:$B$296,$C25)</f>
        <v/>
      </c>
      <c r="E25" s="33">
        <f>SUMIFS('Control Brands'!$D$5:$D$296,'Control Brands'!$A$5:$A$296,$A25,'Control Brands'!$B$5:$B$296,$C25)</f>
        <v/>
      </c>
      <c r="F25" s="44">
        <f>E25-D25</f>
        <v/>
      </c>
      <c r="G25" s="45">
        <f>IFERROR(E25/D25-1,"")</f>
        <v/>
      </c>
      <c r="H25" s="36">
        <f>SUMIFS('Control Brands'!$G$5:$G$296,'Control Brands'!$A$5:$A$296,$A25,'Control Brands'!$B$5:$B$296,$C25)</f>
        <v/>
      </c>
      <c r="I25" s="36">
        <f>SUMIFS('Control Brands'!$H$5:$H$296,'Control Brands'!$A$5:$A$296,$A25,'Control Brands'!$B$5:$B$296,$C25)</f>
        <v/>
      </c>
      <c r="J25" s="48">
        <f>I25-H25</f>
        <v/>
      </c>
      <c r="K25" s="33">
        <f>SUMIFS('Data - Control'!$J$5:$J$296,'Data - Control'!$A$5:$A$296,$A25,'Data - Control'!$B$5:$B$296,$C25)</f>
        <v/>
      </c>
    </row>
    <row r="26">
      <c r="A26" s="2" t="inlineStr">
        <is>
          <t>New Belgium Brewing Company</t>
        </is>
      </c>
      <c r="B26" s="2" t="inlineStr">
        <is>
          <t>not incented</t>
        </is>
      </c>
      <c r="C26" s="43" t="inlineStr">
        <is>
          <t>Lightstrike</t>
        </is>
      </c>
      <c r="D26" s="33">
        <f>SUMIFS('Control Brands'!$C$5:$C$296,'Control Brands'!$A$5:$A$296,$A26,'Control Brands'!$B$5:$B$296,$C26)</f>
        <v/>
      </c>
      <c r="E26" s="33">
        <f>SUMIFS('Control Brands'!$D$5:$D$296,'Control Brands'!$A$5:$A$296,$A26,'Control Brands'!$B$5:$B$296,$C26)</f>
        <v/>
      </c>
      <c r="F26" s="44">
        <f>E26-D26</f>
        <v/>
      </c>
      <c r="G26" s="45">
        <f>IFERROR(E26/D26-1,"")</f>
        <v/>
      </c>
      <c r="H26" s="36">
        <f>SUMIFS('Control Brands'!$G$5:$G$296,'Control Brands'!$A$5:$A$296,$A26,'Control Brands'!$B$5:$B$296,$C26)</f>
        <v/>
      </c>
      <c r="I26" s="36">
        <f>SUMIFS('Control Brands'!$H$5:$H$296,'Control Brands'!$A$5:$A$296,$A26,'Control Brands'!$B$5:$B$296,$C26)</f>
        <v/>
      </c>
      <c r="J26" s="48">
        <f>I26-H26</f>
        <v/>
      </c>
      <c r="K26" s="33">
        <f>SUMIFS('Data - Control'!$J$5:$J$296,'Data - Control'!$A$5:$A$296,$A26,'Data - Control'!$B$5:$B$296,$C26)</f>
        <v/>
      </c>
    </row>
    <row r="27">
      <c r="A27" s="2" t="inlineStr">
        <is>
          <t>New Belgium Brewing Company</t>
        </is>
      </c>
      <c r="B27" s="2" t="inlineStr">
        <is>
          <t>not incented</t>
        </is>
      </c>
      <c r="C27" s="43" t="inlineStr">
        <is>
          <t>New Belgium Brewing Company</t>
        </is>
      </c>
      <c r="D27" s="33">
        <f>SUMIFS('Control Brands'!$C$5:$C$296,'Control Brands'!$A$5:$A$296,$A27,'Control Brands'!$B$5:$B$296,$C27)</f>
        <v/>
      </c>
      <c r="E27" s="33">
        <f>SUMIFS('Control Brands'!$D$5:$D$296,'Control Brands'!$A$5:$A$296,$A27,'Control Brands'!$B$5:$B$296,$C27)</f>
        <v/>
      </c>
      <c r="F27" s="44">
        <f>E27-D27</f>
        <v/>
      </c>
      <c r="G27" s="45">
        <f>IFERROR(E27/D27-1,"")</f>
        <v/>
      </c>
      <c r="H27" s="36">
        <f>SUMIFS('Control Brands'!$G$5:$G$296,'Control Brands'!$A$5:$A$296,$A27,'Control Brands'!$B$5:$B$296,$C27)</f>
        <v/>
      </c>
      <c r="I27" s="36">
        <f>SUMIFS('Control Brands'!$H$5:$H$296,'Control Brands'!$A$5:$A$296,$A27,'Control Brands'!$B$5:$B$296,$C27)</f>
        <v/>
      </c>
      <c r="J27" s="48">
        <f>I27-H27</f>
        <v/>
      </c>
      <c r="K27" s="33">
        <f>SUMIFS('Data - Control'!$J$5:$J$296,'Data - Control'!$A$5:$A$296,$A27,'Data - Control'!$B$5:$B$296,$C27)</f>
        <v/>
      </c>
    </row>
    <row r="28">
      <c r="A28" s="2" t="inlineStr">
        <is>
          <t>New Belgium Brewing Company</t>
        </is>
      </c>
      <c r="B28" s="2" t="inlineStr">
        <is>
          <t>not incented</t>
        </is>
      </c>
      <c r="C28" s="43" t="inlineStr">
        <is>
          <t>Voodoo Hardcharged</t>
        </is>
      </c>
      <c r="D28" s="33">
        <f>SUMIFS('Control Brands'!$C$5:$C$296,'Control Brands'!$A$5:$A$296,$A28,'Control Brands'!$B$5:$B$296,$C28)</f>
        <v/>
      </c>
      <c r="E28" s="33">
        <f>SUMIFS('Control Brands'!$D$5:$D$296,'Control Brands'!$A$5:$A$296,$A28,'Control Brands'!$B$5:$B$296,$C28)</f>
        <v/>
      </c>
      <c r="F28" s="44">
        <f>E28-D28</f>
        <v/>
      </c>
      <c r="G28" s="45">
        <f>IFERROR(E28/D28-1,"")</f>
        <v/>
      </c>
      <c r="H28" s="36">
        <f>SUMIFS('Control Brands'!$G$5:$G$296,'Control Brands'!$A$5:$A$296,$A28,'Control Brands'!$B$5:$B$296,$C28)</f>
        <v/>
      </c>
      <c r="I28" s="36">
        <f>SUMIFS('Control Brands'!$H$5:$H$296,'Control Brands'!$A$5:$A$296,$A28,'Control Brands'!$B$5:$B$296,$C28)</f>
        <v/>
      </c>
      <c r="J28" s="48">
        <f>I28-H28</f>
        <v/>
      </c>
      <c r="K28" s="33">
        <f>SUMIFS('Data - Control'!$J$5:$J$296,'Data - Control'!$A$5:$A$296,$A28,'Data - Control'!$B$5:$B$296,$C28)</f>
        <v/>
      </c>
    </row>
    <row r="29">
      <c r="C29" s="52" t="inlineStr">
        <is>
          <t>New Belgium Brewing Company — total</t>
        </is>
      </c>
      <c r="D29" s="44">
        <f>SUM(D22:D28)</f>
        <v/>
      </c>
      <c r="E29" s="44">
        <f>SUM(E22:E28)</f>
        <v/>
      </c>
      <c r="F29" s="44">
        <f>SUM(F22:F28)</f>
        <v/>
      </c>
      <c r="H29" s="48">
        <f>SUM(H22:H28)</f>
        <v/>
      </c>
      <c r="I29" s="48">
        <f>SUM(I22:I28)</f>
        <v/>
      </c>
      <c r="J29" s="48">
        <f>SUM(J22:J28)</f>
        <v/>
      </c>
      <c r="K29" s="44">
        <f>SUM(K22:K28)</f>
        <v/>
      </c>
    </row>
    <row r="31">
      <c r="A31" s="43" t="inlineStr">
        <is>
          <t>Heineken USA</t>
        </is>
      </c>
      <c r="B31" s="51" t="inlineStr">
        <is>
          <t>INCENTED</t>
        </is>
      </c>
      <c r="C31" s="43" t="inlineStr">
        <is>
          <t>Heineken 0.0</t>
        </is>
      </c>
      <c r="D31" s="33">
        <f>SUMIFS('Program Brands'!$D$6:$D$37,'Program Brands'!$B$6:$B$37,$A31,'Program Brands'!$C$6:$C$37,$C31)</f>
        <v/>
      </c>
      <c r="E31" s="33">
        <f>SUMIFS('Program Brands'!$E$6:$E$37,'Program Brands'!$B$6:$B$37,$A31,'Program Brands'!$C$6:$C$37,$C31)</f>
        <v/>
      </c>
      <c r="F31" s="44">
        <f>E31-D31</f>
        <v/>
      </c>
      <c r="G31" s="45">
        <f>IFERROR(E31/D31-1,"")</f>
        <v/>
      </c>
      <c r="H31" s="36">
        <f>SUMIFS('Program Brands'!$H$6:$H$37,'Program Brands'!$B$6:$B$37,$A31,'Program Brands'!$C$6:$C$37,$C31)</f>
        <v/>
      </c>
      <c r="I31" s="36">
        <f>SUMIFS('Program Brands'!$I$6:$I$37,'Program Brands'!$B$6:$B$37,$A31,'Program Brands'!$C$6:$C$37,$C31)</f>
        <v/>
      </c>
      <c r="J31" s="48">
        <f>I31-H31</f>
        <v/>
      </c>
      <c r="K31" s="33">
        <f>SUMIFS('Data - Season'!$L$5:$L$743,'Data - Season'!$C$5:$C$743,$A31,'Data - Season'!$D$5:$D$743,$C31)</f>
        <v/>
      </c>
    </row>
    <row r="32">
      <c r="A32" s="43" t="inlineStr">
        <is>
          <t>Heineken USA</t>
        </is>
      </c>
      <c r="B32" s="51" t="inlineStr">
        <is>
          <t>INCENTED</t>
        </is>
      </c>
      <c r="C32" s="43" t="inlineStr">
        <is>
          <t>Heineken Light</t>
        </is>
      </c>
      <c r="D32" s="33">
        <f>SUMIFS('Program Brands'!$D$6:$D$37,'Program Brands'!$B$6:$B$37,$A32,'Program Brands'!$C$6:$C$37,$C32)</f>
        <v/>
      </c>
      <c r="E32" s="33">
        <f>SUMIFS('Program Brands'!$E$6:$E$37,'Program Brands'!$B$6:$B$37,$A32,'Program Brands'!$C$6:$C$37,$C32)</f>
        <v/>
      </c>
      <c r="F32" s="44">
        <f>E32-D32</f>
        <v/>
      </c>
      <c r="G32" s="45">
        <f>IFERROR(E32/D32-1,"")</f>
        <v/>
      </c>
      <c r="H32" s="36">
        <f>SUMIFS('Program Brands'!$H$6:$H$37,'Program Brands'!$B$6:$B$37,$A32,'Program Brands'!$C$6:$C$37,$C32)</f>
        <v/>
      </c>
      <c r="I32" s="36">
        <f>SUMIFS('Program Brands'!$I$6:$I$37,'Program Brands'!$B$6:$B$37,$A32,'Program Brands'!$C$6:$C$37,$C32)</f>
        <v/>
      </c>
      <c r="J32" s="48">
        <f>I32-H32</f>
        <v/>
      </c>
      <c r="K32" s="33">
        <f>SUMIFS('Data - Season'!$L$5:$L$743,'Data - Season'!$C$5:$C$743,$A32,'Data - Season'!$D$5:$D$743,$C32)</f>
        <v/>
      </c>
    </row>
    <row r="33">
      <c r="A33" s="43" t="inlineStr">
        <is>
          <t>Heineken USA</t>
        </is>
      </c>
      <c r="B33" s="51" t="inlineStr">
        <is>
          <t>INCENTED</t>
        </is>
      </c>
      <c r="C33" s="43" t="inlineStr">
        <is>
          <t>Heineken USA</t>
        </is>
      </c>
      <c r="D33" s="33">
        <f>SUMIFS('Program Brands'!$D$6:$D$37,'Program Brands'!$B$6:$B$37,$A33,'Program Brands'!$C$6:$C$37,$C33)</f>
        <v/>
      </c>
      <c r="E33" s="33">
        <f>SUMIFS('Program Brands'!$E$6:$E$37,'Program Brands'!$B$6:$B$37,$A33,'Program Brands'!$C$6:$C$37,$C33)</f>
        <v/>
      </c>
      <c r="F33" s="44">
        <f>E33-D33</f>
        <v/>
      </c>
      <c r="G33" s="45">
        <f>IFERROR(E33/D33-1,"")</f>
        <v/>
      </c>
      <c r="H33" s="36">
        <f>SUMIFS('Program Brands'!$H$6:$H$37,'Program Brands'!$B$6:$B$37,$A33,'Program Brands'!$C$6:$C$37,$C33)</f>
        <v/>
      </c>
      <c r="I33" s="36">
        <f>SUMIFS('Program Brands'!$I$6:$I$37,'Program Brands'!$B$6:$B$37,$A33,'Program Brands'!$C$6:$C$37,$C33)</f>
        <v/>
      </c>
      <c r="J33" s="48">
        <f>I33-H33</f>
        <v/>
      </c>
      <c r="K33" s="33">
        <f>SUMIFS('Data - Season'!$L$5:$L$743,'Data - Season'!$C$5:$C$743,$A33,'Data - Season'!$D$5:$D$743,$C33)</f>
        <v/>
      </c>
    </row>
    <row r="34">
      <c r="A34" s="2" t="inlineStr">
        <is>
          <t>Heineken USA</t>
        </is>
      </c>
      <c r="B34" s="2" t="inlineStr">
        <is>
          <t>not incented</t>
        </is>
      </c>
      <c r="C34" s="43" t="inlineStr">
        <is>
          <t>Amstel</t>
        </is>
      </c>
      <c r="D34" s="33">
        <f>SUMIFS('Control Brands'!$C$5:$C$296,'Control Brands'!$A$5:$A$296,$A34,'Control Brands'!$B$5:$B$296,$C34)</f>
        <v/>
      </c>
      <c r="E34" s="33">
        <f>SUMIFS('Control Brands'!$D$5:$D$296,'Control Brands'!$A$5:$A$296,$A34,'Control Brands'!$B$5:$B$296,$C34)</f>
        <v/>
      </c>
      <c r="F34" s="44">
        <f>E34-D34</f>
        <v/>
      </c>
      <c r="G34" s="45">
        <f>IFERROR(E34/D34-1,"")</f>
        <v/>
      </c>
      <c r="H34" s="36">
        <f>SUMIFS('Control Brands'!$G$5:$G$296,'Control Brands'!$A$5:$A$296,$A34,'Control Brands'!$B$5:$B$296,$C34)</f>
        <v/>
      </c>
      <c r="I34" s="36">
        <f>SUMIFS('Control Brands'!$H$5:$H$296,'Control Brands'!$A$5:$A$296,$A34,'Control Brands'!$B$5:$B$296,$C34)</f>
        <v/>
      </c>
      <c r="J34" s="48">
        <f>I34-H34</f>
        <v/>
      </c>
      <c r="K34" s="33">
        <f>SUMIFS('Data - Control'!$J$5:$J$296,'Data - Control'!$A$5:$A$296,$A34,'Data - Control'!$B$5:$B$296,$C34)</f>
        <v/>
      </c>
    </row>
    <row r="35">
      <c r="A35" s="2" t="inlineStr">
        <is>
          <t>Heineken USA</t>
        </is>
      </c>
      <c r="B35" s="2" t="inlineStr">
        <is>
          <t>not incented</t>
        </is>
      </c>
      <c r="C35" s="43" t="inlineStr">
        <is>
          <t>Buckler</t>
        </is>
      </c>
      <c r="D35" s="33">
        <f>SUMIFS('Control Brands'!$C$5:$C$296,'Control Brands'!$A$5:$A$296,$A35,'Control Brands'!$B$5:$B$296,$C35)</f>
        <v/>
      </c>
      <c r="E35" s="33">
        <f>SUMIFS('Control Brands'!$D$5:$D$296,'Control Brands'!$A$5:$A$296,$A35,'Control Brands'!$B$5:$B$296,$C35)</f>
        <v/>
      </c>
      <c r="F35" s="44">
        <f>E35-D35</f>
        <v/>
      </c>
      <c r="G35" s="45">
        <f>IFERROR(E35/D35-1,"")</f>
        <v/>
      </c>
      <c r="H35" s="36">
        <f>SUMIFS('Control Brands'!$G$5:$G$296,'Control Brands'!$A$5:$A$296,$A35,'Control Brands'!$B$5:$B$296,$C35)</f>
        <v/>
      </c>
      <c r="I35" s="36">
        <f>SUMIFS('Control Brands'!$H$5:$H$296,'Control Brands'!$A$5:$A$296,$A35,'Control Brands'!$B$5:$B$296,$C35)</f>
        <v/>
      </c>
      <c r="J35" s="48">
        <f>I35-H35</f>
        <v/>
      </c>
      <c r="K35" s="33">
        <f>SUMIFS('Data - Control'!$J$5:$J$296,'Data - Control'!$A$5:$A$296,$A35,'Data - Control'!$B$5:$B$296,$C35)</f>
        <v/>
      </c>
    </row>
    <row r="36">
      <c r="A36" s="2" t="inlineStr">
        <is>
          <t>Heineken USA</t>
        </is>
      </c>
      <c r="B36" s="2" t="inlineStr">
        <is>
          <t>not incented</t>
        </is>
      </c>
      <c r="C36" s="43" t="inlineStr">
        <is>
          <t>Carta Blanca</t>
        </is>
      </c>
      <c r="D36" s="33">
        <f>SUMIFS('Control Brands'!$C$5:$C$296,'Control Brands'!$A$5:$A$296,$A36,'Control Brands'!$B$5:$B$296,$C36)</f>
        <v/>
      </c>
      <c r="E36" s="33">
        <f>SUMIFS('Control Brands'!$D$5:$D$296,'Control Brands'!$A$5:$A$296,$A36,'Control Brands'!$B$5:$B$296,$C36)</f>
        <v/>
      </c>
      <c r="F36" s="44">
        <f>E36-D36</f>
        <v/>
      </c>
      <c r="G36" s="45">
        <f>IFERROR(E36/D36-1,"")</f>
        <v/>
      </c>
      <c r="H36" s="36">
        <f>SUMIFS('Control Brands'!$G$5:$G$296,'Control Brands'!$A$5:$A$296,$A36,'Control Brands'!$B$5:$B$296,$C36)</f>
        <v/>
      </c>
      <c r="I36" s="36">
        <f>SUMIFS('Control Brands'!$H$5:$H$296,'Control Brands'!$A$5:$A$296,$A36,'Control Brands'!$B$5:$B$296,$C36)</f>
        <v/>
      </c>
      <c r="J36" s="48">
        <f>I36-H36</f>
        <v/>
      </c>
      <c r="K36" s="33">
        <f>SUMIFS('Data - Control'!$J$5:$J$296,'Data - Control'!$A$5:$A$296,$A36,'Data - Control'!$B$5:$B$296,$C36)</f>
        <v/>
      </c>
    </row>
    <row r="37">
      <c r="A37" s="2" t="inlineStr">
        <is>
          <t>Heineken USA</t>
        </is>
      </c>
      <c r="B37" s="2" t="inlineStr">
        <is>
          <t>not incented</t>
        </is>
      </c>
      <c r="C37" s="43" t="inlineStr">
        <is>
          <t>Dos Equis</t>
        </is>
      </c>
      <c r="D37" s="33">
        <f>SUMIFS('Control Brands'!$C$5:$C$296,'Control Brands'!$A$5:$A$296,$A37,'Control Brands'!$B$5:$B$296,$C37)</f>
        <v/>
      </c>
      <c r="E37" s="33">
        <f>SUMIFS('Control Brands'!$D$5:$D$296,'Control Brands'!$A$5:$A$296,$A37,'Control Brands'!$B$5:$B$296,$C37)</f>
        <v/>
      </c>
      <c r="F37" s="44">
        <f>E37-D37</f>
        <v/>
      </c>
      <c r="G37" s="45">
        <f>IFERROR(E37/D37-1,"")</f>
        <v/>
      </c>
      <c r="H37" s="36">
        <f>SUMIFS('Control Brands'!$G$5:$G$296,'Control Brands'!$A$5:$A$296,$A37,'Control Brands'!$B$5:$B$296,$C37)</f>
        <v/>
      </c>
      <c r="I37" s="36">
        <f>SUMIFS('Control Brands'!$H$5:$H$296,'Control Brands'!$A$5:$A$296,$A37,'Control Brands'!$B$5:$B$296,$C37)</f>
        <v/>
      </c>
      <c r="J37" s="48">
        <f>I37-H37</f>
        <v/>
      </c>
      <c r="K37" s="33">
        <f>SUMIFS('Data - Control'!$J$5:$J$296,'Data - Control'!$A$5:$A$296,$A37,'Data - Control'!$B$5:$B$296,$C37)</f>
        <v/>
      </c>
    </row>
    <row r="38">
      <c r="A38" s="2" t="inlineStr">
        <is>
          <t>Heineken USA</t>
        </is>
      </c>
      <c r="B38" s="2" t="inlineStr">
        <is>
          <t>not incented</t>
        </is>
      </c>
      <c r="C38" s="43" t="inlineStr">
        <is>
          <t>Heineken 0.0 Ultimate</t>
        </is>
      </c>
      <c r="D38" s="33">
        <f>SUMIFS('Control Brands'!$C$5:$C$296,'Control Brands'!$A$5:$A$296,$A38,'Control Brands'!$B$5:$B$296,$C38)</f>
        <v/>
      </c>
      <c r="E38" s="33">
        <f>SUMIFS('Control Brands'!$D$5:$D$296,'Control Brands'!$A$5:$A$296,$A38,'Control Brands'!$B$5:$B$296,$C38)</f>
        <v/>
      </c>
      <c r="F38" s="44">
        <f>E38-D38</f>
        <v/>
      </c>
      <c r="G38" s="45">
        <f>IFERROR(E38/D38-1,"")</f>
        <v/>
      </c>
      <c r="H38" s="36">
        <f>SUMIFS('Control Brands'!$G$5:$G$296,'Control Brands'!$A$5:$A$296,$A38,'Control Brands'!$B$5:$B$296,$C38)</f>
        <v/>
      </c>
      <c r="I38" s="36">
        <f>SUMIFS('Control Brands'!$H$5:$H$296,'Control Brands'!$A$5:$A$296,$A38,'Control Brands'!$B$5:$B$296,$C38)</f>
        <v/>
      </c>
      <c r="J38" s="48">
        <f>I38-H38</f>
        <v/>
      </c>
      <c r="K38" s="33">
        <f>SUMIFS('Data - Control'!$J$5:$J$296,'Data - Control'!$A$5:$A$296,$A38,'Data - Control'!$B$5:$B$296,$C38)</f>
        <v/>
      </c>
    </row>
    <row r="39">
      <c r="A39" s="2" t="inlineStr">
        <is>
          <t>Heineken USA</t>
        </is>
      </c>
      <c r="B39" s="2" t="inlineStr">
        <is>
          <t>not incented</t>
        </is>
      </c>
      <c r="C39" s="43" t="inlineStr">
        <is>
          <t>Heineken Silver</t>
        </is>
      </c>
      <c r="D39" s="33">
        <f>SUMIFS('Control Brands'!$C$5:$C$296,'Control Brands'!$A$5:$A$296,$A39,'Control Brands'!$B$5:$B$296,$C39)</f>
        <v/>
      </c>
      <c r="E39" s="33">
        <f>SUMIFS('Control Brands'!$D$5:$D$296,'Control Brands'!$A$5:$A$296,$A39,'Control Brands'!$B$5:$B$296,$C39)</f>
        <v/>
      </c>
      <c r="F39" s="44">
        <f>E39-D39</f>
        <v/>
      </c>
      <c r="G39" s="45">
        <f>IFERROR(E39/D39-1,"")</f>
        <v/>
      </c>
      <c r="H39" s="36">
        <f>SUMIFS('Control Brands'!$G$5:$G$296,'Control Brands'!$A$5:$A$296,$A39,'Control Brands'!$B$5:$B$296,$C39)</f>
        <v/>
      </c>
      <c r="I39" s="36">
        <f>SUMIFS('Control Brands'!$H$5:$H$296,'Control Brands'!$A$5:$A$296,$A39,'Control Brands'!$B$5:$B$296,$C39)</f>
        <v/>
      </c>
      <c r="J39" s="48">
        <f>I39-H39</f>
        <v/>
      </c>
      <c r="K39" s="33">
        <f>SUMIFS('Data - Control'!$J$5:$J$296,'Data - Control'!$A$5:$A$296,$A39,'Data - Control'!$B$5:$B$296,$C39)</f>
        <v/>
      </c>
    </row>
    <row r="40">
      <c r="A40" s="2" t="inlineStr">
        <is>
          <t>Heineken USA</t>
        </is>
      </c>
      <c r="B40" s="2" t="inlineStr">
        <is>
          <t>not incented</t>
        </is>
      </c>
      <c r="C40" s="43" t="inlineStr">
        <is>
          <t>Murphy's</t>
        </is>
      </c>
      <c r="D40" s="33">
        <f>SUMIFS('Control Brands'!$C$5:$C$296,'Control Brands'!$A$5:$A$296,$A40,'Control Brands'!$B$5:$B$296,$C40)</f>
        <v/>
      </c>
      <c r="E40" s="33">
        <f>SUMIFS('Control Brands'!$D$5:$D$296,'Control Brands'!$A$5:$A$296,$A40,'Control Brands'!$B$5:$B$296,$C40)</f>
        <v/>
      </c>
      <c r="F40" s="44">
        <f>E40-D40</f>
        <v/>
      </c>
      <c r="G40" s="45">
        <f>IFERROR(E40/D40-1,"")</f>
        <v/>
      </c>
      <c r="H40" s="36">
        <f>SUMIFS('Control Brands'!$G$5:$G$296,'Control Brands'!$A$5:$A$296,$A40,'Control Brands'!$B$5:$B$296,$C40)</f>
        <v/>
      </c>
      <c r="I40" s="36">
        <f>SUMIFS('Control Brands'!$H$5:$H$296,'Control Brands'!$A$5:$A$296,$A40,'Control Brands'!$B$5:$B$296,$C40)</f>
        <v/>
      </c>
      <c r="J40" s="48">
        <f>I40-H40</f>
        <v/>
      </c>
      <c r="K40" s="33">
        <f>SUMIFS('Data - Control'!$J$5:$J$296,'Data - Control'!$A$5:$A$296,$A40,'Data - Control'!$B$5:$B$296,$C40)</f>
        <v/>
      </c>
    </row>
    <row r="41">
      <c r="A41" s="2" t="inlineStr">
        <is>
          <t>Heineken USA</t>
        </is>
      </c>
      <c r="B41" s="2" t="inlineStr">
        <is>
          <t>not incented</t>
        </is>
      </c>
      <c r="C41" s="43" t="inlineStr">
        <is>
          <t>Newcastle</t>
        </is>
      </c>
      <c r="D41" s="33">
        <f>SUMIFS('Control Brands'!$C$5:$C$296,'Control Brands'!$A$5:$A$296,$A41,'Control Brands'!$B$5:$B$296,$C41)</f>
        <v/>
      </c>
      <c r="E41" s="33">
        <f>SUMIFS('Control Brands'!$D$5:$D$296,'Control Brands'!$A$5:$A$296,$A41,'Control Brands'!$B$5:$B$296,$C41)</f>
        <v/>
      </c>
      <c r="F41" s="44">
        <f>E41-D41</f>
        <v/>
      </c>
      <c r="G41" s="45">
        <f>IFERROR(E41/D41-1,"")</f>
        <v/>
      </c>
      <c r="H41" s="36">
        <f>SUMIFS('Control Brands'!$G$5:$G$296,'Control Brands'!$A$5:$A$296,$A41,'Control Brands'!$B$5:$B$296,$C41)</f>
        <v/>
      </c>
      <c r="I41" s="36">
        <f>SUMIFS('Control Brands'!$H$5:$H$296,'Control Brands'!$A$5:$A$296,$A41,'Control Brands'!$B$5:$B$296,$C41)</f>
        <v/>
      </c>
      <c r="J41" s="48">
        <f>I41-H41</f>
        <v/>
      </c>
      <c r="K41" s="33">
        <f>SUMIFS('Data - Control'!$J$5:$J$296,'Data - Control'!$A$5:$A$296,$A41,'Data - Control'!$B$5:$B$296,$C41)</f>
        <v/>
      </c>
    </row>
    <row r="42">
      <c r="A42" s="2" t="inlineStr">
        <is>
          <t>Heineken USA</t>
        </is>
      </c>
      <c r="B42" s="2" t="inlineStr">
        <is>
          <t>not incented</t>
        </is>
      </c>
      <c r="C42" s="43" t="inlineStr">
        <is>
          <t>Prestige Lager</t>
        </is>
      </c>
      <c r="D42" s="33">
        <f>SUMIFS('Control Brands'!$C$5:$C$296,'Control Brands'!$A$5:$A$296,$A42,'Control Brands'!$B$5:$B$296,$C42)</f>
        <v/>
      </c>
      <c r="E42" s="33">
        <f>SUMIFS('Control Brands'!$D$5:$D$296,'Control Brands'!$A$5:$A$296,$A42,'Control Brands'!$B$5:$B$296,$C42)</f>
        <v/>
      </c>
      <c r="F42" s="44">
        <f>E42-D42</f>
        <v/>
      </c>
      <c r="G42" s="45">
        <f>IFERROR(E42/D42-1,"")</f>
        <v/>
      </c>
      <c r="H42" s="36">
        <f>SUMIFS('Control Brands'!$G$5:$G$296,'Control Brands'!$A$5:$A$296,$A42,'Control Brands'!$B$5:$B$296,$C42)</f>
        <v/>
      </c>
      <c r="I42" s="36">
        <f>SUMIFS('Control Brands'!$H$5:$H$296,'Control Brands'!$A$5:$A$296,$A42,'Control Brands'!$B$5:$B$296,$C42)</f>
        <v/>
      </c>
      <c r="J42" s="48">
        <f>I42-H42</f>
        <v/>
      </c>
      <c r="K42" s="33">
        <f>SUMIFS('Data - Control'!$J$5:$J$296,'Data - Control'!$A$5:$A$296,$A42,'Data - Control'!$B$5:$B$296,$C42)</f>
        <v/>
      </c>
    </row>
    <row r="43">
      <c r="A43" s="2" t="inlineStr">
        <is>
          <t>Heineken USA</t>
        </is>
      </c>
      <c r="B43" s="2" t="inlineStr">
        <is>
          <t>not incented</t>
        </is>
      </c>
      <c r="C43" s="43" t="inlineStr">
        <is>
          <t>Red Stripe</t>
        </is>
      </c>
      <c r="D43" s="33">
        <f>SUMIFS('Control Brands'!$C$5:$C$296,'Control Brands'!$A$5:$A$296,$A43,'Control Brands'!$B$5:$B$296,$C43)</f>
        <v/>
      </c>
      <c r="E43" s="33">
        <f>SUMIFS('Control Brands'!$D$5:$D$296,'Control Brands'!$A$5:$A$296,$A43,'Control Brands'!$B$5:$B$296,$C43)</f>
        <v/>
      </c>
      <c r="F43" s="44">
        <f>E43-D43</f>
        <v/>
      </c>
      <c r="G43" s="45">
        <f>IFERROR(E43/D43-1,"")</f>
        <v/>
      </c>
      <c r="H43" s="36">
        <f>SUMIFS('Control Brands'!$G$5:$G$296,'Control Brands'!$A$5:$A$296,$A43,'Control Brands'!$B$5:$B$296,$C43)</f>
        <v/>
      </c>
      <c r="I43" s="36">
        <f>SUMIFS('Control Brands'!$H$5:$H$296,'Control Brands'!$A$5:$A$296,$A43,'Control Brands'!$B$5:$B$296,$C43)</f>
        <v/>
      </c>
      <c r="J43" s="48">
        <f>I43-H43</f>
        <v/>
      </c>
      <c r="K43" s="33">
        <f>SUMIFS('Data - Control'!$J$5:$J$296,'Data - Control'!$A$5:$A$296,$A43,'Data - Control'!$B$5:$B$296,$C43)</f>
        <v/>
      </c>
    </row>
    <row r="44">
      <c r="A44" s="2" t="inlineStr">
        <is>
          <t>Heineken USA</t>
        </is>
      </c>
      <c r="B44" s="2" t="inlineStr">
        <is>
          <t>not incented</t>
        </is>
      </c>
      <c r="C44" s="43" t="inlineStr">
        <is>
          <t>Strongbow</t>
        </is>
      </c>
      <c r="D44" s="33">
        <f>SUMIFS('Control Brands'!$C$5:$C$296,'Control Brands'!$A$5:$A$296,$A44,'Control Brands'!$B$5:$B$296,$C44)</f>
        <v/>
      </c>
      <c r="E44" s="33">
        <f>SUMIFS('Control Brands'!$D$5:$D$296,'Control Brands'!$A$5:$A$296,$A44,'Control Brands'!$B$5:$B$296,$C44)</f>
        <v/>
      </c>
      <c r="F44" s="44">
        <f>E44-D44</f>
        <v/>
      </c>
      <c r="G44" s="45">
        <f>IFERROR(E44/D44-1,"")</f>
        <v/>
      </c>
      <c r="H44" s="36">
        <f>SUMIFS('Control Brands'!$G$5:$G$296,'Control Brands'!$A$5:$A$296,$A44,'Control Brands'!$B$5:$B$296,$C44)</f>
        <v/>
      </c>
      <c r="I44" s="36">
        <f>SUMIFS('Control Brands'!$H$5:$H$296,'Control Brands'!$A$5:$A$296,$A44,'Control Brands'!$B$5:$B$296,$C44)</f>
        <v/>
      </c>
      <c r="J44" s="48">
        <f>I44-H44</f>
        <v/>
      </c>
      <c r="K44" s="33">
        <f>SUMIFS('Data - Control'!$J$5:$J$296,'Data - Control'!$A$5:$A$296,$A44,'Data - Control'!$B$5:$B$296,$C44)</f>
        <v/>
      </c>
    </row>
    <row r="45">
      <c r="A45" s="2" t="inlineStr">
        <is>
          <t>Heineken USA</t>
        </is>
      </c>
      <c r="B45" s="2" t="inlineStr">
        <is>
          <t>not incented</t>
        </is>
      </c>
      <c r="C45" s="43" t="inlineStr">
        <is>
          <t>Tecate</t>
        </is>
      </c>
      <c r="D45" s="33">
        <f>SUMIFS('Control Brands'!$C$5:$C$296,'Control Brands'!$A$5:$A$296,$A45,'Control Brands'!$B$5:$B$296,$C45)</f>
        <v/>
      </c>
      <c r="E45" s="33">
        <f>SUMIFS('Control Brands'!$D$5:$D$296,'Control Brands'!$A$5:$A$296,$A45,'Control Brands'!$B$5:$B$296,$C45)</f>
        <v/>
      </c>
      <c r="F45" s="44">
        <f>E45-D45</f>
        <v/>
      </c>
      <c r="G45" s="45">
        <f>IFERROR(E45/D45-1,"")</f>
        <v/>
      </c>
      <c r="H45" s="36">
        <f>SUMIFS('Control Brands'!$G$5:$G$296,'Control Brands'!$A$5:$A$296,$A45,'Control Brands'!$B$5:$B$296,$C45)</f>
        <v/>
      </c>
      <c r="I45" s="36">
        <f>SUMIFS('Control Brands'!$H$5:$H$296,'Control Brands'!$A$5:$A$296,$A45,'Control Brands'!$B$5:$B$296,$C45)</f>
        <v/>
      </c>
      <c r="J45" s="48">
        <f>I45-H45</f>
        <v/>
      </c>
      <c r="K45" s="33">
        <f>SUMIFS('Data - Control'!$J$5:$J$296,'Data - Control'!$A$5:$A$296,$A45,'Data - Control'!$B$5:$B$296,$C45)</f>
        <v/>
      </c>
    </row>
    <row r="46">
      <c r="C46" s="52" t="inlineStr">
        <is>
          <t>Heineken USA — total</t>
        </is>
      </c>
      <c r="D46" s="44">
        <f>SUM(D31:D45)</f>
        <v/>
      </c>
      <c r="E46" s="44">
        <f>SUM(E31:E45)</f>
        <v/>
      </c>
      <c r="F46" s="44">
        <f>SUM(F31:F45)</f>
        <v/>
      </c>
      <c r="H46" s="48">
        <f>SUM(H31:H45)</f>
        <v/>
      </c>
      <c r="I46" s="48">
        <f>SUM(I31:I45)</f>
        <v/>
      </c>
      <c r="J46" s="48">
        <f>SUM(J31:J45)</f>
        <v/>
      </c>
      <c r="K46" s="44">
        <f>SUM(K31:K45)</f>
        <v/>
      </c>
    </row>
    <row r="48">
      <c r="A48" s="43" t="inlineStr">
        <is>
          <t>MolsonCoors Beverage Company</t>
        </is>
      </c>
      <c r="B48" s="51" t="inlineStr">
        <is>
          <t>INCENTED</t>
        </is>
      </c>
      <c r="C48" s="43" t="inlineStr">
        <is>
          <t>Blue Moon</t>
        </is>
      </c>
      <c r="D48" s="33">
        <f>SUMIFS('Program Brands'!$D$6:$D$37,'Program Brands'!$B$6:$B$37,$A48,'Program Brands'!$C$6:$C$37,$C48)</f>
        <v/>
      </c>
      <c r="E48" s="33">
        <f>SUMIFS('Program Brands'!$E$6:$E$37,'Program Brands'!$B$6:$B$37,$A48,'Program Brands'!$C$6:$C$37,$C48)</f>
        <v/>
      </c>
      <c r="F48" s="44">
        <f>E48-D48</f>
        <v/>
      </c>
      <c r="G48" s="45">
        <f>IFERROR(E48/D48-1,"")</f>
        <v/>
      </c>
      <c r="H48" s="36">
        <f>SUMIFS('Program Brands'!$H$6:$H$37,'Program Brands'!$B$6:$B$37,$A48,'Program Brands'!$C$6:$C$37,$C48)</f>
        <v/>
      </c>
      <c r="I48" s="36">
        <f>SUMIFS('Program Brands'!$I$6:$I$37,'Program Brands'!$B$6:$B$37,$A48,'Program Brands'!$C$6:$C$37,$C48)</f>
        <v/>
      </c>
      <c r="J48" s="48">
        <f>I48-H48</f>
        <v/>
      </c>
      <c r="K48" s="33">
        <f>SUMIFS('Data - Season'!$L$5:$L$743,'Data - Season'!$C$5:$C$743,$A48,'Data - Season'!$D$5:$D$743,$C48)</f>
        <v/>
      </c>
    </row>
    <row r="49">
      <c r="A49" s="43" t="inlineStr">
        <is>
          <t>MolsonCoors Beverage Company</t>
        </is>
      </c>
      <c r="B49" s="51" t="inlineStr">
        <is>
          <t>INCENTED</t>
        </is>
      </c>
      <c r="C49" s="43" t="inlineStr">
        <is>
          <t>Coors</t>
        </is>
      </c>
      <c r="D49" s="33">
        <f>SUMIFS('Program Brands'!$D$6:$D$37,'Program Brands'!$B$6:$B$37,$A49,'Program Brands'!$C$6:$C$37,$C49)</f>
        <v/>
      </c>
      <c r="E49" s="33">
        <f>SUMIFS('Program Brands'!$E$6:$E$37,'Program Brands'!$B$6:$B$37,$A49,'Program Brands'!$C$6:$C$37,$C49)</f>
        <v/>
      </c>
      <c r="F49" s="44">
        <f>E49-D49</f>
        <v/>
      </c>
      <c r="G49" s="45">
        <f>IFERROR(E49/D49-1,"")</f>
        <v/>
      </c>
      <c r="H49" s="36">
        <f>SUMIFS('Program Brands'!$H$6:$H$37,'Program Brands'!$B$6:$B$37,$A49,'Program Brands'!$C$6:$C$37,$C49)</f>
        <v/>
      </c>
      <c r="I49" s="36">
        <f>SUMIFS('Program Brands'!$I$6:$I$37,'Program Brands'!$B$6:$B$37,$A49,'Program Brands'!$C$6:$C$37,$C49)</f>
        <v/>
      </c>
      <c r="J49" s="48">
        <f>I49-H49</f>
        <v/>
      </c>
      <c r="K49" s="33">
        <f>SUMIFS('Data - Season'!$L$5:$L$743,'Data - Season'!$C$5:$C$743,$A49,'Data - Season'!$D$5:$D$743,$C49)</f>
        <v/>
      </c>
    </row>
    <row r="50">
      <c r="A50" s="43" t="inlineStr">
        <is>
          <t>MolsonCoors Beverage Company</t>
        </is>
      </c>
      <c r="B50" s="51" t="inlineStr">
        <is>
          <t>INCENTED</t>
        </is>
      </c>
      <c r="C50" s="43" t="inlineStr">
        <is>
          <t>Coors Light</t>
        </is>
      </c>
      <c r="D50" s="33">
        <f>SUMIFS('Program Brands'!$D$6:$D$37,'Program Brands'!$B$6:$B$37,$A50,'Program Brands'!$C$6:$C$37,$C50)</f>
        <v/>
      </c>
      <c r="E50" s="33">
        <f>SUMIFS('Program Brands'!$E$6:$E$37,'Program Brands'!$B$6:$B$37,$A50,'Program Brands'!$C$6:$C$37,$C50)</f>
        <v/>
      </c>
      <c r="F50" s="44">
        <f>E50-D50</f>
        <v/>
      </c>
      <c r="G50" s="45">
        <f>IFERROR(E50/D50-1,"")</f>
        <v/>
      </c>
      <c r="H50" s="36">
        <f>SUMIFS('Program Brands'!$H$6:$H$37,'Program Brands'!$B$6:$B$37,$A50,'Program Brands'!$C$6:$C$37,$C50)</f>
        <v/>
      </c>
      <c r="I50" s="36">
        <f>SUMIFS('Program Brands'!$I$6:$I$37,'Program Brands'!$B$6:$B$37,$A50,'Program Brands'!$C$6:$C$37,$C50)</f>
        <v/>
      </c>
      <c r="J50" s="48">
        <f>I50-H50</f>
        <v/>
      </c>
      <c r="K50" s="33">
        <f>SUMIFS('Data - Season'!$L$5:$L$743,'Data - Season'!$C$5:$C$743,$A50,'Data - Season'!$D$5:$D$743,$C50)</f>
        <v/>
      </c>
    </row>
    <row r="51">
      <c r="A51" s="43" t="inlineStr">
        <is>
          <t>MolsonCoors Beverage Company</t>
        </is>
      </c>
      <c r="B51" s="51" t="inlineStr">
        <is>
          <t>INCENTED</t>
        </is>
      </c>
      <c r="C51" s="43" t="inlineStr">
        <is>
          <t>Fever Tree</t>
        </is>
      </c>
      <c r="D51" s="33">
        <f>SUMIFS('Program Brands'!$D$6:$D$37,'Program Brands'!$B$6:$B$37,$A51,'Program Brands'!$C$6:$C$37,$C51)</f>
        <v/>
      </c>
      <c r="E51" s="33">
        <f>SUMIFS('Program Brands'!$E$6:$E$37,'Program Brands'!$B$6:$B$37,$A51,'Program Brands'!$C$6:$C$37,$C51)</f>
        <v/>
      </c>
      <c r="F51" s="44">
        <f>E51-D51</f>
        <v/>
      </c>
      <c r="G51" s="45">
        <f>IFERROR(E51/D51-1,"")</f>
        <v/>
      </c>
      <c r="H51" s="36">
        <f>SUMIFS('Program Brands'!$H$6:$H$37,'Program Brands'!$B$6:$B$37,$A51,'Program Brands'!$C$6:$C$37,$C51)</f>
        <v/>
      </c>
      <c r="I51" s="36">
        <f>SUMIFS('Program Brands'!$I$6:$I$37,'Program Brands'!$B$6:$B$37,$A51,'Program Brands'!$C$6:$C$37,$C51)</f>
        <v/>
      </c>
      <c r="J51" s="48">
        <f>I51-H51</f>
        <v/>
      </c>
      <c r="K51" s="33">
        <f>SUMIFS('Data - Season'!$L$5:$L$743,'Data - Season'!$C$5:$C$743,$A51,'Data - Season'!$D$5:$D$743,$C51)</f>
        <v/>
      </c>
    </row>
    <row r="52">
      <c r="A52" s="43" t="inlineStr">
        <is>
          <t>MolsonCoors Beverage Company</t>
        </is>
      </c>
      <c r="B52" s="51" t="inlineStr">
        <is>
          <t>INCENTED</t>
        </is>
      </c>
      <c r="C52" s="43" t="inlineStr">
        <is>
          <t>Lite</t>
        </is>
      </c>
      <c r="D52" s="33">
        <f>SUMIFS('Program Brands'!$D$6:$D$37,'Program Brands'!$B$6:$B$37,$A52,'Program Brands'!$C$6:$C$37,$C52)</f>
        <v/>
      </c>
      <c r="E52" s="33">
        <f>SUMIFS('Program Brands'!$E$6:$E$37,'Program Brands'!$B$6:$B$37,$A52,'Program Brands'!$C$6:$C$37,$C52)</f>
        <v/>
      </c>
      <c r="F52" s="44">
        <f>E52-D52</f>
        <v/>
      </c>
      <c r="G52" s="45">
        <f>IFERROR(E52/D52-1,"")</f>
        <v/>
      </c>
      <c r="H52" s="36">
        <f>SUMIFS('Program Brands'!$H$6:$H$37,'Program Brands'!$B$6:$B$37,$A52,'Program Brands'!$C$6:$C$37,$C52)</f>
        <v/>
      </c>
      <c r="I52" s="36">
        <f>SUMIFS('Program Brands'!$I$6:$I$37,'Program Brands'!$B$6:$B$37,$A52,'Program Brands'!$C$6:$C$37,$C52)</f>
        <v/>
      </c>
      <c r="J52" s="48">
        <f>I52-H52</f>
        <v/>
      </c>
      <c r="K52" s="33">
        <f>SUMIFS('Data - Season'!$L$5:$L$743,'Data - Season'!$C$5:$C$743,$A52,'Data - Season'!$D$5:$D$743,$C52)</f>
        <v/>
      </c>
    </row>
    <row r="53">
      <c r="A53" s="43" t="inlineStr">
        <is>
          <t>MolsonCoors Beverage Company</t>
        </is>
      </c>
      <c r="B53" s="51" t="inlineStr">
        <is>
          <t>INCENTED</t>
        </is>
      </c>
      <c r="C53" s="43" t="inlineStr">
        <is>
          <t>Peroni</t>
        </is>
      </c>
      <c r="D53" s="33">
        <f>SUMIFS('Program Brands'!$D$6:$D$37,'Program Brands'!$B$6:$B$37,$A53,'Program Brands'!$C$6:$C$37,$C53)</f>
        <v/>
      </c>
      <c r="E53" s="33">
        <f>SUMIFS('Program Brands'!$E$6:$E$37,'Program Brands'!$B$6:$B$37,$A53,'Program Brands'!$C$6:$C$37,$C53)</f>
        <v/>
      </c>
      <c r="F53" s="44">
        <f>E53-D53</f>
        <v/>
      </c>
      <c r="G53" s="45">
        <f>IFERROR(E53/D53-1,"")</f>
        <v/>
      </c>
      <c r="H53" s="36">
        <f>SUMIFS('Program Brands'!$H$6:$H$37,'Program Brands'!$B$6:$B$37,$A53,'Program Brands'!$C$6:$C$37,$C53)</f>
        <v/>
      </c>
      <c r="I53" s="36">
        <f>SUMIFS('Program Brands'!$I$6:$I$37,'Program Brands'!$B$6:$B$37,$A53,'Program Brands'!$C$6:$C$37,$C53)</f>
        <v/>
      </c>
      <c r="J53" s="48">
        <f>I53-H53</f>
        <v/>
      </c>
      <c r="K53" s="33">
        <f>SUMIFS('Data - Season'!$L$5:$L$743,'Data - Season'!$C$5:$C$743,$A53,'Data - Season'!$D$5:$D$743,$C53)</f>
        <v/>
      </c>
    </row>
    <row r="54">
      <c r="A54" s="2" t="inlineStr">
        <is>
          <t>MolsonCoors Beverage Company</t>
        </is>
      </c>
      <c r="B54" s="2" t="inlineStr">
        <is>
          <t>not incented</t>
        </is>
      </c>
      <c r="C54" s="43" t="inlineStr">
        <is>
          <t>Aguila</t>
        </is>
      </c>
      <c r="D54" s="33">
        <f>SUMIFS('Control Brands'!$C$5:$C$296,'Control Brands'!$A$5:$A$296,$A54,'Control Brands'!$B$5:$B$296,$C54)</f>
        <v/>
      </c>
      <c r="E54" s="33">
        <f>SUMIFS('Control Brands'!$D$5:$D$296,'Control Brands'!$A$5:$A$296,$A54,'Control Brands'!$B$5:$B$296,$C54)</f>
        <v/>
      </c>
      <c r="F54" s="44">
        <f>E54-D54</f>
        <v/>
      </c>
      <c r="G54" s="45">
        <f>IFERROR(E54/D54-1,"")</f>
        <v/>
      </c>
      <c r="H54" s="36">
        <f>SUMIFS('Control Brands'!$G$5:$G$296,'Control Brands'!$A$5:$A$296,$A54,'Control Brands'!$B$5:$B$296,$C54)</f>
        <v/>
      </c>
      <c r="I54" s="36">
        <f>SUMIFS('Control Brands'!$H$5:$H$296,'Control Brands'!$A$5:$A$296,$A54,'Control Brands'!$B$5:$B$296,$C54)</f>
        <v/>
      </c>
      <c r="J54" s="48">
        <f>I54-H54</f>
        <v/>
      </c>
      <c r="K54" s="33">
        <f>SUMIFS('Data - Control'!$J$5:$J$296,'Data - Control'!$A$5:$A$296,$A54,'Data - Control'!$B$5:$B$296,$C54)</f>
        <v/>
      </c>
    </row>
    <row r="55">
      <c r="A55" s="2" t="inlineStr">
        <is>
          <t>MolsonCoors Beverage Company</t>
        </is>
      </c>
      <c r="B55" s="2" t="inlineStr">
        <is>
          <t>not incented</t>
        </is>
      </c>
      <c r="C55" s="43" t="inlineStr">
        <is>
          <t>Arnold Palmer</t>
        </is>
      </c>
      <c r="D55" s="33">
        <f>SUMIFS('Control Brands'!$C$5:$C$296,'Control Brands'!$A$5:$A$296,$A55,'Control Brands'!$B$5:$B$296,$C55)</f>
        <v/>
      </c>
      <c r="E55" s="33">
        <f>SUMIFS('Control Brands'!$D$5:$D$296,'Control Brands'!$A$5:$A$296,$A55,'Control Brands'!$B$5:$B$296,$C55)</f>
        <v/>
      </c>
      <c r="F55" s="44">
        <f>E55-D55</f>
        <v/>
      </c>
      <c r="G55" s="45">
        <f>IFERROR(E55/D55-1,"")</f>
        <v/>
      </c>
      <c r="H55" s="36">
        <f>SUMIFS('Control Brands'!$G$5:$G$296,'Control Brands'!$A$5:$A$296,$A55,'Control Brands'!$B$5:$B$296,$C55)</f>
        <v/>
      </c>
      <c r="I55" s="36">
        <f>SUMIFS('Control Brands'!$H$5:$H$296,'Control Brands'!$A$5:$A$296,$A55,'Control Brands'!$B$5:$B$296,$C55)</f>
        <v/>
      </c>
      <c r="J55" s="48">
        <f>I55-H55</f>
        <v/>
      </c>
      <c r="K55" s="33">
        <f>SUMIFS('Data - Control'!$J$5:$J$296,'Data - Control'!$A$5:$A$296,$A55,'Data - Control'!$B$5:$B$296,$C55)</f>
        <v/>
      </c>
    </row>
    <row r="56">
      <c r="A56" s="2" t="inlineStr">
        <is>
          <t>MolsonCoors Beverage Company</t>
        </is>
      </c>
      <c r="B56" s="2" t="inlineStr">
        <is>
          <t>not incented</t>
        </is>
      </c>
      <c r="C56" s="43" t="inlineStr">
        <is>
          <t>Coors 0.0</t>
        </is>
      </c>
      <c r="D56" s="33">
        <f>SUMIFS('Control Brands'!$C$5:$C$296,'Control Brands'!$A$5:$A$296,$A56,'Control Brands'!$B$5:$B$296,$C56)</f>
        <v/>
      </c>
      <c r="E56" s="33">
        <f>SUMIFS('Control Brands'!$D$5:$D$296,'Control Brands'!$A$5:$A$296,$A56,'Control Brands'!$B$5:$B$296,$C56)</f>
        <v/>
      </c>
      <c r="F56" s="44">
        <f>E56-D56</f>
        <v/>
      </c>
      <c r="G56" s="45">
        <f>IFERROR(E56/D56-1,"")</f>
        <v/>
      </c>
      <c r="H56" s="36">
        <f>SUMIFS('Control Brands'!$G$5:$G$296,'Control Brands'!$A$5:$A$296,$A56,'Control Brands'!$B$5:$B$296,$C56)</f>
        <v/>
      </c>
      <c r="I56" s="36">
        <f>SUMIFS('Control Brands'!$H$5:$H$296,'Control Brands'!$A$5:$A$296,$A56,'Control Brands'!$B$5:$B$296,$C56)</f>
        <v/>
      </c>
      <c r="J56" s="48">
        <f>I56-H56</f>
        <v/>
      </c>
      <c r="K56" s="33">
        <f>SUMIFS('Data - Control'!$J$5:$J$296,'Data - Control'!$A$5:$A$296,$A56,'Data - Control'!$B$5:$B$296,$C56)</f>
        <v/>
      </c>
    </row>
    <row r="57">
      <c r="A57" s="2" t="inlineStr">
        <is>
          <t>MolsonCoors Beverage Company</t>
        </is>
      </c>
      <c r="B57" s="2" t="inlineStr">
        <is>
          <t>not incented</t>
        </is>
      </c>
      <c r="C57" s="43" t="inlineStr">
        <is>
          <t>Coors Edge</t>
        </is>
      </c>
      <c r="D57" s="33">
        <f>SUMIFS('Control Brands'!$C$5:$C$296,'Control Brands'!$A$5:$A$296,$A57,'Control Brands'!$B$5:$B$296,$C57)</f>
        <v/>
      </c>
      <c r="E57" s="33">
        <f>SUMIFS('Control Brands'!$D$5:$D$296,'Control Brands'!$A$5:$A$296,$A57,'Control Brands'!$B$5:$B$296,$C57)</f>
        <v/>
      </c>
      <c r="F57" s="44">
        <f>E57-D57</f>
        <v/>
      </c>
      <c r="G57" s="45">
        <f>IFERROR(E57/D57-1,"")</f>
        <v/>
      </c>
      <c r="H57" s="36">
        <f>SUMIFS('Control Brands'!$G$5:$G$296,'Control Brands'!$A$5:$A$296,$A57,'Control Brands'!$B$5:$B$296,$C57)</f>
        <v/>
      </c>
      <c r="I57" s="36">
        <f>SUMIFS('Control Brands'!$H$5:$H$296,'Control Brands'!$A$5:$A$296,$A57,'Control Brands'!$B$5:$B$296,$C57)</f>
        <v/>
      </c>
      <c r="J57" s="48">
        <f>I57-H57</f>
        <v/>
      </c>
      <c r="K57" s="33">
        <f>SUMIFS('Data - Control'!$J$5:$J$296,'Data - Control'!$A$5:$A$296,$A57,'Data - Control'!$B$5:$B$296,$C57)</f>
        <v/>
      </c>
    </row>
    <row r="58">
      <c r="A58" s="2" t="inlineStr">
        <is>
          <t>MolsonCoors Beverage Company</t>
        </is>
      </c>
      <c r="B58" s="2" t="inlineStr">
        <is>
          <t>not incented</t>
        </is>
      </c>
      <c r="C58" s="43" t="inlineStr">
        <is>
          <t>Cusquena</t>
        </is>
      </c>
      <c r="D58" s="33">
        <f>SUMIFS('Control Brands'!$C$5:$C$296,'Control Brands'!$A$5:$A$296,$A58,'Control Brands'!$B$5:$B$296,$C58)</f>
        <v/>
      </c>
      <c r="E58" s="33">
        <f>SUMIFS('Control Brands'!$D$5:$D$296,'Control Brands'!$A$5:$A$296,$A58,'Control Brands'!$B$5:$B$296,$C58)</f>
        <v/>
      </c>
      <c r="F58" s="44">
        <f>E58-D58</f>
        <v/>
      </c>
      <c r="G58" s="45">
        <f>IFERROR(E58/D58-1,"")</f>
        <v/>
      </c>
      <c r="H58" s="36">
        <f>SUMIFS('Control Brands'!$G$5:$G$296,'Control Brands'!$A$5:$A$296,$A58,'Control Brands'!$B$5:$B$296,$C58)</f>
        <v/>
      </c>
      <c r="I58" s="36">
        <f>SUMIFS('Control Brands'!$H$5:$H$296,'Control Brands'!$A$5:$A$296,$A58,'Control Brands'!$B$5:$B$296,$C58)</f>
        <v/>
      </c>
      <c r="J58" s="48">
        <f>I58-H58</f>
        <v/>
      </c>
      <c r="K58" s="33">
        <f>SUMIFS('Data - Control'!$J$5:$J$296,'Data - Control'!$A$5:$A$296,$A58,'Data - Control'!$B$5:$B$296,$C58)</f>
        <v/>
      </c>
    </row>
    <row r="59">
      <c r="A59" s="2" t="inlineStr">
        <is>
          <t>MolsonCoors Beverage Company</t>
        </is>
      </c>
      <c r="B59" s="2" t="inlineStr">
        <is>
          <t>not incented</t>
        </is>
      </c>
      <c r="C59" s="43" t="inlineStr">
        <is>
          <t>Fosters</t>
        </is>
      </c>
      <c r="D59" s="33">
        <f>SUMIFS('Control Brands'!$C$5:$C$296,'Control Brands'!$A$5:$A$296,$A59,'Control Brands'!$B$5:$B$296,$C59)</f>
        <v/>
      </c>
      <c r="E59" s="33">
        <f>SUMIFS('Control Brands'!$D$5:$D$296,'Control Brands'!$A$5:$A$296,$A59,'Control Brands'!$B$5:$B$296,$C59)</f>
        <v/>
      </c>
      <c r="F59" s="44">
        <f>E59-D59</f>
        <v/>
      </c>
      <c r="G59" s="45">
        <f>IFERROR(E59/D59-1,"")</f>
        <v/>
      </c>
      <c r="H59" s="36">
        <f>SUMIFS('Control Brands'!$G$5:$G$296,'Control Brands'!$A$5:$A$296,$A59,'Control Brands'!$B$5:$B$296,$C59)</f>
        <v/>
      </c>
      <c r="I59" s="36">
        <f>SUMIFS('Control Brands'!$H$5:$H$296,'Control Brands'!$A$5:$A$296,$A59,'Control Brands'!$B$5:$B$296,$C59)</f>
        <v/>
      </c>
      <c r="J59" s="48">
        <f>I59-H59</f>
        <v/>
      </c>
      <c r="K59" s="33">
        <f>SUMIFS('Data - Control'!$J$5:$J$296,'Data - Control'!$A$5:$A$296,$A59,'Data - Control'!$B$5:$B$296,$C59)</f>
        <v/>
      </c>
    </row>
    <row r="60">
      <c r="A60" s="2" t="inlineStr">
        <is>
          <t>MolsonCoors Beverage Company</t>
        </is>
      </c>
      <c r="B60" s="2" t="inlineStr">
        <is>
          <t>not incented</t>
        </is>
      </c>
      <c r="C60" s="43" t="inlineStr">
        <is>
          <t>George Killian's</t>
        </is>
      </c>
      <c r="D60" s="33">
        <f>SUMIFS('Control Brands'!$C$5:$C$296,'Control Brands'!$A$5:$A$296,$A60,'Control Brands'!$B$5:$B$296,$C60)</f>
        <v/>
      </c>
      <c r="E60" s="33">
        <f>SUMIFS('Control Brands'!$D$5:$D$296,'Control Brands'!$A$5:$A$296,$A60,'Control Brands'!$B$5:$B$296,$C60)</f>
        <v/>
      </c>
      <c r="F60" s="44">
        <f>E60-D60</f>
        <v/>
      </c>
      <c r="G60" s="45">
        <f>IFERROR(E60/D60-1,"")</f>
        <v/>
      </c>
      <c r="H60" s="36">
        <f>SUMIFS('Control Brands'!$G$5:$G$296,'Control Brands'!$A$5:$A$296,$A60,'Control Brands'!$B$5:$B$296,$C60)</f>
        <v/>
      </c>
      <c r="I60" s="36">
        <f>SUMIFS('Control Brands'!$H$5:$H$296,'Control Brands'!$A$5:$A$296,$A60,'Control Brands'!$B$5:$B$296,$C60)</f>
        <v/>
      </c>
      <c r="J60" s="48">
        <f>I60-H60</f>
        <v/>
      </c>
      <c r="K60" s="33">
        <f>SUMIFS('Data - Control'!$J$5:$J$296,'Data - Control'!$A$5:$A$296,$A60,'Data - Control'!$B$5:$B$296,$C60)</f>
        <v/>
      </c>
    </row>
    <row r="61">
      <c r="A61" s="2" t="inlineStr">
        <is>
          <t>MolsonCoors Beverage Company</t>
        </is>
      </c>
      <c r="B61" s="2" t="inlineStr">
        <is>
          <t>not incented</t>
        </is>
      </c>
      <c r="C61" s="43" t="inlineStr">
        <is>
          <t>Grolsch</t>
        </is>
      </c>
      <c r="D61" s="33">
        <f>SUMIFS('Control Brands'!$C$5:$C$296,'Control Brands'!$A$5:$A$296,$A61,'Control Brands'!$B$5:$B$296,$C61)</f>
        <v/>
      </c>
      <c r="E61" s="33">
        <f>SUMIFS('Control Brands'!$D$5:$D$296,'Control Brands'!$A$5:$A$296,$A61,'Control Brands'!$B$5:$B$296,$C61)</f>
        <v/>
      </c>
      <c r="F61" s="44">
        <f>E61-D61</f>
        <v/>
      </c>
      <c r="G61" s="45">
        <f>IFERROR(E61/D61-1,"")</f>
        <v/>
      </c>
      <c r="H61" s="36">
        <f>SUMIFS('Control Brands'!$G$5:$G$296,'Control Brands'!$A$5:$A$296,$A61,'Control Brands'!$B$5:$B$296,$C61)</f>
        <v/>
      </c>
      <c r="I61" s="36">
        <f>SUMIFS('Control Brands'!$H$5:$H$296,'Control Brands'!$A$5:$A$296,$A61,'Control Brands'!$B$5:$B$296,$C61)</f>
        <v/>
      </c>
      <c r="J61" s="48">
        <f>I61-H61</f>
        <v/>
      </c>
      <c r="K61" s="33">
        <f>SUMIFS('Data - Control'!$J$5:$J$296,'Data - Control'!$A$5:$A$296,$A61,'Data - Control'!$B$5:$B$296,$C61)</f>
        <v/>
      </c>
    </row>
    <row r="62">
      <c r="A62" s="2" t="inlineStr">
        <is>
          <t>MolsonCoors Beverage Company</t>
        </is>
      </c>
      <c r="B62" s="2" t="inlineStr">
        <is>
          <t>not incented</t>
        </is>
      </c>
      <c r="C62" s="43" t="inlineStr">
        <is>
          <t>Hamm's</t>
        </is>
      </c>
      <c r="D62" s="33">
        <f>SUMIFS('Control Brands'!$C$5:$C$296,'Control Brands'!$A$5:$A$296,$A62,'Control Brands'!$B$5:$B$296,$C62)</f>
        <v/>
      </c>
      <c r="E62" s="33">
        <f>SUMIFS('Control Brands'!$D$5:$D$296,'Control Brands'!$A$5:$A$296,$A62,'Control Brands'!$B$5:$B$296,$C62)</f>
        <v/>
      </c>
      <c r="F62" s="44">
        <f>E62-D62</f>
        <v/>
      </c>
      <c r="G62" s="45">
        <f>IFERROR(E62/D62-1,"")</f>
        <v/>
      </c>
      <c r="H62" s="36">
        <f>SUMIFS('Control Brands'!$G$5:$G$296,'Control Brands'!$A$5:$A$296,$A62,'Control Brands'!$B$5:$B$296,$C62)</f>
        <v/>
      </c>
      <c r="I62" s="36">
        <f>SUMIFS('Control Brands'!$H$5:$H$296,'Control Brands'!$A$5:$A$296,$A62,'Control Brands'!$B$5:$B$296,$C62)</f>
        <v/>
      </c>
      <c r="J62" s="48">
        <f>I62-H62</f>
        <v/>
      </c>
      <c r="K62" s="33">
        <f>SUMIFS('Data - Control'!$J$5:$J$296,'Data - Control'!$A$5:$A$296,$A62,'Data - Control'!$B$5:$B$296,$C62)</f>
        <v/>
      </c>
    </row>
    <row r="63">
      <c r="A63" s="2" t="inlineStr">
        <is>
          <t>MolsonCoors Beverage Company</t>
        </is>
      </c>
      <c r="B63" s="2" t="inlineStr">
        <is>
          <t>not incented</t>
        </is>
      </c>
      <c r="C63" s="43" t="inlineStr">
        <is>
          <t>Happy Thursday Spiked Refresher</t>
        </is>
      </c>
      <c r="D63" s="33">
        <f>SUMIFS('Control Brands'!$C$5:$C$296,'Control Brands'!$A$5:$A$296,$A63,'Control Brands'!$B$5:$B$296,$C63)</f>
        <v/>
      </c>
      <c r="E63" s="33">
        <f>SUMIFS('Control Brands'!$D$5:$D$296,'Control Brands'!$A$5:$A$296,$A63,'Control Brands'!$B$5:$B$296,$C63)</f>
        <v/>
      </c>
      <c r="F63" s="44">
        <f>E63-D63</f>
        <v/>
      </c>
      <c r="G63" s="45">
        <f>IFERROR(E63/D63-1,"")</f>
        <v/>
      </c>
      <c r="H63" s="36">
        <f>SUMIFS('Control Brands'!$G$5:$G$296,'Control Brands'!$A$5:$A$296,$A63,'Control Brands'!$B$5:$B$296,$C63)</f>
        <v/>
      </c>
      <c r="I63" s="36">
        <f>SUMIFS('Control Brands'!$H$5:$H$296,'Control Brands'!$A$5:$A$296,$A63,'Control Brands'!$B$5:$B$296,$C63)</f>
        <v/>
      </c>
      <c r="J63" s="48">
        <f>I63-H63</f>
        <v/>
      </c>
      <c r="K63" s="33">
        <f>SUMIFS('Data - Control'!$J$5:$J$296,'Data - Control'!$A$5:$A$296,$A63,'Data - Control'!$B$5:$B$296,$C63)</f>
        <v/>
      </c>
    </row>
    <row r="64">
      <c r="A64" s="2" t="inlineStr">
        <is>
          <t>MolsonCoors Beverage Company</t>
        </is>
      </c>
      <c r="B64" s="2" t="inlineStr">
        <is>
          <t>not incented</t>
        </is>
      </c>
      <c r="C64" s="43" t="inlineStr">
        <is>
          <t>Keystone</t>
        </is>
      </c>
      <c r="D64" s="33">
        <f>SUMIFS('Control Brands'!$C$5:$C$296,'Control Brands'!$A$5:$A$296,$A64,'Control Brands'!$B$5:$B$296,$C64)</f>
        <v/>
      </c>
      <c r="E64" s="33">
        <f>SUMIFS('Control Brands'!$D$5:$D$296,'Control Brands'!$A$5:$A$296,$A64,'Control Brands'!$B$5:$B$296,$C64)</f>
        <v/>
      </c>
      <c r="F64" s="44">
        <f>E64-D64</f>
        <v/>
      </c>
      <c r="G64" s="45">
        <f>IFERROR(E64/D64-1,"")</f>
        <v/>
      </c>
      <c r="H64" s="36">
        <f>SUMIFS('Control Brands'!$G$5:$G$296,'Control Brands'!$A$5:$A$296,$A64,'Control Brands'!$B$5:$B$296,$C64)</f>
        <v/>
      </c>
      <c r="I64" s="36">
        <f>SUMIFS('Control Brands'!$H$5:$H$296,'Control Brands'!$A$5:$A$296,$A64,'Control Brands'!$B$5:$B$296,$C64)</f>
        <v/>
      </c>
      <c r="J64" s="48">
        <f>I64-H64</f>
        <v/>
      </c>
      <c r="K64" s="33">
        <f>SUMIFS('Data - Control'!$J$5:$J$296,'Data - Control'!$A$5:$A$296,$A64,'Data - Control'!$B$5:$B$296,$C64)</f>
        <v/>
      </c>
    </row>
    <row r="65">
      <c r="A65" s="2" t="inlineStr">
        <is>
          <t>MolsonCoors Beverage Company</t>
        </is>
      </c>
      <c r="B65" s="2" t="inlineStr">
        <is>
          <t>not incented</t>
        </is>
      </c>
      <c r="C65" s="43" t="inlineStr">
        <is>
          <t>Leinenkugel</t>
        </is>
      </c>
      <c r="D65" s="33">
        <f>SUMIFS('Control Brands'!$C$5:$C$296,'Control Brands'!$A$5:$A$296,$A65,'Control Brands'!$B$5:$B$296,$C65)</f>
        <v/>
      </c>
      <c r="E65" s="33">
        <f>SUMIFS('Control Brands'!$D$5:$D$296,'Control Brands'!$A$5:$A$296,$A65,'Control Brands'!$B$5:$B$296,$C65)</f>
        <v/>
      </c>
      <c r="F65" s="44">
        <f>E65-D65</f>
        <v/>
      </c>
      <c r="G65" s="45">
        <f>IFERROR(E65/D65-1,"")</f>
        <v/>
      </c>
      <c r="H65" s="36">
        <f>SUMIFS('Control Brands'!$G$5:$G$296,'Control Brands'!$A$5:$A$296,$A65,'Control Brands'!$B$5:$B$296,$C65)</f>
        <v/>
      </c>
      <c r="I65" s="36">
        <f>SUMIFS('Control Brands'!$H$5:$H$296,'Control Brands'!$A$5:$A$296,$A65,'Control Brands'!$B$5:$B$296,$C65)</f>
        <v/>
      </c>
      <c r="J65" s="48">
        <f>I65-H65</f>
        <v/>
      </c>
      <c r="K65" s="33">
        <f>SUMIFS('Data - Control'!$J$5:$J$296,'Data - Control'!$A$5:$A$296,$A65,'Data - Control'!$B$5:$B$296,$C65)</f>
        <v/>
      </c>
    </row>
    <row r="66">
      <c r="A66" s="2" t="inlineStr">
        <is>
          <t>MolsonCoors Beverage Company</t>
        </is>
      </c>
      <c r="B66" s="2" t="inlineStr">
        <is>
          <t>not incented</t>
        </is>
      </c>
      <c r="C66" s="43" t="inlineStr">
        <is>
          <t>Miller Extra Light</t>
        </is>
      </c>
      <c r="D66" s="33">
        <f>SUMIFS('Control Brands'!$C$5:$C$296,'Control Brands'!$A$5:$A$296,$A66,'Control Brands'!$B$5:$B$296,$C66)</f>
        <v/>
      </c>
      <c r="E66" s="33">
        <f>SUMIFS('Control Brands'!$D$5:$D$296,'Control Brands'!$A$5:$A$296,$A66,'Control Brands'!$B$5:$B$296,$C66)</f>
        <v/>
      </c>
      <c r="F66" s="44">
        <f>E66-D66</f>
        <v/>
      </c>
      <c r="G66" s="45">
        <f>IFERROR(E66/D66-1,"")</f>
        <v/>
      </c>
      <c r="H66" s="36">
        <f>SUMIFS('Control Brands'!$G$5:$G$296,'Control Brands'!$A$5:$A$296,$A66,'Control Brands'!$B$5:$B$296,$C66)</f>
        <v/>
      </c>
      <c r="I66" s="36">
        <f>SUMIFS('Control Brands'!$H$5:$H$296,'Control Brands'!$A$5:$A$296,$A66,'Control Brands'!$B$5:$B$296,$C66)</f>
        <v/>
      </c>
      <c r="J66" s="48">
        <f>I66-H66</f>
        <v/>
      </c>
      <c r="K66" s="33">
        <f>SUMIFS('Data - Control'!$J$5:$J$296,'Data - Control'!$A$5:$A$296,$A66,'Data - Control'!$B$5:$B$296,$C66)</f>
        <v/>
      </c>
    </row>
    <row r="67">
      <c r="A67" s="2" t="inlineStr">
        <is>
          <t>MolsonCoors Beverage Company</t>
        </is>
      </c>
      <c r="B67" s="2" t="inlineStr">
        <is>
          <t>not incented</t>
        </is>
      </c>
      <c r="C67" s="43" t="inlineStr">
        <is>
          <t>Miller Genuine Draft</t>
        </is>
      </c>
      <c r="D67" s="33">
        <f>SUMIFS('Control Brands'!$C$5:$C$296,'Control Brands'!$A$5:$A$296,$A67,'Control Brands'!$B$5:$B$296,$C67)</f>
        <v/>
      </c>
      <c r="E67" s="33">
        <f>SUMIFS('Control Brands'!$D$5:$D$296,'Control Brands'!$A$5:$A$296,$A67,'Control Brands'!$B$5:$B$296,$C67)</f>
        <v/>
      </c>
      <c r="F67" s="44">
        <f>E67-D67</f>
        <v/>
      </c>
      <c r="G67" s="45">
        <f>IFERROR(E67/D67-1,"")</f>
        <v/>
      </c>
      <c r="H67" s="36">
        <f>SUMIFS('Control Brands'!$G$5:$G$296,'Control Brands'!$A$5:$A$296,$A67,'Control Brands'!$B$5:$B$296,$C67)</f>
        <v/>
      </c>
      <c r="I67" s="36">
        <f>SUMIFS('Control Brands'!$H$5:$H$296,'Control Brands'!$A$5:$A$296,$A67,'Control Brands'!$B$5:$B$296,$C67)</f>
        <v/>
      </c>
      <c r="J67" s="48">
        <f>I67-H67</f>
        <v/>
      </c>
      <c r="K67" s="33">
        <f>SUMIFS('Data - Control'!$J$5:$J$296,'Data - Control'!$A$5:$A$296,$A67,'Data - Control'!$B$5:$B$296,$C67)</f>
        <v/>
      </c>
    </row>
    <row r="68">
      <c r="A68" s="2" t="inlineStr">
        <is>
          <t>MolsonCoors Beverage Company</t>
        </is>
      </c>
      <c r="B68" s="2" t="inlineStr">
        <is>
          <t>not incented</t>
        </is>
      </c>
      <c r="C68" s="43" t="inlineStr">
        <is>
          <t>Miller High Life</t>
        </is>
      </c>
      <c r="D68" s="33">
        <f>SUMIFS('Control Brands'!$C$5:$C$296,'Control Brands'!$A$5:$A$296,$A68,'Control Brands'!$B$5:$B$296,$C68)</f>
        <v/>
      </c>
      <c r="E68" s="33">
        <f>SUMIFS('Control Brands'!$D$5:$D$296,'Control Brands'!$A$5:$A$296,$A68,'Control Brands'!$B$5:$B$296,$C68)</f>
        <v/>
      </c>
      <c r="F68" s="44">
        <f>E68-D68</f>
        <v/>
      </c>
      <c r="G68" s="45">
        <f>IFERROR(E68/D68-1,"")</f>
        <v/>
      </c>
      <c r="H68" s="36">
        <f>SUMIFS('Control Brands'!$G$5:$G$296,'Control Brands'!$A$5:$A$296,$A68,'Control Brands'!$B$5:$B$296,$C68)</f>
        <v/>
      </c>
      <c r="I68" s="36">
        <f>SUMIFS('Control Brands'!$H$5:$H$296,'Control Brands'!$A$5:$A$296,$A68,'Control Brands'!$B$5:$B$296,$C68)</f>
        <v/>
      </c>
      <c r="J68" s="48">
        <f>I68-H68</f>
        <v/>
      </c>
      <c r="K68" s="33">
        <f>SUMIFS('Data - Control'!$J$5:$J$296,'Data - Control'!$A$5:$A$296,$A68,'Data - Control'!$B$5:$B$296,$C68)</f>
        <v/>
      </c>
    </row>
    <row r="69">
      <c r="A69" s="2" t="inlineStr">
        <is>
          <t>MolsonCoors Beverage Company</t>
        </is>
      </c>
      <c r="B69" s="2" t="inlineStr">
        <is>
          <t>not incented</t>
        </is>
      </c>
      <c r="C69" s="43" t="inlineStr">
        <is>
          <t>Milwaukee's Best Ice</t>
        </is>
      </c>
      <c r="D69" s="33">
        <f>SUMIFS('Control Brands'!$C$5:$C$296,'Control Brands'!$A$5:$A$296,$A69,'Control Brands'!$B$5:$B$296,$C69)</f>
        <v/>
      </c>
      <c r="E69" s="33">
        <f>SUMIFS('Control Brands'!$D$5:$D$296,'Control Brands'!$A$5:$A$296,$A69,'Control Brands'!$B$5:$B$296,$C69)</f>
        <v/>
      </c>
      <c r="F69" s="44">
        <f>E69-D69</f>
        <v/>
      </c>
      <c r="G69" s="45">
        <f>IFERROR(E69/D69-1,"")</f>
        <v/>
      </c>
      <c r="H69" s="36">
        <f>SUMIFS('Control Brands'!$G$5:$G$296,'Control Brands'!$A$5:$A$296,$A69,'Control Brands'!$B$5:$B$296,$C69)</f>
        <v/>
      </c>
      <c r="I69" s="36">
        <f>SUMIFS('Control Brands'!$H$5:$H$296,'Control Brands'!$A$5:$A$296,$A69,'Control Brands'!$B$5:$B$296,$C69)</f>
        <v/>
      </c>
      <c r="J69" s="48">
        <f>I69-H69</f>
        <v/>
      </c>
      <c r="K69" s="33">
        <f>SUMIFS('Data - Control'!$J$5:$J$296,'Data - Control'!$A$5:$A$296,$A69,'Data - Control'!$B$5:$B$296,$C69)</f>
        <v/>
      </c>
    </row>
    <row r="70">
      <c r="A70" s="2" t="inlineStr">
        <is>
          <t>MolsonCoors Beverage Company</t>
        </is>
      </c>
      <c r="B70" s="2" t="inlineStr">
        <is>
          <t>not incented</t>
        </is>
      </c>
      <c r="C70" s="43" t="inlineStr">
        <is>
          <t>Milwaukee's Best Light</t>
        </is>
      </c>
      <c r="D70" s="33">
        <f>SUMIFS('Control Brands'!$C$5:$C$296,'Control Brands'!$A$5:$A$296,$A70,'Control Brands'!$B$5:$B$296,$C70)</f>
        <v/>
      </c>
      <c r="E70" s="33">
        <f>SUMIFS('Control Brands'!$D$5:$D$296,'Control Brands'!$A$5:$A$296,$A70,'Control Brands'!$B$5:$B$296,$C70)</f>
        <v/>
      </c>
      <c r="F70" s="44">
        <f>E70-D70</f>
        <v/>
      </c>
      <c r="G70" s="45">
        <f>IFERROR(E70/D70-1,"")</f>
        <v/>
      </c>
      <c r="H70" s="36">
        <f>SUMIFS('Control Brands'!$G$5:$G$296,'Control Brands'!$A$5:$A$296,$A70,'Control Brands'!$B$5:$B$296,$C70)</f>
        <v/>
      </c>
      <c r="I70" s="36">
        <f>SUMIFS('Control Brands'!$H$5:$H$296,'Control Brands'!$A$5:$A$296,$A70,'Control Brands'!$B$5:$B$296,$C70)</f>
        <v/>
      </c>
      <c r="J70" s="48">
        <f>I70-H70</f>
        <v/>
      </c>
      <c r="K70" s="33">
        <f>SUMIFS('Data - Control'!$J$5:$J$296,'Data - Control'!$A$5:$A$296,$A70,'Data - Control'!$B$5:$B$296,$C70)</f>
        <v/>
      </c>
    </row>
    <row r="71">
      <c r="A71" s="2" t="inlineStr">
        <is>
          <t>MolsonCoors Beverage Company</t>
        </is>
      </c>
      <c r="B71" s="2" t="inlineStr">
        <is>
          <t>not incented</t>
        </is>
      </c>
      <c r="C71" s="43" t="inlineStr">
        <is>
          <t>Molson</t>
        </is>
      </c>
      <c r="D71" s="33">
        <f>SUMIFS('Control Brands'!$C$5:$C$296,'Control Brands'!$A$5:$A$296,$A71,'Control Brands'!$B$5:$B$296,$C71)</f>
        <v/>
      </c>
      <c r="E71" s="33">
        <f>SUMIFS('Control Brands'!$D$5:$D$296,'Control Brands'!$A$5:$A$296,$A71,'Control Brands'!$B$5:$B$296,$C71)</f>
        <v/>
      </c>
      <c r="F71" s="44">
        <f>E71-D71</f>
        <v/>
      </c>
      <c r="G71" s="45">
        <f>IFERROR(E71/D71-1,"")</f>
        <v/>
      </c>
      <c r="H71" s="36">
        <f>SUMIFS('Control Brands'!$G$5:$G$296,'Control Brands'!$A$5:$A$296,$A71,'Control Brands'!$B$5:$B$296,$C71)</f>
        <v/>
      </c>
      <c r="I71" s="36">
        <f>SUMIFS('Control Brands'!$H$5:$H$296,'Control Brands'!$A$5:$A$296,$A71,'Control Brands'!$B$5:$B$296,$C71)</f>
        <v/>
      </c>
      <c r="J71" s="48">
        <f>I71-H71</f>
        <v/>
      </c>
      <c r="K71" s="33">
        <f>SUMIFS('Data - Control'!$J$5:$J$296,'Data - Control'!$A$5:$A$296,$A71,'Data - Control'!$B$5:$B$296,$C71)</f>
        <v/>
      </c>
    </row>
    <row r="72">
      <c r="A72" s="2" t="inlineStr">
        <is>
          <t>MolsonCoors Beverage Company</t>
        </is>
      </c>
      <c r="B72" s="2" t="inlineStr">
        <is>
          <t>not incented</t>
        </is>
      </c>
      <c r="C72" s="43" t="inlineStr">
        <is>
          <t>Monaco</t>
        </is>
      </c>
      <c r="D72" s="33">
        <f>SUMIFS('Control Brands'!$C$5:$C$296,'Control Brands'!$A$5:$A$296,$A72,'Control Brands'!$B$5:$B$296,$C72)</f>
        <v/>
      </c>
      <c r="E72" s="33">
        <f>SUMIFS('Control Brands'!$D$5:$D$296,'Control Brands'!$A$5:$A$296,$A72,'Control Brands'!$B$5:$B$296,$C72)</f>
        <v/>
      </c>
      <c r="F72" s="44">
        <f>E72-D72</f>
        <v/>
      </c>
      <c r="G72" s="45">
        <f>IFERROR(E72/D72-1,"")</f>
        <v/>
      </c>
      <c r="H72" s="36">
        <f>SUMIFS('Control Brands'!$G$5:$G$296,'Control Brands'!$A$5:$A$296,$A72,'Control Brands'!$B$5:$B$296,$C72)</f>
        <v/>
      </c>
      <c r="I72" s="36">
        <f>SUMIFS('Control Brands'!$H$5:$H$296,'Control Brands'!$A$5:$A$296,$A72,'Control Brands'!$B$5:$B$296,$C72)</f>
        <v/>
      </c>
      <c r="J72" s="48">
        <f>I72-H72</f>
        <v/>
      </c>
      <c r="K72" s="33">
        <f>SUMIFS('Data - Control'!$J$5:$J$296,'Data - Control'!$A$5:$A$296,$A72,'Data - Control'!$B$5:$B$296,$C72)</f>
        <v/>
      </c>
    </row>
    <row r="73">
      <c r="A73" s="2" t="inlineStr">
        <is>
          <t>MolsonCoors Beverage Company</t>
        </is>
      </c>
      <c r="B73" s="2" t="inlineStr">
        <is>
          <t>not incented</t>
        </is>
      </c>
      <c r="C73" s="43" t="inlineStr">
        <is>
          <t>NaKed Life</t>
        </is>
      </c>
      <c r="D73" s="33">
        <f>SUMIFS('Control Brands'!$C$5:$C$296,'Control Brands'!$A$5:$A$296,$A73,'Control Brands'!$B$5:$B$296,$C73)</f>
        <v/>
      </c>
      <c r="E73" s="33">
        <f>SUMIFS('Control Brands'!$D$5:$D$296,'Control Brands'!$A$5:$A$296,$A73,'Control Brands'!$B$5:$B$296,$C73)</f>
        <v/>
      </c>
      <c r="F73" s="44">
        <f>E73-D73</f>
        <v/>
      </c>
      <c r="G73" s="45">
        <f>IFERROR(E73/D73-1,"")</f>
        <v/>
      </c>
      <c r="H73" s="36">
        <f>SUMIFS('Control Brands'!$G$5:$G$296,'Control Brands'!$A$5:$A$296,$A73,'Control Brands'!$B$5:$B$296,$C73)</f>
        <v/>
      </c>
      <c r="I73" s="36">
        <f>SUMIFS('Control Brands'!$H$5:$H$296,'Control Brands'!$A$5:$A$296,$A73,'Control Brands'!$B$5:$B$296,$C73)</f>
        <v/>
      </c>
      <c r="J73" s="48">
        <f>I73-H73</f>
        <v/>
      </c>
      <c r="K73" s="33">
        <f>SUMIFS('Data - Control'!$J$5:$J$296,'Data - Control'!$A$5:$A$296,$A73,'Data - Control'!$B$5:$B$296,$C73)</f>
        <v/>
      </c>
    </row>
    <row r="74">
      <c r="A74" s="2" t="inlineStr">
        <is>
          <t>MolsonCoors Beverage Company</t>
        </is>
      </c>
      <c r="B74" s="2" t="inlineStr">
        <is>
          <t>not incented</t>
        </is>
      </c>
      <c r="C74" s="43" t="inlineStr">
        <is>
          <t>Old English</t>
        </is>
      </c>
      <c r="D74" s="33">
        <f>SUMIFS('Control Brands'!$C$5:$C$296,'Control Brands'!$A$5:$A$296,$A74,'Control Brands'!$B$5:$B$296,$C74)</f>
        <v/>
      </c>
      <c r="E74" s="33">
        <f>SUMIFS('Control Brands'!$D$5:$D$296,'Control Brands'!$A$5:$A$296,$A74,'Control Brands'!$B$5:$B$296,$C74)</f>
        <v/>
      </c>
      <c r="F74" s="44">
        <f>E74-D74</f>
        <v/>
      </c>
      <c r="G74" s="45">
        <f>IFERROR(E74/D74-1,"")</f>
        <v/>
      </c>
      <c r="H74" s="36">
        <f>SUMIFS('Control Brands'!$G$5:$G$296,'Control Brands'!$A$5:$A$296,$A74,'Control Brands'!$B$5:$B$296,$C74)</f>
        <v/>
      </c>
      <c r="I74" s="36">
        <f>SUMIFS('Control Brands'!$H$5:$H$296,'Control Brands'!$A$5:$A$296,$A74,'Control Brands'!$B$5:$B$296,$C74)</f>
        <v/>
      </c>
      <c r="J74" s="48">
        <f>I74-H74</f>
        <v/>
      </c>
      <c r="K74" s="33">
        <f>SUMIFS('Data - Control'!$J$5:$J$296,'Data - Control'!$A$5:$A$296,$A74,'Data - Control'!$B$5:$B$296,$C74)</f>
        <v/>
      </c>
    </row>
    <row r="75">
      <c r="A75" s="2" t="inlineStr">
        <is>
          <t>MolsonCoors Beverage Company</t>
        </is>
      </c>
      <c r="B75" s="2" t="inlineStr">
        <is>
          <t>not incented</t>
        </is>
      </c>
      <c r="C75" s="43" t="inlineStr">
        <is>
          <t>Pilsner Urquell</t>
        </is>
      </c>
      <c r="D75" s="33">
        <f>SUMIFS('Control Brands'!$C$5:$C$296,'Control Brands'!$A$5:$A$296,$A75,'Control Brands'!$B$5:$B$296,$C75)</f>
        <v/>
      </c>
      <c r="E75" s="33">
        <f>SUMIFS('Control Brands'!$D$5:$D$296,'Control Brands'!$A$5:$A$296,$A75,'Control Brands'!$B$5:$B$296,$C75)</f>
        <v/>
      </c>
      <c r="F75" s="44">
        <f>E75-D75</f>
        <v/>
      </c>
      <c r="G75" s="45">
        <f>IFERROR(E75/D75-1,"")</f>
        <v/>
      </c>
      <c r="H75" s="36">
        <f>SUMIFS('Control Brands'!$G$5:$G$296,'Control Brands'!$A$5:$A$296,$A75,'Control Brands'!$B$5:$B$296,$C75)</f>
        <v/>
      </c>
      <c r="I75" s="36">
        <f>SUMIFS('Control Brands'!$H$5:$H$296,'Control Brands'!$A$5:$A$296,$A75,'Control Brands'!$B$5:$B$296,$C75)</f>
        <v/>
      </c>
      <c r="J75" s="48">
        <f>I75-H75</f>
        <v/>
      </c>
      <c r="K75" s="33">
        <f>SUMIFS('Data - Control'!$J$5:$J$296,'Data - Control'!$A$5:$A$296,$A75,'Data - Control'!$B$5:$B$296,$C75)</f>
        <v/>
      </c>
    </row>
    <row r="76">
      <c r="A76" s="2" t="inlineStr">
        <is>
          <t>MolsonCoors Beverage Company</t>
        </is>
      </c>
      <c r="B76" s="2" t="inlineStr">
        <is>
          <t>not incented</t>
        </is>
      </c>
      <c r="C76" s="43" t="inlineStr">
        <is>
          <t>Redd's</t>
        </is>
      </c>
      <c r="D76" s="33">
        <f>SUMIFS('Control Brands'!$C$5:$C$296,'Control Brands'!$A$5:$A$296,$A76,'Control Brands'!$B$5:$B$296,$C76)</f>
        <v/>
      </c>
      <c r="E76" s="33">
        <f>SUMIFS('Control Brands'!$D$5:$D$296,'Control Brands'!$A$5:$A$296,$A76,'Control Brands'!$B$5:$B$296,$C76)</f>
        <v/>
      </c>
      <c r="F76" s="44">
        <f>E76-D76</f>
        <v/>
      </c>
      <c r="G76" s="45">
        <f>IFERROR(E76/D76-1,"")</f>
        <v/>
      </c>
      <c r="H76" s="36">
        <f>SUMIFS('Control Brands'!$G$5:$G$296,'Control Brands'!$A$5:$A$296,$A76,'Control Brands'!$B$5:$B$296,$C76)</f>
        <v/>
      </c>
      <c r="I76" s="36">
        <f>SUMIFS('Control Brands'!$H$5:$H$296,'Control Brands'!$A$5:$A$296,$A76,'Control Brands'!$B$5:$B$296,$C76)</f>
        <v/>
      </c>
      <c r="J76" s="48">
        <f>I76-H76</f>
        <v/>
      </c>
      <c r="K76" s="33">
        <f>SUMIFS('Data - Control'!$J$5:$J$296,'Data - Control'!$A$5:$A$296,$A76,'Data - Control'!$B$5:$B$296,$C76)</f>
        <v/>
      </c>
    </row>
    <row r="77">
      <c r="A77" s="2" t="inlineStr">
        <is>
          <t>MolsonCoors Beverage Company</t>
        </is>
      </c>
      <c r="B77" s="2" t="inlineStr">
        <is>
          <t>not incented</t>
        </is>
      </c>
      <c r="C77" s="43" t="inlineStr">
        <is>
          <t>Redd's Wicked</t>
        </is>
      </c>
      <c r="D77" s="33">
        <f>SUMIFS('Control Brands'!$C$5:$C$296,'Control Brands'!$A$5:$A$296,$A77,'Control Brands'!$B$5:$B$296,$C77)</f>
        <v/>
      </c>
      <c r="E77" s="33">
        <f>SUMIFS('Control Brands'!$D$5:$D$296,'Control Brands'!$A$5:$A$296,$A77,'Control Brands'!$B$5:$B$296,$C77)</f>
        <v/>
      </c>
      <c r="F77" s="44">
        <f>E77-D77</f>
        <v/>
      </c>
      <c r="G77" s="45">
        <f>IFERROR(E77/D77-1,"")</f>
        <v/>
      </c>
      <c r="H77" s="36">
        <f>SUMIFS('Control Brands'!$G$5:$G$296,'Control Brands'!$A$5:$A$296,$A77,'Control Brands'!$B$5:$B$296,$C77)</f>
        <v/>
      </c>
      <c r="I77" s="36">
        <f>SUMIFS('Control Brands'!$H$5:$H$296,'Control Brands'!$A$5:$A$296,$A77,'Control Brands'!$B$5:$B$296,$C77)</f>
        <v/>
      </c>
      <c r="J77" s="48">
        <f>I77-H77</f>
        <v/>
      </c>
      <c r="K77" s="33">
        <f>SUMIFS('Data - Control'!$J$5:$J$296,'Data - Control'!$A$5:$A$296,$A77,'Data - Control'!$B$5:$B$296,$C77)</f>
        <v/>
      </c>
    </row>
    <row r="78">
      <c r="A78" s="2" t="inlineStr">
        <is>
          <t>MolsonCoors Beverage Company</t>
        </is>
      </c>
      <c r="B78" s="2" t="inlineStr">
        <is>
          <t>not incented</t>
        </is>
      </c>
      <c r="C78" s="43" t="inlineStr">
        <is>
          <t>Simply Spiked</t>
        </is>
      </c>
      <c r="D78" s="33">
        <f>SUMIFS('Control Brands'!$C$5:$C$296,'Control Brands'!$A$5:$A$296,$A78,'Control Brands'!$B$5:$B$296,$C78)</f>
        <v/>
      </c>
      <c r="E78" s="33">
        <f>SUMIFS('Control Brands'!$D$5:$D$296,'Control Brands'!$A$5:$A$296,$A78,'Control Brands'!$B$5:$B$296,$C78)</f>
        <v/>
      </c>
      <c r="F78" s="44">
        <f>E78-D78</f>
        <v/>
      </c>
      <c r="G78" s="45">
        <f>IFERROR(E78/D78-1,"")</f>
        <v/>
      </c>
      <c r="H78" s="36">
        <f>SUMIFS('Control Brands'!$G$5:$G$296,'Control Brands'!$A$5:$A$296,$A78,'Control Brands'!$B$5:$B$296,$C78)</f>
        <v/>
      </c>
      <c r="I78" s="36">
        <f>SUMIFS('Control Brands'!$H$5:$H$296,'Control Brands'!$A$5:$A$296,$A78,'Control Brands'!$B$5:$B$296,$C78)</f>
        <v/>
      </c>
      <c r="J78" s="48">
        <f>I78-H78</f>
        <v/>
      </c>
      <c r="K78" s="33">
        <f>SUMIFS('Data - Control'!$J$5:$J$296,'Data - Control'!$A$5:$A$296,$A78,'Data - Control'!$B$5:$B$296,$C78)</f>
        <v/>
      </c>
    </row>
    <row r="79">
      <c r="A79" s="2" t="inlineStr">
        <is>
          <t>MolsonCoors Beverage Company</t>
        </is>
      </c>
      <c r="B79" s="2" t="inlineStr">
        <is>
          <t>not incented</t>
        </is>
      </c>
      <c r="C79" s="43" t="inlineStr">
        <is>
          <t>Sol</t>
        </is>
      </c>
      <c r="D79" s="33">
        <f>SUMIFS('Control Brands'!$C$5:$C$296,'Control Brands'!$A$5:$A$296,$A79,'Control Brands'!$B$5:$B$296,$C79)</f>
        <v/>
      </c>
      <c r="E79" s="33">
        <f>SUMIFS('Control Brands'!$D$5:$D$296,'Control Brands'!$A$5:$A$296,$A79,'Control Brands'!$B$5:$B$296,$C79)</f>
        <v/>
      </c>
      <c r="F79" s="44">
        <f>E79-D79</f>
        <v/>
      </c>
      <c r="G79" s="45">
        <f>IFERROR(E79/D79-1,"")</f>
        <v/>
      </c>
      <c r="H79" s="36">
        <f>SUMIFS('Control Brands'!$G$5:$G$296,'Control Brands'!$A$5:$A$296,$A79,'Control Brands'!$B$5:$B$296,$C79)</f>
        <v/>
      </c>
      <c r="I79" s="36">
        <f>SUMIFS('Control Brands'!$H$5:$H$296,'Control Brands'!$A$5:$A$296,$A79,'Control Brands'!$B$5:$B$296,$C79)</f>
        <v/>
      </c>
      <c r="J79" s="48">
        <f>I79-H79</f>
        <v/>
      </c>
      <c r="K79" s="33">
        <f>SUMIFS('Data - Control'!$J$5:$J$296,'Data - Control'!$A$5:$A$296,$A79,'Data - Control'!$B$5:$B$296,$C79)</f>
        <v/>
      </c>
    </row>
    <row r="80">
      <c r="A80" s="2" t="inlineStr">
        <is>
          <t>MolsonCoors Beverage Company</t>
        </is>
      </c>
      <c r="B80" s="2" t="inlineStr">
        <is>
          <t>not incented</t>
        </is>
      </c>
      <c r="C80" s="43" t="inlineStr">
        <is>
          <t>Steel Reserve</t>
        </is>
      </c>
      <c r="D80" s="33">
        <f>SUMIFS('Control Brands'!$C$5:$C$296,'Control Brands'!$A$5:$A$296,$A80,'Control Brands'!$B$5:$B$296,$C80)</f>
        <v/>
      </c>
      <c r="E80" s="33">
        <f>SUMIFS('Control Brands'!$D$5:$D$296,'Control Brands'!$A$5:$A$296,$A80,'Control Brands'!$B$5:$B$296,$C80)</f>
        <v/>
      </c>
      <c r="F80" s="44">
        <f>E80-D80</f>
        <v/>
      </c>
      <c r="G80" s="45">
        <f>IFERROR(E80/D80-1,"")</f>
        <v/>
      </c>
      <c r="H80" s="36">
        <f>SUMIFS('Control Brands'!$G$5:$G$296,'Control Brands'!$A$5:$A$296,$A80,'Control Brands'!$B$5:$B$296,$C80)</f>
        <v/>
      </c>
      <c r="I80" s="36">
        <f>SUMIFS('Control Brands'!$H$5:$H$296,'Control Brands'!$A$5:$A$296,$A80,'Control Brands'!$B$5:$B$296,$C80)</f>
        <v/>
      </c>
      <c r="J80" s="48">
        <f>I80-H80</f>
        <v/>
      </c>
      <c r="K80" s="33">
        <f>SUMIFS('Data - Control'!$J$5:$J$296,'Data - Control'!$A$5:$A$296,$A80,'Data - Control'!$B$5:$B$296,$C80)</f>
        <v/>
      </c>
    </row>
    <row r="81">
      <c r="A81" s="2" t="inlineStr">
        <is>
          <t>MolsonCoors Beverage Company</t>
        </is>
      </c>
      <c r="B81" s="2" t="inlineStr">
        <is>
          <t>not incented</t>
        </is>
      </c>
      <c r="C81" s="43" t="inlineStr">
        <is>
          <t>Steel Reserve Alloy Series</t>
        </is>
      </c>
      <c r="D81" s="33">
        <f>SUMIFS('Control Brands'!$C$5:$C$296,'Control Brands'!$A$5:$A$296,$A81,'Control Brands'!$B$5:$B$296,$C81)</f>
        <v/>
      </c>
      <c r="E81" s="33">
        <f>SUMIFS('Control Brands'!$D$5:$D$296,'Control Brands'!$A$5:$A$296,$A81,'Control Brands'!$B$5:$B$296,$C81)</f>
        <v/>
      </c>
      <c r="F81" s="44">
        <f>E81-D81</f>
        <v/>
      </c>
      <c r="G81" s="45">
        <f>IFERROR(E81/D81-1,"")</f>
        <v/>
      </c>
      <c r="H81" s="36">
        <f>SUMIFS('Control Brands'!$G$5:$G$296,'Control Brands'!$A$5:$A$296,$A81,'Control Brands'!$B$5:$B$296,$C81)</f>
        <v/>
      </c>
      <c r="I81" s="36">
        <f>SUMIFS('Control Brands'!$H$5:$H$296,'Control Brands'!$A$5:$A$296,$A81,'Control Brands'!$B$5:$B$296,$C81)</f>
        <v/>
      </c>
      <c r="J81" s="48">
        <f>I81-H81</f>
        <v/>
      </c>
      <c r="K81" s="33">
        <f>SUMIFS('Data - Control'!$J$5:$J$296,'Data - Control'!$A$5:$A$296,$A81,'Data - Control'!$B$5:$B$296,$C81)</f>
        <v/>
      </c>
    </row>
    <row r="82">
      <c r="A82" s="2" t="inlineStr">
        <is>
          <t>MolsonCoors Beverage Company</t>
        </is>
      </c>
      <c r="B82" s="2" t="inlineStr">
        <is>
          <t>not incented</t>
        </is>
      </c>
      <c r="C82" s="43" t="inlineStr">
        <is>
          <t>Topo Chico</t>
        </is>
      </c>
      <c r="D82" s="33">
        <f>SUMIFS('Control Brands'!$C$5:$C$296,'Control Brands'!$A$5:$A$296,$A82,'Control Brands'!$B$5:$B$296,$C82)</f>
        <v/>
      </c>
      <c r="E82" s="33">
        <f>SUMIFS('Control Brands'!$D$5:$D$296,'Control Brands'!$A$5:$A$296,$A82,'Control Brands'!$B$5:$B$296,$C82)</f>
        <v/>
      </c>
      <c r="F82" s="44">
        <f>E82-D82</f>
        <v/>
      </c>
      <c r="G82" s="45">
        <f>IFERROR(E82/D82-1,"")</f>
        <v/>
      </c>
      <c r="H82" s="36">
        <f>SUMIFS('Control Brands'!$G$5:$G$296,'Control Brands'!$A$5:$A$296,$A82,'Control Brands'!$B$5:$B$296,$C82)</f>
        <v/>
      </c>
      <c r="I82" s="36">
        <f>SUMIFS('Control Brands'!$H$5:$H$296,'Control Brands'!$A$5:$A$296,$A82,'Control Brands'!$B$5:$B$296,$C82)</f>
        <v/>
      </c>
      <c r="J82" s="48">
        <f>I82-H82</f>
        <v/>
      </c>
      <c r="K82" s="33">
        <f>SUMIFS('Data - Control'!$J$5:$J$296,'Data - Control'!$A$5:$A$296,$A82,'Data - Control'!$B$5:$B$296,$C82)</f>
        <v/>
      </c>
    </row>
    <row r="83">
      <c r="A83" s="2" t="inlineStr">
        <is>
          <t>MolsonCoors Beverage Company</t>
        </is>
      </c>
      <c r="B83" s="2" t="inlineStr">
        <is>
          <t>not incented</t>
        </is>
      </c>
      <c r="C83" s="43" t="inlineStr">
        <is>
          <t>Tyskie Gronie</t>
        </is>
      </c>
      <c r="D83" s="33">
        <f>SUMIFS('Control Brands'!$C$5:$C$296,'Control Brands'!$A$5:$A$296,$A83,'Control Brands'!$B$5:$B$296,$C83)</f>
        <v/>
      </c>
      <c r="E83" s="33">
        <f>SUMIFS('Control Brands'!$D$5:$D$296,'Control Brands'!$A$5:$A$296,$A83,'Control Brands'!$B$5:$B$296,$C83)</f>
        <v/>
      </c>
      <c r="F83" s="44">
        <f>E83-D83</f>
        <v/>
      </c>
      <c r="G83" s="45">
        <f>IFERROR(E83/D83-1,"")</f>
        <v/>
      </c>
      <c r="H83" s="36">
        <f>SUMIFS('Control Brands'!$G$5:$G$296,'Control Brands'!$A$5:$A$296,$A83,'Control Brands'!$B$5:$B$296,$C83)</f>
        <v/>
      </c>
      <c r="I83" s="36">
        <f>SUMIFS('Control Brands'!$H$5:$H$296,'Control Brands'!$A$5:$A$296,$A83,'Control Brands'!$B$5:$B$296,$C83)</f>
        <v/>
      </c>
      <c r="J83" s="48">
        <f>I83-H83</f>
        <v/>
      </c>
      <c r="K83" s="33">
        <f>SUMIFS('Data - Control'!$J$5:$J$296,'Data - Control'!$A$5:$A$296,$A83,'Data - Control'!$B$5:$B$296,$C83)</f>
        <v/>
      </c>
    </row>
    <row r="84">
      <c r="A84" s="2" t="inlineStr">
        <is>
          <t>MolsonCoors Beverage Company</t>
        </is>
      </c>
      <c r="B84" s="2" t="inlineStr">
        <is>
          <t>not incented</t>
        </is>
      </c>
      <c r="C84" s="43" t="inlineStr">
        <is>
          <t>Vizzy</t>
        </is>
      </c>
      <c r="D84" s="33">
        <f>SUMIFS('Control Brands'!$C$5:$C$296,'Control Brands'!$A$5:$A$296,$A84,'Control Brands'!$B$5:$B$296,$C84)</f>
        <v/>
      </c>
      <c r="E84" s="33">
        <f>SUMIFS('Control Brands'!$D$5:$D$296,'Control Brands'!$A$5:$A$296,$A84,'Control Brands'!$B$5:$B$296,$C84)</f>
        <v/>
      </c>
      <c r="F84" s="44">
        <f>E84-D84</f>
        <v/>
      </c>
      <c r="G84" s="45">
        <f>IFERROR(E84/D84-1,"")</f>
        <v/>
      </c>
      <c r="H84" s="36">
        <f>SUMIFS('Control Brands'!$G$5:$G$296,'Control Brands'!$A$5:$A$296,$A84,'Control Brands'!$B$5:$B$296,$C84)</f>
        <v/>
      </c>
      <c r="I84" s="36">
        <f>SUMIFS('Control Brands'!$H$5:$H$296,'Control Brands'!$A$5:$A$296,$A84,'Control Brands'!$B$5:$B$296,$C84)</f>
        <v/>
      </c>
      <c r="J84" s="48">
        <f>I84-H84</f>
        <v/>
      </c>
      <c r="K84" s="33">
        <f>SUMIFS('Data - Control'!$J$5:$J$296,'Data - Control'!$A$5:$A$296,$A84,'Data - Control'!$B$5:$B$296,$C84)</f>
        <v/>
      </c>
    </row>
    <row r="85">
      <c r="C85" s="52" t="inlineStr">
        <is>
          <t>MolsonCoors Beverage Company — total</t>
        </is>
      </c>
      <c r="D85" s="44">
        <f>SUM(D48:D84)</f>
        <v/>
      </c>
      <c r="E85" s="44">
        <f>SUM(E48:E84)</f>
        <v/>
      </c>
      <c r="F85" s="44">
        <f>SUM(F48:F84)</f>
        <v/>
      </c>
      <c r="H85" s="48">
        <f>SUM(H48:H84)</f>
        <v/>
      </c>
      <c r="I85" s="48">
        <f>SUM(I48:I84)</f>
        <v/>
      </c>
      <c r="J85" s="48">
        <f>SUM(J48:J84)</f>
        <v/>
      </c>
      <c r="K85" s="44">
        <f>SUM(K48:K84)</f>
        <v/>
      </c>
    </row>
    <row r="87">
      <c r="A87" s="43" t="inlineStr">
        <is>
          <t>DG Yuengling Inc</t>
        </is>
      </c>
      <c r="B87" s="51" t="inlineStr">
        <is>
          <t>INCENTED</t>
        </is>
      </c>
      <c r="C87" s="43" t="inlineStr">
        <is>
          <t>Yuengling Flight</t>
        </is>
      </c>
      <c r="D87" s="33">
        <f>SUMIFS('Program Brands'!$D$6:$D$37,'Program Brands'!$B$6:$B$37,$A87,'Program Brands'!$C$6:$C$37,$C87)</f>
        <v/>
      </c>
      <c r="E87" s="33">
        <f>SUMIFS('Program Brands'!$E$6:$E$37,'Program Brands'!$B$6:$B$37,$A87,'Program Brands'!$C$6:$C$37,$C87)</f>
        <v/>
      </c>
      <c r="F87" s="44">
        <f>E87-D87</f>
        <v/>
      </c>
      <c r="G87" s="45">
        <f>IFERROR(E87/D87-1,"")</f>
        <v/>
      </c>
      <c r="H87" s="36">
        <f>SUMIFS('Program Brands'!$H$6:$H$37,'Program Brands'!$B$6:$B$37,$A87,'Program Brands'!$C$6:$C$37,$C87)</f>
        <v/>
      </c>
      <c r="I87" s="36">
        <f>SUMIFS('Program Brands'!$I$6:$I$37,'Program Brands'!$B$6:$B$37,$A87,'Program Brands'!$C$6:$C$37,$C87)</f>
        <v/>
      </c>
      <c r="J87" s="48">
        <f>I87-H87</f>
        <v/>
      </c>
      <c r="K87" s="33">
        <f>SUMIFS('Data - Season'!$L$5:$L$743,'Data - Season'!$C$5:$C$743,$A87,'Data - Season'!$D$5:$D$743,$C87)</f>
        <v/>
      </c>
    </row>
    <row r="88">
      <c r="A88" s="43" t="inlineStr">
        <is>
          <t>DG Yuengling Inc</t>
        </is>
      </c>
      <c r="B88" s="51" t="inlineStr">
        <is>
          <t>INCENTED</t>
        </is>
      </c>
      <c r="C88" s="43" t="inlineStr">
        <is>
          <t>Yuengling Lager</t>
        </is>
      </c>
      <c r="D88" s="33">
        <f>SUMIFS('Program Brands'!$D$6:$D$37,'Program Brands'!$B$6:$B$37,$A88,'Program Brands'!$C$6:$C$37,$C88)</f>
        <v/>
      </c>
      <c r="E88" s="33">
        <f>SUMIFS('Program Brands'!$E$6:$E$37,'Program Brands'!$B$6:$B$37,$A88,'Program Brands'!$C$6:$C$37,$C88)</f>
        <v/>
      </c>
      <c r="F88" s="44">
        <f>E88-D88</f>
        <v/>
      </c>
      <c r="G88" s="45">
        <f>IFERROR(E88/D88-1,"")</f>
        <v/>
      </c>
      <c r="H88" s="36">
        <f>SUMIFS('Program Brands'!$H$6:$H$37,'Program Brands'!$B$6:$B$37,$A88,'Program Brands'!$C$6:$C$37,$C88)</f>
        <v/>
      </c>
      <c r="I88" s="36">
        <f>SUMIFS('Program Brands'!$I$6:$I$37,'Program Brands'!$B$6:$B$37,$A88,'Program Brands'!$C$6:$C$37,$C88)</f>
        <v/>
      </c>
      <c r="J88" s="48">
        <f>I88-H88</f>
        <v/>
      </c>
      <c r="K88" s="33">
        <f>SUMIFS('Data - Season'!$L$5:$L$743,'Data - Season'!$C$5:$C$743,$A88,'Data - Season'!$D$5:$D$743,$C88)</f>
        <v/>
      </c>
    </row>
    <row r="89">
      <c r="A89" s="43" t="inlineStr">
        <is>
          <t>DG Yuengling Inc</t>
        </is>
      </c>
      <c r="B89" s="51" t="inlineStr">
        <is>
          <t>INCENTED</t>
        </is>
      </c>
      <c r="C89" s="43" t="inlineStr">
        <is>
          <t>Yuengling Light Lager</t>
        </is>
      </c>
      <c r="D89" s="33">
        <f>SUMIFS('Program Brands'!$D$6:$D$37,'Program Brands'!$B$6:$B$37,$A89,'Program Brands'!$C$6:$C$37,$C89)</f>
        <v/>
      </c>
      <c r="E89" s="33">
        <f>SUMIFS('Program Brands'!$E$6:$E$37,'Program Brands'!$B$6:$B$37,$A89,'Program Brands'!$C$6:$C$37,$C89)</f>
        <v/>
      </c>
      <c r="F89" s="44">
        <f>E89-D89</f>
        <v/>
      </c>
      <c r="G89" s="45">
        <f>IFERROR(E89/D89-1,"")</f>
        <v/>
      </c>
      <c r="H89" s="36">
        <f>SUMIFS('Program Brands'!$H$6:$H$37,'Program Brands'!$B$6:$B$37,$A89,'Program Brands'!$C$6:$C$37,$C89)</f>
        <v/>
      </c>
      <c r="I89" s="36">
        <f>SUMIFS('Program Brands'!$I$6:$I$37,'Program Brands'!$B$6:$B$37,$A89,'Program Brands'!$C$6:$C$37,$C89)</f>
        <v/>
      </c>
      <c r="J89" s="48">
        <f>I89-H89</f>
        <v/>
      </c>
      <c r="K89" s="33">
        <f>SUMIFS('Data - Season'!$L$5:$L$743,'Data - Season'!$C$5:$C$743,$A89,'Data - Season'!$D$5:$D$743,$C89)</f>
        <v/>
      </c>
    </row>
    <row r="90">
      <c r="A90" s="2" t="inlineStr">
        <is>
          <t>DG Yuengling Inc</t>
        </is>
      </c>
      <c r="B90" s="2" t="inlineStr">
        <is>
          <t>not incented</t>
        </is>
      </c>
      <c r="C90" s="43" t="inlineStr">
        <is>
          <t>Dg Yuengling Inc</t>
        </is>
      </c>
      <c r="D90" s="33">
        <f>SUMIFS('Control Brands'!$C$5:$C$296,'Control Brands'!$A$5:$A$296,$A90,'Control Brands'!$B$5:$B$296,$C90)</f>
        <v/>
      </c>
      <c r="E90" s="33">
        <f>SUMIFS('Control Brands'!$D$5:$D$296,'Control Brands'!$A$5:$A$296,$A90,'Control Brands'!$B$5:$B$296,$C90)</f>
        <v/>
      </c>
      <c r="F90" s="44">
        <f>E90-D90</f>
        <v/>
      </c>
      <c r="G90" s="45">
        <f>IFERROR(E90/D90-1,"")</f>
        <v/>
      </c>
      <c r="H90" s="36">
        <f>SUMIFS('Control Brands'!$G$5:$G$296,'Control Brands'!$A$5:$A$296,$A90,'Control Brands'!$B$5:$B$296,$C90)</f>
        <v/>
      </c>
      <c r="I90" s="36">
        <f>SUMIFS('Control Brands'!$H$5:$H$296,'Control Brands'!$A$5:$A$296,$A90,'Control Brands'!$B$5:$B$296,$C90)</f>
        <v/>
      </c>
      <c r="J90" s="48">
        <f>I90-H90</f>
        <v/>
      </c>
      <c r="K90" s="33">
        <f>SUMIFS('Data - Control'!$J$5:$J$296,'Data - Control'!$A$5:$A$296,$A90,'Data - Control'!$B$5:$B$296,$C90)</f>
        <v/>
      </c>
    </row>
    <row r="91">
      <c r="A91" s="2" t="inlineStr">
        <is>
          <t>DG Yuengling Inc</t>
        </is>
      </c>
      <c r="B91" s="2" t="inlineStr">
        <is>
          <t>not incented</t>
        </is>
      </c>
      <c r="C91" s="43" t="inlineStr">
        <is>
          <t>Yuengling Black &amp; Tan</t>
        </is>
      </c>
      <c r="D91" s="33">
        <f>SUMIFS('Control Brands'!$C$5:$C$296,'Control Brands'!$A$5:$A$296,$A91,'Control Brands'!$B$5:$B$296,$C91)</f>
        <v/>
      </c>
      <c r="E91" s="33">
        <f>SUMIFS('Control Brands'!$D$5:$D$296,'Control Brands'!$A$5:$A$296,$A91,'Control Brands'!$B$5:$B$296,$C91)</f>
        <v/>
      </c>
      <c r="F91" s="44">
        <f>E91-D91</f>
        <v/>
      </c>
      <c r="G91" s="45">
        <f>IFERROR(E91/D91-1,"")</f>
        <v/>
      </c>
      <c r="H91" s="36">
        <f>SUMIFS('Control Brands'!$G$5:$G$296,'Control Brands'!$A$5:$A$296,$A91,'Control Brands'!$B$5:$B$296,$C91)</f>
        <v/>
      </c>
      <c r="I91" s="36">
        <f>SUMIFS('Control Brands'!$H$5:$H$296,'Control Brands'!$A$5:$A$296,$A91,'Control Brands'!$B$5:$B$296,$C91)</f>
        <v/>
      </c>
      <c r="J91" s="48">
        <f>I91-H91</f>
        <v/>
      </c>
      <c r="K91" s="33">
        <f>SUMIFS('Data - Control'!$J$5:$J$296,'Data - Control'!$A$5:$A$296,$A91,'Data - Control'!$B$5:$B$296,$C91)</f>
        <v/>
      </c>
    </row>
    <row r="92">
      <c r="A92" s="2" t="inlineStr">
        <is>
          <t>DG Yuengling Inc</t>
        </is>
      </c>
      <c r="B92" s="2" t="inlineStr">
        <is>
          <t>not incented</t>
        </is>
      </c>
      <c r="C92" s="43" t="inlineStr">
        <is>
          <t>Yuengling Golden Pilsner</t>
        </is>
      </c>
      <c r="D92" s="33">
        <f>SUMIFS('Control Brands'!$C$5:$C$296,'Control Brands'!$A$5:$A$296,$A92,'Control Brands'!$B$5:$B$296,$C92)</f>
        <v/>
      </c>
      <c r="E92" s="33">
        <f>SUMIFS('Control Brands'!$D$5:$D$296,'Control Brands'!$A$5:$A$296,$A92,'Control Brands'!$B$5:$B$296,$C92)</f>
        <v/>
      </c>
      <c r="F92" s="44">
        <f>E92-D92</f>
        <v/>
      </c>
      <c r="G92" s="45">
        <f>IFERROR(E92/D92-1,"")</f>
        <v/>
      </c>
      <c r="H92" s="36">
        <f>SUMIFS('Control Brands'!$G$5:$G$296,'Control Brands'!$A$5:$A$296,$A92,'Control Brands'!$B$5:$B$296,$C92)</f>
        <v/>
      </c>
      <c r="I92" s="36">
        <f>SUMIFS('Control Brands'!$H$5:$H$296,'Control Brands'!$A$5:$A$296,$A92,'Control Brands'!$B$5:$B$296,$C92)</f>
        <v/>
      </c>
      <c r="J92" s="48">
        <f>I92-H92</f>
        <v/>
      </c>
      <c r="K92" s="33">
        <f>SUMIFS('Data - Control'!$J$5:$J$296,'Data - Control'!$A$5:$A$296,$A92,'Data - Control'!$B$5:$B$296,$C92)</f>
        <v/>
      </c>
    </row>
    <row r="93">
      <c r="A93" s="2" t="inlineStr">
        <is>
          <t>DG Yuengling Inc</t>
        </is>
      </c>
      <c r="B93" s="2" t="inlineStr">
        <is>
          <t>not incented</t>
        </is>
      </c>
      <c r="C93" s="43" t="inlineStr">
        <is>
          <t>Yuengling Oktoberfest</t>
        </is>
      </c>
      <c r="D93" s="33">
        <f>SUMIFS('Control Brands'!$C$5:$C$296,'Control Brands'!$A$5:$A$296,$A93,'Control Brands'!$B$5:$B$296,$C93)</f>
        <v/>
      </c>
      <c r="E93" s="33">
        <f>SUMIFS('Control Brands'!$D$5:$D$296,'Control Brands'!$A$5:$A$296,$A93,'Control Brands'!$B$5:$B$296,$C93)</f>
        <v/>
      </c>
      <c r="F93" s="44">
        <f>E93-D93</f>
        <v/>
      </c>
      <c r="G93" s="45">
        <f>IFERROR(E93/D93-1,"")</f>
        <v/>
      </c>
      <c r="H93" s="36">
        <f>SUMIFS('Control Brands'!$G$5:$G$296,'Control Brands'!$A$5:$A$296,$A93,'Control Brands'!$B$5:$B$296,$C93)</f>
        <v/>
      </c>
      <c r="I93" s="36">
        <f>SUMIFS('Control Brands'!$H$5:$H$296,'Control Brands'!$A$5:$A$296,$A93,'Control Brands'!$B$5:$B$296,$C93)</f>
        <v/>
      </c>
      <c r="J93" s="48">
        <f>I93-H93</f>
        <v/>
      </c>
      <c r="K93" s="33">
        <f>SUMIFS('Data - Control'!$J$5:$J$296,'Data - Control'!$A$5:$A$296,$A93,'Data - Control'!$B$5:$B$296,$C93)</f>
        <v/>
      </c>
    </row>
    <row r="94">
      <c r="A94" s="2" t="inlineStr">
        <is>
          <t>DG Yuengling Inc</t>
        </is>
      </c>
      <c r="B94" s="2" t="inlineStr">
        <is>
          <t>not incented</t>
        </is>
      </c>
      <c r="C94" s="43" t="inlineStr">
        <is>
          <t>Yuengling Premium</t>
        </is>
      </c>
      <c r="D94" s="33">
        <f>SUMIFS('Control Brands'!$C$5:$C$296,'Control Brands'!$A$5:$A$296,$A94,'Control Brands'!$B$5:$B$296,$C94)</f>
        <v/>
      </c>
      <c r="E94" s="33">
        <f>SUMIFS('Control Brands'!$D$5:$D$296,'Control Brands'!$A$5:$A$296,$A94,'Control Brands'!$B$5:$B$296,$C94)</f>
        <v/>
      </c>
      <c r="F94" s="44">
        <f>E94-D94</f>
        <v/>
      </c>
      <c r="G94" s="45">
        <f>IFERROR(E94/D94-1,"")</f>
        <v/>
      </c>
      <c r="H94" s="36">
        <f>SUMIFS('Control Brands'!$G$5:$G$296,'Control Brands'!$A$5:$A$296,$A94,'Control Brands'!$B$5:$B$296,$C94)</f>
        <v/>
      </c>
      <c r="I94" s="36">
        <f>SUMIFS('Control Brands'!$H$5:$H$296,'Control Brands'!$A$5:$A$296,$A94,'Control Brands'!$B$5:$B$296,$C94)</f>
        <v/>
      </c>
      <c r="J94" s="48">
        <f>I94-H94</f>
        <v/>
      </c>
      <c r="K94" s="33">
        <f>SUMIFS('Data - Control'!$J$5:$J$296,'Data - Control'!$A$5:$A$296,$A94,'Data - Control'!$B$5:$B$296,$C94)</f>
        <v/>
      </c>
    </row>
    <row r="95">
      <c r="A95" s="2" t="inlineStr">
        <is>
          <t>DG Yuengling Inc</t>
        </is>
      </c>
      <c r="B95" s="2" t="inlineStr">
        <is>
          <t>not incented</t>
        </is>
      </c>
      <c r="C95" s="43" t="inlineStr">
        <is>
          <t>Yuengling Premium Light</t>
        </is>
      </c>
      <c r="D95" s="33">
        <f>SUMIFS('Control Brands'!$C$5:$C$296,'Control Brands'!$A$5:$A$296,$A95,'Control Brands'!$B$5:$B$296,$C95)</f>
        <v/>
      </c>
      <c r="E95" s="33">
        <f>SUMIFS('Control Brands'!$D$5:$D$296,'Control Brands'!$A$5:$A$296,$A95,'Control Brands'!$B$5:$B$296,$C95)</f>
        <v/>
      </c>
      <c r="F95" s="44">
        <f>E95-D95</f>
        <v/>
      </c>
      <c r="G95" s="45">
        <f>IFERROR(E95/D95-1,"")</f>
        <v/>
      </c>
      <c r="H95" s="36">
        <f>SUMIFS('Control Brands'!$G$5:$G$296,'Control Brands'!$A$5:$A$296,$A95,'Control Brands'!$B$5:$B$296,$C95)</f>
        <v/>
      </c>
      <c r="I95" s="36">
        <f>SUMIFS('Control Brands'!$H$5:$H$296,'Control Brands'!$A$5:$A$296,$A95,'Control Brands'!$B$5:$B$296,$C95)</f>
        <v/>
      </c>
      <c r="J95" s="48">
        <f>I95-H95</f>
        <v/>
      </c>
      <c r="K95" s="33">
        <f>SUMIFS('Data - Control'!$J$5:$J$296,'Data - Control'!$A$5:$A$296,$A95,'Data - Control'!$B$5:$B$296,$C95)</f>
        <v/>
      </c>
    </row>
    <row r="96">
      <c r="C96" s="52" t="inlineStr">
        <is>
          <t>DG Yuengling Inc — total</t>
        </is>
      </c>
      <c r="D96" s="44">
        <f>SUM(D87:D95)</f>
        <v/>
      </c>
      <c r="E96" s="44">
        <f>SUM(E87:E95)</f>
        <v/>
      </c>
      <c r="F96" s="44">
        <f>SUM(F87:F95)</f>
        <v/>
      </c>
      <c r="H96" s="48">
        <f>SUM(H87:H95)</f>
        <v/>
      </c>
      <c r="I96" s="48">
        <f>SUM(I87:I95)</f>
        <v/>
      </c>
      <c r="J96" s="48">
        <f>SUM(J87:J95)</f>
        <v/>
      </c>
      <c r="K96" s="44">
        <f>SUM(K87:K95)</f>
        <v/>
      </c>
    </row>
    <row r="98">
      <c r="A98" s="43" t="inlineStr">
        <is>
          <t>Constellation Brands</t>
        </is>
      </c>
      <c r="B98" s="51" t="inlineStr">
        <is>
          <t>INCENTED</t>
        </is>
      </c>
      <c r="C98" s="43" t="inlineStr">
        <is>
          <t>Corona Extra</t>
        </is>
      </c>
      <c r="D98" s="33">
        <f>SUMIFS('Program Brands'!$D$6:$D$37,'Program Brands'!$B$6:$B$37,$A98,'Program Brands'!$C$6:$C$37,$C98)</f>
        <v/>
      </c>
      <c r="E98" s="33">
        <f>SUMIFS('Program Brands'!$E$6:$E$37,'Program Brands'!$B$6:$B$37,$A98,'Program Brands'!$C$6:$C$37,$C98)</f>
        <v/>
      </c>
      <c r="F98" s="44">
        <f>E98-D98</f>
        <v/>
      </c>
      <c r="G98" s="45">
        <f>IFERROR(E98/D98-1,"")</f>
        <v/>
      </c>
      <c r="H98" s="36">
        <f>SUMIFS('Program Brands'!$H$6:$H$37,'Program Brands'!$B$6:$B$37,$A98,'Program Brands'!$C$6:$C$37,$C98)</f>
        <v/>
      </c>
      <c r="I98" s="36">
        <f>SUMIFS('Program Brands'!$I$6:$I$37,'Program Brands'!$B$6:$B$37,$A98,'Program Brands'!$C$6:$C$37,$C98)</f>
        <v/>
      </c>
      <c r="J98" s="48">
        <f>I98-H98</f>
        <v/>
      </c>
      <c r="K98" s="33">
        <f>SUMIFS('Data - Season'!$L$5:$L$743,'Data - Season'!$C$5:$C$743,$A98,'Data - Season'!$D$5:$D$743,$C98)</f>
        <v/>
      </c>
    </row>
    <row r="99">
      <c r="A99" s="43" t="inlineStr">
        <is>
          <t>Constellation Brands</t>
        </is>
      </c>
      <c r="B99" s="51" t="inlineStr">
        <is>
          <t>INCENTED</t>
        </is>
      </c>
      <c r="C99" s="43" t="inlineStr">
        <is>
          <t>Corona Premier</t>
        </is>
      </c>
      <c r="D99" s="33">
        <f>SUMIFS('Program Brands'!$D$6:$D$37,'Program Brands'!$B$6:$B$37,$A99,'Program Brands'!$C$6:$C$37,$C99)</f>
        <v/>
      </c>
      <c r="E99" s="33">
        <f>SUMIFS('Program Brands'!$E$6:$E$37,'Program Brands'!$B$6:$B$37,$A99,'Program Brands'!$C$6:$C$37,$C99)</f>
        <v/>
      </c>
      <c r="F99" s="44">
        <f>E99-D99</f>
        <v/>
      </c>
      <c r="G99" s="45">
        <f>IFERROR(E99/D99-1,"")</f>
        <v/>
      </c>
      <c r="H99" s="36">
        <f>SUMIFS('Program Brands'!$H$6:$H$37,'Program Brands'!$B$6:$B$37,$A99,'Program Brands'!$C$6:$C$37,$C99)</f>
        <v/>
      </c>
      <c r="I99" s="36">
        <f>SUMIFS('Program Brands'!$I$6:$I$37,'Program Brands'!$B$6:$B$37,$A99,'Program Brands'!$C$6:$C$37,$C99)</f>
        <v/>
      </c>
      <c r="J99" s="48">
        <f>I99-H99</f>
        <v/>
      </c>
      <c r="K99" s="33">
        <f>SUMIFS('Data - Season'!$L$5:$L$743,'Data - Season'!$C$5:$C$743,$A99,'Data - Season'!$D$5:$D$743,$C99)</f>
        <v/>
      </c>
    </row>
    <row r="100">
      <c r="A100" s="43" t="inlineStr">
        <is>
          <t>Constellation Brands</t>
        </is>
      </c>
      <c r="B100" s="51" t="inlineStr">
        <is>
          <t>INCENTED</t>
        </is>
      </c>
      <c r="C100" s="43" t="inlineStr">
        <is>
          <t>Modelo Chelada</t>
        </is>
      </c>
      <c r="D100" s="33">
        <f>SUMIFS('Program Brands'!$D$6:$D$37,'Program Brands'!$B$6:$B$37,$A100,'Program Brands'!$C$6:$C$37,$C100)</f>
        <v/>
      </c>
      <c r="E100" s="33">
        <f>SUMIFS('Program Brands'!$E$6:$E$37,'Program Brands'!$B$6:$B$37,$A100,'Program Brands'!$C$6:$C$37,$C100)</f>
        <v/>
      </c>
      <c r="F100" s="44">
        <f>E100-D100</f>
        <v/>
      </c>
      <c r="G100" s="45">
        <f>IFERROR(E100/D100-1,"")</f>
        <v/>
      </c>
      <c r="H100" s="36">
        <f>SUMIFS('Program Brands'!$H$6:$H$37,'Program Brands'!$B$6:$B$37,$A100,'Program Brands'!$C$6:$C$37,$C100)</f>
        <v/>
      </c>
      <c r="I100" s="36">
        <f>SUMIFS('Program Brands'!$I$6:$I$37,'Program Brands'!$B$6:$B$37,$A100,'Program Brands'!$C$6:$C$37,$C100)</f>
        <v/>
      </c>
      <c r="J100" s="48">
        <f>I100-H100</f>
        <v/>
      </c>
      <c r="K100" s="33">
        <f>SUMIFS('Data - Season'!$L$5:$L$743,'Data - Season'!$C$5:$C$743,$A100,'Data - Season'!$D$5:$D$743,$C100)</f>
        <v/>
      </c>
    </row>
    <row r="101">
      <c r="A101" s="43" t="inlineStr">
        <is>
          <t>Constellation Brands</t>
        </is>
      </c>
      <c r="B101" s="51" t="inlineStr">
        <is>
          <t>INCENTED</t>
        </is>
      </c>
      <c r="C101" s="43" t="inlineStr">
        <is>
          <t>Modelo Especial</t>
        </is>
      </c>
      <c r="D101" s="33">
        <f>SUMIFS('Program Brands'!$D$6:$D$37,'Program Brands'!$B$6:$B$37,$A101,'Program Brands'!$C$6:$C$37,$C101)</f>
        <v/>
      </c>
      <c r="E101" s="33">
        <f>SUMIFS('Program Brands'!$E$6:$E$37,'Program Brands'!$B$6:$B$37,$A101,'Program Brands'!$C$6:$C$37,$C101)</f>
        <v/>
      </c>
      <c r="F101" s="44">
        <f>E101-D101</f>
        <v/>
      </c>
      <c r="G101" s="45">
        <f>IFERROR(E101/D101-1,"")</f>
        <v/>
      </c>
      <c r="H101" s="36">
        <f>SUMIFS('Program Brands'!$H$6:$H$37,'Program Brands'!$B$6:$B$37,$A101,'Program Brands'!$C$6:$C$37,$C101)</f>
        <v/>
      </c>
      <c r="I101" s="36">
        <f>SUMIFS('Program Brands'!$I$6:$I$37,'Program Brands'!$B$6:$B$37,$A101,'Program Brands'!$C$6:$C$37,$C101)</f>
        <v/>
      </c>
      <c r="J101" s="48">
        <f>I101-H101</f>
        <v/>
      </c>
      <c r="K101" s="33">
        <f>SUMIFS('Data - Season'!$L$5:$L$743,'Data - Season'!$C$5:$C$743,$A101,'Data - Season'!$D$5:$D$743,$C101)</f>
        <v/>
      </c>
    </row>
    <row r="102">
      <c r="A102" s="43" t="inlineStr">
        <is>
          <t>Constellation Brands</t>
        </is>
      </c>
      <c r="B102" s="51" t="inlineStr">
        <is>
          <t>INCENTED</t>
        </is>
      </c>
      <c r="C102" s="43" t="inlineStr">
        <is>
          <t>Pacifico</t>
        </is>
      </c>
      <c r="D102" s="33">
        <f>SUMIFS('Program Brands'!$D$6:$D$37,'Program Brands'!$B$6:$B$37,$A102,'Program Brands'!$C$6:$C$37,$C102)</f>
        <v/>
      </c>
      <c r="E102" s="33">
        <f>SUMIFS('Program Brands'!$E$6:$E$37,'Program Brands'!$B$6:$B$37,$A102,'Program Brands'!$C$6:$C$37,$C102)</f>
        <v/>
      </c>
      <c r="F102" s="44">
        <f>E102-D102</f>
        <v/>
      </c>
      <c r="G102" s="45">
        <f>IFERROR(E102/D102-1,"")</f>
        <v/>
      </c>
      <c r="H102" s="36">
        <f>SUMIFS('Program Brands'!$H$6:$H$37,'Program Brands'!$B$6:$B$37,$A102,'Program Brands'!$C$6:$C$37,$C102)</f>
        <v/>
      </c>
      <c r="I102" s="36">
        <f>SUMIFS('Program Brands'!$I$6:$I$37,'Program Brands'!$B$6:$B$37,$A102,'Program Brands'!$C$6:$C$37,$C102)</f>
        <v/>
      </c>
      <c r="J102" s="48">
        <f>I102-H102</f>
        <v/>
      </c>
      <c r="K102" s="33">
        <f>SUMIFS('Data - Season'!$L$5:$L$743,'Data - Season'!$C$5:$C$743,$A102,'Data - Season'!$D$5:$D$743,$C102)</f>
        <v/>
      </c>
    </row>
    <row r="103">
      <c r="A103" s="43" t="inlineStr">
        <is>
          <t>Constellation Brands</t>
        </is>
      </c>
      <c r="B103" s="51" t="inlineStr">
        <is>
          <t>INCENTED</t>
        </is>
      </c>
      <c r="C103" s="43" t="inlineStr">
        <is>
          <t>Victoria</t>
        </is>
      </c>
      <c r="D103" s="33">
        <f>SUMIFS('Program Brands'!$D$6:$D$37,'Program Brands'!$B$6:$B$37,$A103,'Program Brands'!$C$6:$C$37,$C103)</f>
        <v/>
      </c>
      <c r="E103" s="33">
        <f>SUMIFS('Program Brands'!$E$6:$E$37,'Program Brands'!$B$6:$B$37,$A103,'Program Brands'!$C$6:$C$37,$C103)</f>
        <v/>
      </c>
      <c r="F103" s="44">
        <f>E103-D103</f>
        <v/>
      </c>
      <c r="G103" s="45">
        <f>IFERROR(E103/D103-1,"")</f>
        <v/>
      </c>
      <c r="H103" s="36">
        <f>SUMIFS('Program Brands'!$H$6:$H$37,'Program Brands'!$B$6:$B$37,$A103,'Program Brands'!$C$6:$C$37,$C103)</f>
        <v/>
      </c>
      <c r="I103" s="36">
        <f>SUMIFS('Program Brands'!$I$6:$I$37,'Program Brands'!$B$6:$B$37,$A103,'Program Brands'!$C$6:$C$37,$C103)</f>
        <v/>
      </c>
      <c r="J103" s="48">
        <f>I103-H103</f>
        <v/>
      </c>
      <c r="K103" s="33">
        <f>SUMIFS('Data - Season'!$L$5:$L$743,'Data - Season'!$C$5:$C$743,$A103,'Data - Season'!$D$5:$D$743,$C103)</f>
        <v/>
      </c>
    </row>
    <row r="104">
      <c r="A104" s="2" t="inlineStr">
        <is>
          <t>Constellation Brands</t>
        </is>
      </c>
      <c r="B104" s="2" t="inlineStr">
        <is>
          <t>not incented</t>
        </is>
      </c>
      <c r="C104" s="43" t="inlineStr">
        <is>
          <t>Corona Familiar</t>
        </is>
      </c>
      <c r="D104" s="33">
        <f>SUMIFS('Control Brands'!$C$5:$C$296,'Control Brands'!$A$5:$A$296,$A104,'Control Brands'!$B$5:$B$296,$C104)</f>
        <v/>
      </c>
      <c r="E104" s="33">
        <f>SUMIFS('Control Brands'!$D$5:$D$296,'Control Brands'!$A$5:$A$296,$A104,'Control Brands'!$B$5:$B$296,$C104)</f>
        <v/>
      </c>
      <c r="F104" s="44">
        <f>E104-D104</f>
        <v/>
      </c>
      <c r="G104" s="45">
        <f>IFERROR(E104/D104-1,"")</f>
        <v/>
      </c>
      <c r="H104" s="36">
        <f>SUMIFS('Control Brands'!$G$5:$G$296,'Control Brands'!$A$5:$A$296,$A104,'Control Brands'!$B$5:$B$296,$C104)</f>
        <v/>
      </c>
      <c r="I104" s="36">
        <f>SUMIFS('Control Brands'!$H$5:$H$296,'Control Brands'!$A$5:$A$296,$A104,'Control Brands'!$B$5:$B$296,$C104)</f>
        <v/>
      </c>
      <c r="J104" s="48">
        <f>I104-H104</f>
        <v/>
      </c>
      <c r="K104" s="33">
        <f>SUMIFS('Data - Control'!$J$5:$J$296,'Data - Control'!$A$5:$A$296,$A104,'Data - Control'!$B$5:$B$296,$C104)</f>
        <v/>
      </c>
    </row>
    <row r="105">
      <c r="A105" s="2" t="inlineStr">
        <is>
          <t>Constellation Brands</t>
        </is>
      </c>
      <c r="B105" s="2" t="inlineStr">
        <is>
          <t>not incented</t>
        </is>
      </c>
      <c r="C105" s="43" t="inlineStr">
        <is>
          <t>Corona Light</t>
        </is>
      </c>
      <c r="D105" s="33">
        <f>SUMIFS('Control Brands'!$C$5:$C$296,'Control Brands'!$A$5:$A$296,$A105,'Control Brands'!$B$5:$B$296,$C105)</f>
        <v/>
      </c>
      <c r="E105" s="33">
        <f>SUMIFS('Control Brands'!$D$5:$D$296,'Control Brands'!$A$5:$A$296,$A105,'Control Brands'!$B$5:$B$296,$C105)</f>
        <v/>
      </c>
      <c r="F105" s="44">
        <f>E105-D105</f>
        <v/>
      </c>
      <c r="G105" s="45">
        <f>IFERROR(E105/D105-1,"")</f>
        <v/>
      </c>
      <c r="H105" s="36">
        <f>SUMIFS('Control Brands'!$G$5:$G$296,'Control Brands'!$A$5:$A$296,$A105,'Control Brands'!$B$5:$B$296,$C105)</f>
        <v/>
      </c>
      <c r="I105" s="36">
        <f>SUMIFS('Control Brands'!$H$5:$H$296,'Control Brands'!$A$5:$A$296,$A105,'Control Brands'!$B$5:$B$296,$C105)</f>
        <v/>
      </c>
      <c r="J105" s="48">
        <f>I105-H105</f>
        <v/>
      </c>
      <c r="K105" s="33">
        <f>SUMIFS('Data - Control'!$J$5:$J$296,'Data - Control'!$A$5:$A$296,$A105,'Data - Control'!$B$5:$B$296,$C105)</f>
        <v/>
      </c>
    </row>
    <row r="106">
      <c r="A106" s="2" t="inlineStr">
        <is>
          <t>Constellation Brands</t>
        </is>
      </c>
      <c r="B106" s="2" t="inlineStr">
        <is>
          <t>not incented</t>
        </is>
      </c>
      <c r="C106" s="43" t="inlineStr">
        <is>
          <t>Corona NA</t>
        </is>
      </c>
      <c r="D106" s="33">
        <f>SUMIFS('Control Brands'!$C$5:$C$296,'Control Brands'!$A$5:$A$296,$A106,'Control Brands'!$B$5:$B$296,$C106)</f>
        <v/>
      </c>
      <c r="E106" s="33">
        <f>SUMIFS('Control Brands'!$D$5:$D$296,'Control Brands'!$A$5:$A$296,$A106,'Control Brands'!$B$5:$B$296,$C106)</f>
        <v/>
      </c>
      <c r="F106" s="44">
        <f>E106-D106</f>
        <v/>
      </c>
      <c r="G106" s="45">
        <f>IFERROR(E106/D106-1,"")</f>
        <v/>
      </c>
      <c r="H106" s="36">
        <f>SUMIFS('Control Brands'!$G$5:$G$296,'Control Brands'!$A$5:$A$296,$A106,'Control Brands'!$B$5:$B$296,$C106)</f>
        <v/>
      </c>
      <c r="I106" s="36">
        <f>SUMIFS('Control Brands'!$H$5:$H$296,'Control Brands'!$A$5:$A$296,$A106,'Control Brands'!$B$5:$B$296,$C106)</f>
        <v/>
      </c>
      <c r="J106" s="48">
        <f>I106-H106</f>
        <v/>
      </c>
      <c r="K106" s="33">
        <f>SUMIFS('Data - Control'!$J$5:$J$296,'Data - Control'!$A$5:$A$296,$A106,'Data - Control'!$B$5:$B$296,$C106)</f>
        <v/>
      </c>
    </row>
    <row r="107">
      <c r="A107" s="2" t="inlineStr">
        <is>
          <t>Constellation Brands</t>
        </is>
      </c>
      <c r="B107" s="2" t="inlineStr">
        <is>
          <t>not incented</t>
        </is>
      </c>
      <c r="C107" s="43" t="inlineStr">
        <is>
          <t>Corona Refresca</t>
        </is>
      </c>
      <c r="D107" s="33">
        <f>SUMIFS('Control Brands'!$C$5:$C$296,'Control Brands'!$A$5:$A$296,$A107,'Control Brands'!$B$5:$B$296,$C107)</f>
        <v/>
      </c>
      <c r="E107" s="33">
        <f>SUMIFS('Control Brands'!$D$5:$D$296,'Control Brands'!$A$5:$A$296,$A107,'Control Brands'!$B$5:$B$296,$C107)</f>
        <v/>
      </c>
      <c r="F107" s="44">
        <f>E107-D107</f>
        <v/>
      </c>
      <c r="G107" s="45">
        <f>IFERROR(E107/D107-1,"")</f>
        <v/>
      </c>
      <c r="H107" s="36">
        <f>SUMIFS('Control Brands'!$G$5:$G$296,'Control Brands'!$A$5:$A$296,$A107,'Control Brands'!$B$5:$B$296,$C107)</f>
        <v/>
      </c>
      <c r="I107" s="36">
        <f>SUMIFS('Control Brands'!$H$5:$H$296,'Control Brands'!$A$5:$A$296,$A107,'Control Brands'!$B$5:$B$296,$C107)</f>
        <v/>
      </c>
      <c r="J107" s="48">
        <f>I107-H107</f>
        <v/>
      </c>
      <c r="K107" s="33">
        <f>SUMIFS('Data - Control'!$J$5:$J$296,'Data - Control'!$A$5:$A$296,$A107,'Data - Control'!$B$5:$B$296,$C107)</f>
        <v/>
      </c>
    </row>
    <row r="108">
      <c r="A108" s="2" t="inlineStr">
        <is>
          <t>Constellation Brands</t>
        </is>
      </c>
      <c r="B108" s="2" t="inlineStr">
        <is>
          <t>not incented</t>
        </is>
      </c>
      <c r="C108" s="43" t="inlineStr">
        <is>
          <t>Corona Sunbrew</t>
        </is>
      </c>
      <c r="D108" s="33">
        <f>SUMIFS('Control Brands'!$C$5:$C$296,'Control Brands'!$A$5:$A$296,$A108,'Control Brands'!$B$5:$B$296,$C108)</f>
        <v/>
      </c>
      <c r="E108" s="33">
        <f>SUMIFS('Control Brands'!$D$5:$D$296,'Control Brands'!$A$5:$A$296,$A108,'Control Brands'!$B$5:$B$296,$C108)</f>
        <v/>
      </c>
      <c r="F108" s="44">
        <f>E108-D108</f>
        <v/>
      </c>
      <c r="G108" s="45">
        <f>IFERROR(E108/D108-1,"")</f>
        <v/>
      </c>
      <c r="H108" s="36">
        <f>SUMIFS('Control Brands'!$G$5:$G$296,'Control Brands'!$A$5:$A$296,$A108,'Control Brands'!$B$5:$B$296,$C108)</f>
        <v/>
      </c>
      <c r="I108" s="36">
        <f>SUMIFS('Control Brands'!$H$5:$H$296,'Control Brands'!$A$5:$A$296,$A108,'Control Brands'!$B$5:$B$296,$C108)</f>
        <v/>
      </c>
      <c r="J108" s="48">
        <f>I108-H108</f>
        <v/>
      </c>
      <c r="K108" s="33">
        <f>SUMIFS('Data - Control'!$J$5:$J$296,'Data - Control'!$A$5:$A$296,$A108,'Data - Control'!$B$5:$B$296,$C108)</f>
        <v/>
      </c>
    </row>
    <row r="109">
      <c r="A109" s="2" t="inlineStr">
        <is>
          <t>Constellation Brands</t>
        </is>
      </c>
      <c r="B109" s="2" t="inlineStr">
        <is>
          <t>not incented</t>
        </is>
      </c>
      <c r="C109" s="43" t="inlineStr">
        <is>
          <t>Modelo Aquas Frescas</t>
        </is>
      </c>
      <c r="D109" s="33">
        <f>SUMIFS('Control Brands'!$C$5:$C$296,'Control Brands'!$A$5:$A$296,$A109,'Control Brands'!$B$5:$B$296,$C109)</f>
        <v/>
      </c>
      <c r="E109" s="33">
        <f>SUMIFS('Control Brands'!$D$5:$D$296,'Control Brands'!$A$5:$A$296,$A109,'Control Brands'!$B$5:$B$296,$C109)</f>
        <v/>
      </c>
      <c r="F109" s="44">
        <f>E109-D109</f>
        <v/>
      </c>
      <c r="G109" s="45">
        <f>IFERROR(E109/D109-1,"")</f>
        <v/>
      </c>
      <c r="H109" s="36">
        <f>SUMIFS('Control Brands'!$G$5:$G$296,'Control Brands'!$A$5:$A$296,$A109,'Control Brands'!$B$5:$B$296,$C109)</f>
        <v/>
      </c>
      <c r="I109" s="36">
        <f>SUMIFS('Control Brands'!$H$5:$H$296,'Control Brands'!$A$5:$A$296,$A109,'Control Brands'!$B$5:$B$296,$C109)</f>
        <v/>
      </c>
      <c r="J109" s="48">
        <f>I109-H109</f>
        <v/>
      </c>
      <c r="K109" s="33">
        <f>SUMIFS('Data - Control'!$J$5:$J$296,'Data - Control'!$A$5:$A$296,$A109,'Data - Control'!$B$5:$B$296,$C109)</f>
        <v/>
      </c>
    </row>
    <row r="110">
      <c r="A110" s="2" t="inlineStr">
        <is>
          <t>Constellation Brands</t>
        </is>
      </c>
      <c r="B110" s="2" t="inlineStr">
        <is>
          <t>not incented</t>
        </is>
      </c>
      <c r="C110" s="43" t="inlineStr">
        <is>
          <t>Modelo Negra</t>
        </is>
      </c>
      <c r="D110" s="33">
        <f>SUMIFS('Control Brands'!$C$5:$C$296,'Control Brands'!$A$5:$A$296,$A110,'Control Brands'!$B$5:$B$296,$C110)</f>
        <v/>
      </c>
      <c r="E110" s="33">
        <f>SUMIFS('Control Brands'!$D$5:$D$296,'Control Brands'!$A$5:$A$296,$A110,'Control Brands'!$B$5:$B$296,$C110)</f>
        <v/>
      </c>
      <c r="F110" s="44">
        <f>E110-D110</f>
        <v/>
      </c>
      <c r="G110" s="45">
        <f>IFERROR(E110/D110-1,"")</f>
        <v/>
      </c>
      <c r="H110" s="36">
        <f>SUMIFS('Control Brands'!$G$5:$G$296,'Control Brands'!$A$5:$A$296,$A110,'Control Brands'!$B$5:$B$296,$C110)</f>
        <v/>
      </c>
      <c r="I110" s="36">
        <f>SUMIFS('Control Brands'!$H$5:$H$296,'Control Brands'!$A$5:$A$296,$A110,'Control Brands'!$B$5:$B$296,$C110)</f>
        <v/>
      </c>
      <c r="J110" s="48">
        <f>I110-H110</f>
        <v/>
      </c>
      <c r="K110" s="33">
        <f>SUMIFS('Data - Control'!$J$5:$J$296,'Data - Control'!$A$5:$A$296,$A110,'Data - Control'!$B$5:$B$296,$C110)</f>
        <v/>
      </c>
    </row>
    <row r="111">
      <c r="A111" s="2" t="inlineStr">
        <is>
          <t>Constellation Brands</t>
        </is>
      </c>
      <c r="B111" s="2" t="inlineStr">
        <is>
          <t>not incented</t>
        </is>
      </c>
      <c r="C111" s="43" t="inlineStr">
        <is>
          <t>Modelo Oro</t>
        </is>
      </c>
      <c r="D111" s="33">
        <f>SUMIFS('Control Brands'!$C$5:$C$296,'Control Brands'!$A$5:$A$296,$A111,'Control Brands'!$B$5:$B$296,$C111)</f>
        <v/>
      </c>
      <c r="E111" s="33">
        <f>SUMIFS('Control Brands'!$D$5:$D$296,'Control Brands'!$A$5:$A$296,$A111,'Control Brands'!$B$5:$B$296,$C111)</f>
        <v/>
      </c>
      <c r="F111" s="44">
        <f>E111-D111</f>
        <v/>
      </c>
      <c r="G111" s="45">
        <f>IFERROR(E111/D111-1,"")</f>
        <v/>
      </c>
      <c r="H111" s="36">
        <f>SUMIFS('Control Brands'!$G$5:$G$296,'Control Brands'!$A$5:$A$296,$A111,'Control Brands'!$B$5:$B$296,$C111)</f>
        <v/>
      </c>
      <c r="I111" s="36">
        <f>SUMIFS('Control Brands'!$H$5:$H$296,'Control Brands'!$A$5:$A$296,$A111,'Control Brands'!$B$5:$B$296,$C111)</f>
        <v/>
      </c>
      <c r="J111" s="48">
        <f>I111-H111</f>
        <v/>
      </c>
      <c r="K111" s="33">
        <f>SUMIFS('Data - Control'!$J$5:$J$296,'Data - Control'!$A$5:$A$296,$A111,'Data - Control'!$B$5:$B$296,$C111)</f>
        <v/>
      </c>
    </row>
    <row r="112">
      <c r="A112" s="2" t="inlineStr">
        <is>
          <t>Constellation Brands</t>
        </is>
      </c>
      <c r="B112" s="2" t="inlineStr">
        <is>
          <t>not incented</t>
        </is>
      </c>
      <c r="C112" s="43" t="inlineStr">
        <is>
          <t>The Drop</t>
        </is>
      </c>
      <c r="D112" s="33">
        <f>SUMIFS('Control Brands'!$C$5:$C$296,'Control Brands'!$A$5:$A$296,$A112,'Control Brands'!$B$5:$B$296,$C112)</f>
        <v/>
      </c>
      <c r="E112" s="33">
        <f>SUMIFS('Control Brands'!$D$5:$D$296,'Control Brands'!$A$5:$A$296,$A112,'Control Brands'!$B$5:$B$296,$C112)</f>
        <v/>
      </c>
      <c r="F112" s="44">
        <f>E112-D112</f>
        <v/>
      </c>
      <c r="G112" s="45">
        <f>IFERROR(E112/D112-1,"")</f>
        <v/>
      </c>
      <c r="H112" s="36">
        <f>SUMIFS('Control Brands'!$G$5:$G$296,'Control Brands'!$A$5:$A$296,$A112,'Control Brands'!$B$5:$B$296,$C112)</f>
        <v/>
      </c>
      <c r="I112" s="36">
        <f>SUMIFS('Control Brands'!$H$5:$H$296,'Control Brands'!$A$5:$A$296,$A112,'Control Brands'!$B$5:$B$296,$C112)</f>
        <v/>
      </c>
      <c r="J112" s="48">
        <f>I112-H112</f>
        <v/>
      </c>
      <c r="K112" s="33">
        <f>SUMIFS('Data - Control'!$J$5:$J$296,'Data - Control'!$A$5:$A$296,$A112,'Data - Control'!$B$5:$B$296,$C112)</f>
        <v/>
      </c>
    </row>
    <row r="113">
      <c r="C113" s="52" t="inlineStr">
        <is>
          <t>Constellation Brands — total</t>
        </is>
      </c>
      <c r="D113" s="44">
        <f>SUM(D98:D112)</f>
        <v/>
      </c>
      <c r="E113" s="44">
        <f>SUM(E98:E112)</f>
        <v/>
      </c>
      <c r="F113" s="44">
        <f>SUM(F98:F112)</f>
        <v/>
      </c>
      <c r="H113" s="48">
        <f>SUM(H98:H112)</f>
        <v/>
      </c>
      <c r="I113" s="48">
        <f>SUM(I98:I112)</f>
        <v/>
      </c>
      <c r="J113" s="48">
        <f>SUM(J98:J112)</f>
        <v/>
      </c>
      <c r="K113" s="44">
        <f>SUM(K98:K112)</f>
        <v/>
      </c>
    </row>
    <row r="115">
      <c r="A115" s="43" t="inlineStr">
        <is>
          <t>Mark Anthony</t>
        </is>
      </c>
      <c r="B115" s="51" t="inlineStr">
        <is>
          <t>INCENTED</t>
        </is>
      </c>
      <c r="C115" s="43" t="inlineStr">
        <is>
          <t>Cayman Jack</t>
        </is>
      </c>
      <c r="D115" s="33">
        <f>SUMIFS('Program Brands'!$D$6:$D$37,'Program Brands'!$B$6:$B$37,$A115,'Program Brands'!$C$6:$C$37,$C115)</f>
        <v/>
      </c>
      <c r="E115" s="33">
        <f>SUMIFS('Program Brands'!$E$6:$E$37,'Program Brands'!$B$6:$B$37,$A115,'Program Brands'!$C$6:$C$37,$C115)</f>
        <v/>
      </c>
      <c r="F115" s="44">
        <f>E115-D115</f>
        <v/>
      </c>
      <c r="G115" s="45">
        <f>IFERROR(E115/D115-1,"")</f>
        <v/>
      </c>
      <c r="H115" s="36">
        <f>SUMIFS('Program Brands'!$H$6:$H$37,'Program Brands'!$B$6:$B$37,$A115,'Program Brands'!$C$6:$C$37,$C115)</f>
        <v/>
      </c>
      <c r="I115" s="36">
        <f>SUMIFS('Program Brands'!$I$6:$I$37,'Program Brands'!$B$6:$B$37,$A115,'Program Brands'!$C$6:$C$37,$C115)</f>
        <v/>
      </c>
      <c r="J115" s="48">
        <f>I115-H115</f>
        <v/>
      </c>
      <c r="K115" s="33">
        <f>SUMIFS('Data - Season'!$L$5:$L$743,'Data - Season'!$C$5:$C$743,$A115,'Data - Season'!$D$5:$D$743,$C115)</f>
        <v/>
      </c>
    </row>
    <row r="116">
      <c r="A116" s="43" t="inlineStr">
        <is>
          <t>Mark Anthony</t>
        </is>
      </c>
      <c r="B116" s="51" t="inlineStr">
        <is>
          <t>INCENTED</t>
        </is>
      </c>
      <c r="C116" s="43" t="inlineStr">
        <is>
          <t>Mike's Harder</t>
        </is>
      </c>
      <c r="D116" s="33">
        <f>SUMIFS('Program Brands'!$D$6:$D$37,'Program Brands'!$B$6:$B$37,$A116,'Program Brands'!$C$6:$C$37,$C116)</f>
        <v/>
      </c>
      <c r="E116" s="33">
        <f>SUMIFS('Program Brands'!$E$6:$E$37,'Program Brands'!$B$6:$B$37,$A116,'Program Brands'!$C$6:$C$37,$C116)</f>
        <v/>
      </c>
      <c r="F116" s="44">
        <f>E116-D116</f>
        <v/>
      </c>
      <c r="G116" s="45">
        <f>IFERROR(E116/D116-1,"")</f>
        <v/>
      </c>
      <c r="H116" s="36">
        <f>SUMIFS('Program Brands'!$H$6:$H$37,'Program Brands'!$B$6:$B$37,$A116,'Program Brands'!$C$6:$C$37,$C116)</f>
        <v/>
      </c>
      <c r="I116" s="36">
        <f>SUMIFS('Program Brands'!$I$6:$I$37,'Program Brands'!$B$6:$B$37,$A116,'Program Brands'!$C$6:$C$37,$C116)</f>
        <v/>
      </c>
      <c r="J116" s="48">
        <f>I116-H116</f>
        <v/>
      </c>
      <c r="K116" s="33">
        <f>SUMIFS('Data - Season'!$L$5:$L$743,'Data - Season'!$C$5:$C$743,$A116,'Data - Season'!$D$5:$D$743,$C116)</f>
        <v/>
      </c>
    </row>
    <row r="117">
      <c r="A117" s="43" t="inlineStr">
        <is>
          <t>Mark Anthony</t>
        </is>
      </c>
      <c r="B117" s="51" t="inlineStr">
        <is>
          <t>INCENTED</t>
        </is>
      </c>
      <c r="C117" s="43" t="inlineStr">
        <is>
          <t>Mxd Cocktails</t>
        </is>
      </c>
      <c r="D117" s="33">
        <f>SUMIFS('Program Brands'!$D$6:$D$37,'Program Brands'!$B$6:$B$37,$A117,'Program Brands'!$C$6:$C$37,$C117)</f>
        <v/>
      </c>
      <c r="E117" s="33">
        <f>SUMIFS('Program Brands'!$E$6:$E$37,'Program Brands'!$B$6:$B$37,$A117,'Program Brands'!$C$6:$C$37,$C117)</f>
        <v/>
      </c>
      <c r="F117" s="44">
        <f>E117-D117</f>
        <v/>
      </c>
      <c r="G117" s="45">
        <f>IFERROR(E117/D117-1,"")</f>
        <v/>
      </c>
      <c r="H117" s="36">
        <f>SUMIFS('Program Brands'!$H$6:$H$37,'Program Brands'!$B$6:$B$37,$A117,'Program Brands'!$C$6:$C$37,$C117)</f>
        <v/>
      </c>
      <c r="I117" s="36">
        <f>SUMIFS('Program Brands'!$I$6:$I$37,'Program Brands'!$B$6:$B$37,$A117,'Program Brands'!$C$6:$C$37,$C117)</f>
        <v/>
      </c>
      <c r="J117" s="48">
        <f>I117-H117</f>
        <v/>
      </c>
      <c r="K117" s="33">
        <f>SUMIFS('Data - Season'!$L$5:$L$743,'Data - Season'!$C$5:$C$743,$A117,'Data - Season'!$D$5:$D$743,$C117)</f>
        <v/>
      </c>
    </row>
    <row r="118">
      <c r="A118" s="43" t="inlineStr">
        <is>
          <t>Mark Anthony</t>
        </is>
      </c>
      <c r="B118" s="51" t="inlineStr">
        <is>
          <t>INCENTED</t>
        </is>
      </c>
      <c r="C118" s="43" t="inlineStr">
        <is>
          <t>White Claw</t>
        </is>
      </c>
      <c r="D118" s="33">
        <f>SUMIFS('Program Brands'!$D$6:$D$37,'Program Brands'!$B$6:$B$37,$A118,'Program Brands'!$C$6:$C$37,$C118)</f>
        <v/>
      </c>
      <c r="E118" s="33">
        <f>SUMIFS('Program Brands'!$E$6:$E$37,'Program Brands'!$B$6:$B$37,$A118,'Program Brands'!$C$6:$C$37,$C118)</f>
        <v/>
      </c>
      <c r="F118" s="44">
        <f>E118-D118</f>
        <v/>
      </c>
      <c r="G118" s="45">
        <f>IFERROR(E118/D118-1,"")</f>
        <v/>
      </c>
      <c r="H118" s="36">
        <f>SUMIFS('Program Brands'!$H$6:$H$37,'Program Brands'!$B$6:$B$37,$A118,'Program Brands'!$C$6:$C$37,$C118)</f>
        <v/>
      </c>
      <c r="I118" s="36">
        <f>SUMIFS('Program Brands'!$I$6:$I$37,'Program Brands'!$B$6:$B$37,$A118,'Program Brands'!$C$6:$C$37,$C118)</f>
        <v/>
      </c>
      <c r="J118" s="48">
        <f>I118-H118</f>
        <v/>
      </c>
      <c r="K118" s="33">
        <f>SUMIFS('Data - Season'!$L$5:$L$743,'Data - Season'!$C$5:$C$743,$A118,'Data - Season'!$D$5:$D$743,$C118)</f>
        <v/>
      </c>
    </row>
    <row r="119">
      <c r="A119" s="2" t="inlineStr">
        <is>
          <t>Mark Anthony</t>
        </is>
      </c>
      <c r="B119" s="2" t="inlineStr">
        <is>
          <t>not incented</t>
        </is>
      </c>
      <c r="C119" s="43" t="inlineStr">
        <is>
          <t>Dillon's Cocktails</t>
        </is>
      </c>
      <c r="D119" s="33">
        <f>SUMIFS('Control Brands'!$C$5:$C$296,'Control Brands'!$A$5:$A$296,$A119,'Control Brands'!$B$5:$B$296,$C119)</f>
        <v/>
      </c>
      <c r="E119" s="33">
        <f>SUMIFS('Control Brands'!$D$5:$D$296,'Control Brands'!$A$5:$A$296,$A119,'Control Brands'!$B$5:$B$296,$C119)</f>
        <v/>
      </c>
      <c r="F119" s="44">
        <f>E119-D119</f>
        <v/>
      </c>
      <c r="G119" s="45">
        <f>IFERROR(E119/D119-1,"")</f>
        <v/>
      </c>
      <c r="H119" s="36">
        <f>SUMIFS('Control Brands'!$G$5:$G$296,'Control Brands'!$A$5:$A$296,$A119,'Control Brands'!$B$5:$B$296,$C119)</f>
        <v/>
      </c>
      <c r="I119" s="36">
        <f>SUMIFS('Control Brands'!$H$5:$H$296,'Control Brands'!$A$5:$A$296,$A119,'Control Brands'!$B$5:$B$296,$C119)</f>
        <v/>
      </c>
      <c r="J119" s="48">
        <f>I119-H119</f>
        <v/>
      </c>
      <c r="K119" s="33">
        <f>SUMIFS('Data - Control'!$J$5:$J$296,'Data - Control'!$A$5:$A$296,$A119,'Data - Control'!$B$5:$B$296,$C119)</f>
        <v/>
      </c>
    </row>
    <row r="120">
      <c r="A120" s="2" t="inlineStr">
        <is>
          <t>Mark Anthony</t>
        </is>
      </c>
      <c r="B120" s="2" t="inlineStr">
        <is>
          <t>not incented</t>
        </is>
      </c>
      <c r="C120" s="43" t="inlineStr">
        <is>
          <t>Mike's Hard Dirty Lemonade</t>
        </is>
      </c>
      <c r="D120" s="33">
        <f>SUMIFS('Control Brands'!$C$5:$C$296,'Control Brands'!$A$5:$A$296,$A120,'Control Brands'!$B$5:$B$296,$C120)</f>
        <v/>
      </c>
      <c r="E120" s="33">
        <f>SUMIFS('Control Brands'!$D$5:$D$296,'Control Brands'!$A$5:$A$296,$A120,'Control Brands'!$B$5:$B$296,$C120)</f>
        <v/>
      </c>
      <c r="F120" s="44">
        <f>E120-D120</f>
        <v/>
      </c>
      <c r="G120" s="45">
        <f>IFERROR(E120/D120-1,"")</f>
        <v/>
      </c>
      <c r="H120" s="36">
        <f>SUMIFS('Control Brands'!$G$5:$G$296,'Control Brands'!$A$5:$A$296,$A120,'Control Brands'!$B$5:$B$296,$C120)</f>
        <v/>
      </c>
      <c r="I120" s="36">
        <f>SUMIFS('Control Brands'!$H$5:$H$296,'Control Brands'!$A$5:$A$296,$A120,'Control Brands'!$B$5:$B$296,$C120)</f>
        <v/>
      </c>
      <c r="J120" s="48">
        <f>I120-H120</f>
        <v/>
      </c>
      <c r="K120" s="33">
        <f>SUMIFS('Data - Control'!$J$5:$J$296,'Data - Control'!$A$5:$A$296,$A120,'Data - Control'!$B$5:$B$296,$C120)</f>
        <v/>
      </c>
    </row>
    <row r="121">
      <c r="A121" s="2" t="inlineStr">
        <is>
          <t>Mark Anthony</t>
        </is>
      </c>
      <c r="B121" s="2" t="inlineStr">
        <is>
          <t>not incented</t>
        </is>
      </c>
      <c r="C121" s="43" t="inlineStr">
        <is>
          <t>Mike's Hard Lemonade</t>
        </is>
      </c>
      <c r="D121" s="33">
        <f>SUMIFS('Control Brands'!$C$5:$C$296,'Control Brands'!$A$5:$A$296,$A121,'Control Brands'!$B$5:$B$296,$C121)</f>
        <v/>
      </c>
      <c r="E121" s="33">
        <f>SUMIFS('Control Brands'!$D$5:$D$296,'Control Brands'!$A$5:$A$296,$A121,'Control Brands'!$B$5:$B$296,$C121)</f>
        <v/>
      </c>
      <c r="F121" s="44">
        <f>E121-D121</f>
        <v/>
      </c>
      <c r="G121" s="45">
        <f>IFERROR(E121/D121-1,"")</f>
        <v/>
      </c>
      <c r="H121" s="36">
        <f>SUMIFS('Control Brands'!$G$5:$G$296,'Control Brands'!$A$5:$A$296,$A121,'Control Brands'!$B$5:$B$296,$C121)</f>
        <v/>
      </c>
      <c r="I121" s="36">
        <f>SUMIFS('Control Brands'!$H$5:$H$296,'Control Brands'!$A$5:$A$296,$A121,'Control Brands'!$B$5:$B$296,$C121)</f>
        <v/>
      </c>
      <c r="J121" s="48">
        <f>I121-H121</f>
        <v/>
      </c>
      <c r="K121" s="33">
        <f>SUMIFS('Data - Control'!$J$5:$J$296,'Data - Control'!$A$5:$A$296,$A121,'Data - Control'!$B$5:$B$296,$C121)</f>
        <v/>
      </c>
    </row>
    <row r="122">
      <c r="A122" s="2" t="inlineStr">
        <is>
          <t>Mark Anthony</t>
        </is>
      </c>
      <c r="B122" s="2" t="inlineStr">
        <is>
          <t>not incented</t>
        </is>
      </c>
      <c r="C122" s="43" t="inlineStr">
        <is>
          <t>Ole</t>
        </is>
      </c>
      <c r="D122" s="33">
        <f>SUMIFS('Control Brands'!$C$5:$C$296,'Control Brands'!$A$5:$A$296,$A122,'Control Brands'!$B$5:$B$296,$C122)</f>
        <v/>
      </c>
      <c r="E122" s="33">
        <f>SUMIFS('Control Brands'!$D$5:$D$296,'Control Brands'!$A$5:$A$296,$A122,'Control Brands'!$B$5:$B$296,$C122)</f>
        <v/>
      </c>
      <c r="F122" s="44">
        <f>E122-D122</f>
        <v/>
      </c>
      <c r="G122" s="45">
        <f>IFERROR(E122/D122-1,"")</f>
        <v/>
      </c>
      <c r="H122" s="36">
        <f>SUMIFS('Control Brands'!$G$5:$G$296,'Control Brands'!$A$5:$A$296,$A122,'Control Brands'!$B$5:$B$296,$C122)</f>
        <v/>
      </c>
      <c r="I122" s="36">
        <f>SUMIFS('Control Brands'!$H$5:$H$296,'Control Brands'!$A$5:$A$296,$A122,'Control Brands'!$B$5:$B$296,$C122)</f>
        <v/>
      </c>
      <c r="J122" s="48">
        <f>I122-H122</f>
        <v/>
      </c>
      <c r="K122" s="33">
        <f>SUMIFS('Data - Control'!$J$5:$J$296,'Data - Control'!$A$5:$A$296,$A122,'Data - Control'!$B$5:$B$296,$C122)</f>
        <v/>
      </c>
    </row>
    <row r="123">
      <c r="C123" s="52" t="inlineStr">
        <is>
          <t>Mark Anthony — total</t>
        </is>
      </c>
      <c r="D123" s="44">
        <f>SUM(D115:D122)</f>
        <v/>
      </c>
      <c r="E123" s="44">
        <f>SUM(E115:E122)</f>
        <v/>
      </c>
      <c r="F123" s="44">
        <f>SUM(F115:F122)</f>
        <v/>
      </c>
      <c r="H123" s="48">
        <f>SUM(H115:H122)</f>
        <v/>
      </c>
      <c r="I123" s="48">
        <f>SUM(I115:I122)</f>
        <v/>
      </c>
      <c r="J123" s="48">
        <f>SUM(J115:J122)</f>
        <v/>
      </c>
      <c r="K123" s="44">
        <f>SUM(K115:K122)</f>
        <v/>
      </c>
    </row>
    <row r="125">
      <c r="A125" s="2" t="inlineStr">
        <is>
          <t>Boston Beer is the case to present. The program pointed reps at Twisted Tea and Truly — both in decline — while Sun Cruiser, carrying no incentive, grew by more cases than the incented brands lost.</t>
        </is>
      </c>
    </row>
    <row r="126">
      <c r="A126" s="2" t="inlineStr">
        <is>
          <t>Mark Anthony is the mirror image and the program's one clear win: incented brands held while the same supplier's non-incented brands fell more than twenty points further.</t>
        </is>
      </c>
    </row>
    <row r="127">
      <c r="A127" s="2" t="inlineStr">
        <is>
          <t>Filter column B to compare the two halves of any supplier.</t>
        </is>
      </c>
    </row>
  </sheetData>
  <autoFilter ref="A4:K12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57"/>
  <sheetViews>
    <sheetView showGridLines="0" workbookViewId="0">
      <pane ySplit="4" topLeftCell="A5" activePane="bottomLeft" state="frozen"/>
      <selection pane="bottomLeft" activeCell="A1" sqref="A1"/>
    </sheetView>
  </sheetViews>
  <sheetFormatPr baseColWidth="8" defaultRowHeight="15"/>
  <cols>
    <col width="44" customWidth="1" min="1" max="1"/>
    <col width="16" customWidth="1" min="2" max="2"/>
    <col width="30" customWidth="1" min="3" max="3"/>
    <col width="15" customWidth="1" min="4" max="4"/>
    <col width="14" customWidth="1" min="5" max="5"/>
    <col width="12" customWidth="1" min="6" max="6"/>
    <col width="15" customWidth="1" min="7" max="7"/>
    <col width="13" customWidth="1" min="8" max="8"/>
    <col width="10" customWidth="1" min="9" max="9"/>
    <col width="10" customWidth="1" min="10" max="10"/>
    <col width="12" customWidth="1" min="11" max="11"/>
    <col width="13" customWidth="1" min="12" max="12"/>
    <col width="15" customWidth="1" min="13" max="13"/>
  </cols>
  <sheetData>
    <row r="1">
      <c r="A1" s="24" t="inlineStr">
        <is>
          <t>Were the goals ever hard? — qualifier goal vs the rep's own prior-year volume</t>
        </is>
      </c>
    </row>
    <row r="2">
      <c r="A2" s="2" t="inlineStr">
        <is>
          <t>A goal set below last year's actual pays for maintenance. Goal is typed from goals.csv; both actuals are live SUMIFS off Data - Season.</t>
        </is>
      </c>
    </row>
    <row r="4" ht="32" customHeight="1">
      <c r="A4" s="6" t="inlineStr">
        <is>
          <t>Rep</t>
        </is>
      </c>
      <c r="B4" s="6" t="inlineStr">
        <is>
          <t>Manager</t>
        </is>
      </c>
      <c r="C4" s="6" t="inlineStr">
        <is>
          <t>Supplier</t>
        </is>
      </c>
      <c r="D4" s="6" t="inlineStr">
        <is>
          <t>2026 qualifier goal</t>
        </is>
      </c>
      <c r="E4" s="6" t="inlineStr">
        <is>
          <t>Rep's own 2025 CE</t>
        </is>
      </c>
      <c r="F4" s="6" t="inlineStr">
        <is>
          <t>Goal vs 2025</t>
        </is>
      </c>
      <c r="G4" s="6" t="inlineStr">
        <is>
          <t>Goal below 2025?</t>
        </is>
      </c>
      <c r="H4" s="6" t="inlineStr">
        <is>
          <t>2026 actual CE</t>
        </is>
      </c>
      <c r="I4" s="6" t="inlineStr">
        <is>
          <t>% to goal</t>
        </is>
      </c>
      <c r="J4" s="6" t="inlineStr">
        <is>
          <t>Cleared?</t>
        </is>
      </c>
      <c r="K4" s="6" t="inlineStr">
        <is>
          <t>2026 vs 2025</t>
        </is>
      </c>
      <c r="L4" s="6" t="inlineStr">
        <is>
          <t>At or below LY?</t>
        </is>
      </c>
      <c r="M4" s="6" t="inlineStr">
        <is>
          <t>Within 1% of LY?</t>
        </is>
      </c>
    </row>
    <row r="5">
      <c r="A5" s="43" t="inlineStr">
        <is>
          <t>Alisa Acciardi</t>
        </is>
      </c>
      <c r="B5" s="2" t="inlineStr">
        <is>
          <t>Mike Kennedy</t>
        </is>
      </c>
      <c r="C5" s="43" t="inlineStr">
        <is>
          <t>Constellation Brands</t>
        </is>
      </c>
      <c r="D5" s="53" t="n">
        <v>453</v>
      </c>
      <c r="E5" s="33">
        <f>SUMIFS('Data - Season'!$E$5:$E$743,'Data - Season'!$A$5:$A$743,$A5,'Data - Season'!$C$5:$C$743,$C5,'Data - Season'!$B$5:$B$743,"Qualifier")</f>
        <v/>
      </c>
      <c r="F5" s="45">
        <f>IFERROR($D5/$E5-1,"")</f>
        <v/>
      </c>
      <c r="G5" s="54">
        <f>IF($D5&lt;$E5,"YES — below LY","no")</f>
        <v/>
      </c>
      <c r="H5" s="33">
        <f>SUMIFS('Data - Season'!$F$5:$F$743,'Data - Season'!$A$5:$A$743,$A5,'Data - Season'!$C$5:$C$743,$C5,'Data - Season'!$B$5:$B$743,"Qualifier")</f>
        <v/>
      </c>
      <c r="I5" s="45">
        <f>IFERROR($H5/$D5,"")</f>
        <v/>
      </c>
      <c r="J5" s="43">
        <f>IF($H5&gt;=$D5,"cleared","missed")</f>
        <v/>
      </c>
      <c r="K5" s="45">
        <f>IFERROR($H5/$E5-1,"")</f>
        <v/>
      </c>
      <c r="L5" s="2">
        <f>IF($D5&lt;=$E5,"at or below","above")</f>
        <v/>
      </c>
      <c r="M5" s="2">
        <f>IF(AND($E5&gt;0,ABS($D5/$E5-1)&lt;=0.01),"within 1%","")</f>
        <v/>
      </c>
    </row>
    <row r="6">
      <c r="A6" s="43" t="inlineStr">
        <is>
          <t>Alisa Acciardi</t>
        </is>
      </c>
      <c r="B6" s="2" t="inlineStr">
        <is>
          <t>Mike Kennedy</t>
        </is>
      </c>
      <c r="C6" s="43" t="inlineStr">
        <is>
          <t>DG Yuengling Inc</t>
        </is>
      </c>
      <c r="D6" s="53" t="n">
        <v>19</v>
      </c>
      <c r="E6" s="33">
        <f>SUMIFS('Data - Season'!$E$5:$E$743,'Data - Season'!$A$5:$A$743,$A6,'Data - Season'!$C$5:$C$743,$C6,'Data - Season'!$B$5:$B$743,"Qualifier")</f>
        <v/>
      </c>
      <c r="F6" s="45">
        <f>IFERROR($D6/$E6-1,"")</f>
        <v/>
      </c>
      <c r="G6" s="43">
        <f>IF($D6&lt;$E6,"YES — below LY","no")</f>
        <v/>
      </c>
      <c r="H6" s="33">
        <f>SUMIFS('Data - Season'!$F$5:$F$743,'Data - Season'!$A$5:$A$743,$A6,'Data - Season'!$C$5:$C$743,$C6,'Data - Season'!$B$5:$B$743,"Qualifier")</f>
        <v/>
      </c>
      <c r="I6" s="45">
        <f>IFERROR($H6/$D6,"")</f>
        <v/>
      </c>
      <c r="J6" s="43">
        <f>IF($H6&gt;=$D6,"cleared","missed")</f>
        <v/>
      </c>
      <c r="K6" s="45">
        <f>IFERROR($H6/$E6-1,"")</f>
        <v/>
      </c>
      <c r="L6" s="2">
        <f>IF($D6&lt;=$E6,"at or below","above")</f>
        <v/>
      </c>
      <c r="M6" s="2">
        <f>IF(AND($E6&gt;0,ABS($D6/$E6-1)&lt;=0.01),"within 1%","")</f>
        <v/>
      </c>
    </row>
    <row r="7">
      <c r="A7" s="43" t="inlineStr">
        <is>
          <t>Alisa Acciardi</t>
        </is>
      </c>
      <c r="B7" s="2" t="inlineStr">
        <is>
          <t>Mike Kennedy</t>
        </is>
      </c>
      <c r="C7" s="43" t="inlineStr">
        <is>
          <t>Heineken USA</t>
        </is>
      </c>
      <c r="D7" s="53" t="n">
        <v>149</v>
      </c>
      <c r="E7" s="33">
        <f>SUMIFS('Data - Season'!$E$5:$E$743,'Data - Season'!$A$5:$A$743,$A7,'Data - Season'!$C$5:$C$743,$C7,'Data - Season'!$B$5:$B$743,"Qualifier")</f>
        <v/>
      </c>
      <c r="F7" s="45">
        <f>IFERROR($D7/$E7-1,"")</f>
        <v/>
      </c>
      <c r="G7" s="54">
        <f>IF($D7&lt;$E7,"YES — below LY","no")</f>
        <v/>
      </c>
      <c r="H7" s="33">
        <f>SUMIFS('Data - Season'!$F$5:$F$743,'Data - Season'!$A$5:$A$743,$A7,'Data - Season'!$C$5:$C$743,$C7,'Data - Season'!$B$5:$B$743,"Qualifier")</f>
        <v/>
      </c>
      <c r="I7" s="45">
        <f>IFERROR($H7/$D7,"")</f>
        <v/>
      </c>
      <c r="J7" s="43">
        <f>IF($H7&gt;=$D7,"cleared","missed")</f>
        <v/>
      </c>
      <c r="K7" s="45">
        <f>IFERROR($H7/$E7-1,"")</f>
        <v/>
      </c>
      <c r="L7" s="2">
        <f>IF($D7&lt;=$E7,"at or below","above")</f>
        <v/>
      </c>
      <c r="M7" s="2">
        <f>IF(AND($E7&gt;0,ABS($D7/$E7-1)&lt;=0.01),"within 1%","")</f>
        <v/>
      </c>
    </row>
    <row r="8">
      <c r="A8" s="43" t="inlineStr">
        <is>
          <t>Alisa Acciardi</t>
        </is>
      </c>
      <c r="B8" s="2" t="inlineStr">
        <is>
          <t>Mike Kennedy</t>
        </is>
      </c>
      <c r="C8" s="43" t="inlineStr">
        <is>
          <t>Mark Anthony</t>
        </is>
      </c>
      <c r="D8" s="53" t="n">
        <v>80</v>
      </c>
      <c r="E8" s="33">
        <f>SUMIFS('Data - Season'!$E$5:$E$743,'Data - Season'!$A$5:$A$743,$A8,'Data - Season'!$C$5:$C$743,$C8,'Data - Season'!$B$5:$B$743,"Qualifier")</f>
        <v/>
      </c>
      <c r="F8" s="45">
        <f>IFERROR($D8/$E8-1,"")</f>
        <v/>
      </c>
      <c r="G8" s="54">
        <f>IF($D8&lt;$E8,"YES — below LY","no")</f>
        <v/>
      </c>
      <c r="H8" s="33">
        <f>SUMIFS('Data - Season'!$F$5:$F$743,'Data - Season'!$A$5:$A$743,$A8,'Data - Season'!$C$5:$C$743,$C8,'Data - Season'!$B$5:$B$743,"Qualifier")</f>
        <v/>
      </c>
      <c r="I8" s="45">
        <f>IFERROR($H8/$D8,"")</f>
        <v/>
      </c>
      <c r="J8" s="43">
        <f>IF($H8&gt;=$D8,"cleared","missed")</f>
        <v/>
      </c>
      <c r="K8" s="45">
        <f>IFERROR($H8/$E8-1,"")</f>
        <v/>
      </c>
      <c r="L8" s="2">
        <f>IF($D8&lt;=$E8,"at or below","above")</f>
        <v/>
      </c>
      <c r="M8" s="2">
        <f>IF(AND($E8&gt;0,ABS($D8/$E8-1)&lt;=0.01),"within 1%","")</f>
        <v/>
      </c>
    </row>
    <row r="9">
      <c r="A9" s="43" t="inlineStr">
        <is>
          <t>Alisa Acciardi</t>
        </is>
      </c>
      <c r="B9" s="2" t="inlineStr">
        <is>
          <t>Mike Kennedy</t>
        </is>
      </c>
      <c r="C9" s="43" t="inlineStr">
        <is>
          <t>MolsonCoors Beverage Company</t>
        </is>
      </c>
      <c r="D9" s="53" t="n">
        <v>491</v>
      </c>
      <c r="E9" s="33">
        <f>SUMIFS('Data - Season'!$E$5:$E$743,'Data - Season'!$A$5:$A$743,$A9,'Data - Season'!$C$5:$C$743,$C9,'Data - Season'!$B$5:$B$743,"Qualifier")</f>
        <v/>
      </c>
      <c r="F9" s="45">
        <f>IFERROR($D9/$E9-1,"")</f>
        <v/>
      </c>
      <c r="G9" s="54">
        <f>IF($D9&lt;$E9,"YES — below LY","no")</f>
        <v/>
      </c>
      <c r="H9" s="33">
        <f>SUMIFS('Data - Season'!$F$5:$F$743,'Data - Season'!$A$5:$A$743,$A9,'Data - Season'!$C$5:$C$743,$C9,'Data - Season'!$B$5:$B$743,"Qualifier")</f>
        <v/>
      </c>
      <c r="I9" s="45">
        <f>IFERROR($H9/$D9,"")</f>
        <v/>
      </c>
      <c r="J9" s="43">
        <f>IF($H9&gt;=$D9,"cleared","missed")</f>
        <v/>
      </c>
      <c r="K9" s="45">
        <f>IFERROR($H9/$E9-1,"")</f>
        <v/>
      </c>
      <c r="L9" s="2">
        <f>IF($D9&lt;=$E9,"at or below","above")</f>
        <v/>
      </c>
      <c r="M9" s="2">
        <f>IF(AND($E9&gt;0,ABS($D9/$E9-1)&lt;=0.01),"within 1%","")</f>
        <v/>
      </c>
    </row>
    <row r="10">
      <c r="A10" s="43" t="inlineStr">
        <is>
          <t>Allison Scott</t>
        </is>
      </c>
      <c r="B10" s="2" t="inlineStr">
        <is>
          <t>Chris McCrohan</t>
        </is>
      </c>
      <c r="C10" s="43" t="inlineStr">
        <is>
          <t>Boston Beer Company</t>
        </is>
      </c>
      <c r="D10" s="53" t="n">
        <v>265</v>
      </c>
      <c r="E10" s="33">
        <f>SUMIFS('Data - Season'!$E$5:$E$743,'Data - Season'!$A$5:$A$743,$A10,'Data - Season'!$C$5:$C$743,$C10,'Data - Season'!$B$5:$B$743,"Qualifier")</f>
        <v/>
      </c>
      <c r="F10" s="45">
        <f>IFERROR($D10/$E10-1,"")</f>
        <v/>
      </c>
      <c r="G10" s="43">
        <f>IF($D10&lt;$E10,"YES — below LY","no")</f>
        <v/>
      </c>
      <c r="H10" s="33">
        <f>SUMIFS('Data - Season'!$F$5:$F$743,'Data - Season'!$A$5:$A$743,$A10,'Data - Season'!$C$5:$C$743,$C10,'Data - Season'!$B$5:$B$743,"Qualifier")</f>
        <v/>
      </c>
      <c r="I10" s="45">
        <f>IFERROR($H10/$D10,"")</f>
        <v/>
      </c>
      <c r="J10" s="43">
        <f>IF($H10&gt;=$D10,"cleared","missed")</f>
        <v/>
      </c>
      <c r="K10" s="45">
        <f>IFERROR($H10/$E10-1,"")</f>
        <v/>
      </c>
      <c r="L10" s="2">
        <f>IF($D10&lt;=$E10,"at or below","above")</f>
        <v/>
      </c>
      <c r="M10" s="2">
        <f>IF(AND($E10&gt;0,ABS($D10/$E10-1)&lt;=0.01),"within 1%","")</f>
        <v/>
      </c>
    </row>
    <row r="11">
      <c r="A11" s="43" t="inlineStr">
        <is>
          <t>Allison Scott</t>
        </is>
      </c>
      <c r="B11" s="2" t="inlineStr">
        <is>
          <t>Chris McCrohan</t>
        </is>
      </c>
      <c r="C11" s="43" t="inlineStr">
        <is>
          <t>Constellation Brands</t>
        </is>
      </c>
      <c r="D11" s="53" t="n">
        <v>7193</v>
      </c>
      <c r="E11" s="33">
        <f>SUMIFS('Data - Season'!$E$5:$E$743,'Data - Season'!$A$5:$A$743,$A11,'Data - Season'!$C$5:$C$743,$C11,'Data - Season'!$B$5:$B$743,"Qualifier")</f>
        <v/>
      </c>
      <c r="F11" s="45">
        <f>IFERROR($D11/$E11-1,"")</f>
        <v/>
      </c>
      <c r="G11" s="54">
        <f>IF($D11&lt;$E11,"YES — below LY","no")</f>
        <v/>
      </c>
      <c r="H11" s="33">
        <f>SUMIFS('Data - Season'!$F$5:$F$743,'Data - Season'!$A$5:$A$743,$A11,'Data - Season'!$C$5:$C$743,$C11,'Data - Season'!$B$5:$B$743,"Qualifier")</f>
        <v/>
      </c>
      <c r="I11" s="45">
        <f>IFERROR($H11/$D11,"")</f>
        <v/>
      </c>
      <c r="J11" s="43">
        <f>IF($H11&gt;=$D11,"cleared","missed")</f>
        <v/>
      </c>
      <c r="K11" s="45">
        <f>IFERROR($H11/$E11-1,"")</f>
        <v/>
      </c>
      <c r="L11" s="2">
        <f>IF($D11&lt;=$E11,"at or below","above")</f>
        <v/>
      </c>
      <c r="M11" s="2">
        <f>IF(AND($E11&gt;0,ABS($D11/$E11-1)&lt;=0.01),"within 1%","")</f>
        <v/>
      </c>
    </row>
    <row r="12">
      <c r="A12" s="43" t="inlineStr">
        <is>
          <t>Allison Scott</t>
        </is>
      </c>
      <c r="B12" s="2" t="inlineStr">
        <is>
          <t>Chris McCrohan</t>
        </is>
      </c>
      <c r="C12" s="43" t="inlineStr">
        <is>
          <t>DG Yuengling Inc</t>
        </is>
      </c>
      <c r="D12" s="53" t="n">
        <v>2762</v>
      </c>
      <c r="E12" s="33">
        <f>SUMIFS('Data - Season'!$E$5:$E$743,'Data - Season'!$A$5:$A$743,$A12,'Data - Season'!$C$5:$C$743,$C12,'Data - Season'!$B$5:$B$743,"Qualifier")</f>
        <v/>
      </c>
      <c r="F12" s="45">
        <f>IFERROR($D12/$E12-1,"")</f>
        <v/>
      </c>
      <c r="G12" s="54">
        <f>IF($D12&lt;$E12,"YES — below LY","no")</f>
        <v/>
      </c>
      <c r="H12" s="33">
        <f>SUMIFS('Data - Season'!$F$5:$F$743,'Data - Season'!$A$5:$A$743,$A12,'Data - Season'!$C$5:$C$743,$C12,'Data - Season'!$B$5:$B$743,"Qualifier")</f>
        <v/>
      </c>
      <c r="I12" s="45">
        <f>IFERROR($H12/$D12,"")</f>
        <v/>
      </c>
      <c r="J12" s="43">
        <f>IF($H12&gt;=$D12,"cleared","missed")</f>
        <v/>
      </c>
      <c r="K12" s="45">
        <f>IFERROR($H12/$E12-1,"")</f>
        <v/>
      </c>
      <c r="L12" s="2">
        <f>IF($D12&lt;=$E12,"at or below","above")</f>
        <v/>
      </c>
      <c r="M12" s="2">
        <f>IF(AND($E12&gt;0,ABS($D12/$E12-1)&lt;=0.01),"within 1%","")</f>
        <v/>
      </c>
    </row>
    <row r="13">
      <c r="A13" s="43" t="inlineStr">
        <is>
          <t>Allison Scott</t>
        </is>
      </c>
      <c r="B13" s="2" t="inlineStr">
        <is>
          <t>Chris McCrohan</t>
        </is>
      </c>
      <c r="C13" s="43" t="inlineStr">
        <is>
          <t>Heineken USA</t>
        </is>
      </c>
      <c r="D13" s="53" t="n">
        <v>1846</v>
      </c>
      <c r="E13" s="33">
        <f>SUMIFS('Data - Season'!$E$5:$E$743,'Data - Season'!$A$5:$A$743,$A13,'Data - Season'!$C$5:$C$743,$C13,'Data - Season'!$B$5:$B$743,"Qualifier")</f>
        <v/>
      </c>
      <c r="F13" s="45">
        <f>IFERROR($D13/$E13-1,"")</f>
        <v/>
      </c>
      <c r="G13" s="54">
        <f>IF($D13&lt;$E13,"YES — below LY","no")</f>
        <v/>
      </c>
      <c r="H13" s="33">
        <f>SUMIFS('Data - Season'!$F$5:$F$743,'Data - Season'!$A$5:$A$743,$A13,'Data - Season'!$C$5:$C$743,$C13,'Data - Season'!$B$5:$B$743,"Qualifier")</f>
        <v/>
      </c>
      <c r="I13" s="45">
        <f>IFERROR($H13/$D13,"")</f>
        <v/>
      </c>
      <c r="J13" s="43">
        <f>IF($H13&gt;=$D13,"cleared","missed")</f>
        <v/>
      </c>
      <c r="K13" s="45">
        <f>IFERROR($H13/$E13-1,"")</f>
        <v/>
      </c>
      <c r="L13" s="2">
        <f>IF($D13&lt;=$E13,"at or below","above")</f>
        <v/>
      </c>
      <c r="M13" s="2">
        <f>IF(AND($E13&gt;0,ABS($D13/$E13-1)&lt;=0.01),"within 1%","")</f>
        <v/>
      </c>
    </row>
    <row r="14">
      <c r="A14" s="43" t="inlineStr">
        <is>
          <t>Allison Scott</t>
        </is>
      </c>
      <c r="B14" s="2" t="inlineStr">
        <is>
          <t>Chris McCrohan</t>
        </is>
      </c>
      <c r="C14" s="43" t="inlineStr">
        <is>
          <t>Mark Anthony</t>
        </is>
      </c>
      <c r="D14" s="53" t="n">
        <v>940</v>
      </c>
      <c r="E14" s="33">
        <f>SUMIFS('Data - Season'!$E$5:$E$743,'Data - Season'!$A$5:$A$743,$A14,'Data - Season'!$C$5:$C$743,$C14,'Data - Season'!$B$5:$B$743,"Qualifier")</f>
        <v/>
      </c>
      <c r="F14" s="45">
        <f>IFERROR($D14/$E14-1,"")</f>
        <v/>
      </c>
      <c r="G14" s="54">
        <f>IF($D14&lt;$E14,"YES — below LY","no")</f>
        <v/>
      </c>
      <c r="H14" s="33">
        <f>SUMIFS('Data - Season'!$F$5:$F$743,'Data - Season'!$A$5:$A$743,$A14,'Data - Season'!$C$5:$C$743,$C14,'Data - Season'!$B$5:$B$743,"Qualifier")</f>
        <v/>
      </c>
      <c r="I14" s="45">
        <f>IFERROR($H14/$D14,"")</f>
        <v/>
      </c>
      <c r="J14" s="43">
        <f>IF($H14&gt;=$D14,"cleared","missed")</f>
        <v/>
      </c>
      <c r="K14" s="45">
        <f>IFERROR($H14/$E14-1,"")</f>
        <v/>
      </c>
      <c r="L14" s="2">
        <f>IF($D14&lt;=$E14,"at or below","above")</f>
        <v/>
      </c>
      <c r="M14" s="2">
        <f>IF(AND($E14&gt;0,ABS($D14/$E14-1)&lt;=0.01),"within 1%","")</f>
        <v/>
      </c>
    </row>
    <row r="15">
      <c r="A15" s="43" t="inlineStr">
        <is>
          <t>Allison Scott</t>
        </is>
      </c>
      <c r="B15" s="2" t="inlineStr">
        <is>
          <t>Chris McCrohan</t>
        </is>
      </c>
      <c r="C15" s="43" t="inlineStr">
        <is>
          <t>MolsonCoors Beverage Company</t>
        </is>
      </c>
      <c r="D15" s="53" t="n">
        <v>12865</v>
      </c>
      <c r="E15" s="33">
        <f>SUMIFS('Data - Season'!$E$5:$E$743,'Data - Season'!$A$5:$A$743,$A15,'Data - Season'!$C$5:$C$743,$C15,'Data - Season'!$B$5:$B$743,"Qualifier")</f>
        <v/>
      </c>
      <c r="F15" s="45">
        <f>IFERROR($D15/$E15-1,"")</f>
        <v/>
      </c>
      <c r="G15" s="54">
        <f>IF($D15&lt;$E15,"YES — below LY","no")</f>
        <v/>
      </c>
      <c r="H15" s="33">
        <f>SUMIFS('Data - Season'!$F$5:$F$743,'Data - Season'!$A$5:$A$743,$A15,'Data - Season'!$C$5:$C$743,$C15,'Data - Season'!$B$5:$B$743,"Qualifier")</f>
        <v/>
      </c>
      <c r="I15" s="45">
        <f>IFERROR($H15/$D15,"")</f>
        <v/>
      </c>
      <c r="J15" s="43">
        <f>IF($H15&gt;=$D15,"cleared","missed")</f>
        <v/>
      </c>
      <c r="K15" s="45">
        <f>IFERROR($H15/$E15-1,"")</f>
        <v/>
      </c>
      <c r="L15" s="2">
        <f>IF($D15&lt;=$E15,"at or below","above")</f>
        <v/>
      </c>
      <c r="M15" s="2">
        <f>IF(AND($E15&gt;0,ABS($D15/$E15-1)&lt;=0.01),"within 1%","")</f>
        <v/>
      </c>
    </row>
    <row r="16">
      <c r="A16" s="43" t="inlineStr">
        <is>
          <t>Anthony Palmisano</t>
        </is>
      </c>
      <c r="B16" s="2" t="inlineStr">
        <is>
          <t>Chris McCrohan</t>
        </is>
      </c>
      <c r="C16" s="43" t="inlineStr">
        <is>
          <t>Boston Beer Company</t>
        </is>
      </c>
      <c r="D16" s="53" t="n">
        <v>4450</v>
      </c>
      <c r="E16" s="33">
        <f>SUMIFS('Data - Season'!$E$5:$E$743,'Data - Season'!$A$5:$A$743,$A16,'Data - Season'!$C$5:$C$743,$C16,'Data - Season'!$B$5:$B$743,"Qualifier")</f>
        <v/>
      </c>
      <c r="F16" s="45">
        <f>IFERROR($D16/$E16-1,"")</f>
        <v/>
      </c>
      <c r="G16" s="54">
        <f>IF($D16&lt;$E16,"YES — below LY","no")</f>
        <v/>
      </c>
      <c r="H16" s="33">
        <f>SUMIFS('Data - Season'!$F$5:$F$743,'Data - Season'!$A$5:$A$743,$A16,'Data - Season'!$C$5:$C$743,$C16,'Data - Season'!$B$5:$B$743,"Qualifier")</f>
        <v/>
      </c>
      <c r="I16" s="45">
        <f>IFERROR($H16/$D16,"")</f>
        <v/>
      </c>
      <c r="J16" s="43">
        <f>IF($H16&gt;=$D16,"cleared","missed")</f>
        <v/>
      </c>
      <c r="K16" s="45">
        <f>IFERROR($H16/$E16-1,"")</f>
        <v/>
      </c>
      <c r="L16" s="2">
        <f>IF($D16&lt;=$E16,"at or below","above")</f>
        <v/>
      </c>
      <c r="M16" s="2">
        <f>IF(AND($E16&gt;0,ABS($D16/$E16-1)&lt;=0.01),"within 1%","")</f>
        <v/>
      </c>
    </row>
    <row r="17">
      <c r="A17" s="43" t="inlineStr">
        <is>
          <t>Anthony Palmisano</t>
        </is>
      </c>
      <c r="B17" s="2" t="inlineStr">
        <is>
          <t>Chris McCrohan</t>
        </is>
      </c>
      <c r="C17" s="43" t="inlineStr">
        <is>
          <t>Constellation Brands</t>
        </is>
      </c>
      <c r="D17" s="53" t="n">
        <v>18078</v>
      </c>
      <c r="E17" s="33">
        <f>SUMIFS('Data - Season'!$E$5:$E$743,'Data - Season'!$A$5:$A$743,$A17,'Data - Season'!$C$5:$C$743,$C17,'Data - Season'!$B$5:$B$743,"Qualifier")</f>
        <v/>
      </c>
      <c r="F17" s="45">
        <f>IFERROR($D17/$E17-1,"")</f>
        <v/>
      </c>
      <c r="G17" s="54">
        <f>IF($D17&lt;$E17,"YES — below LY","no")</f>
        <v/>
      </c>
      <c r="H17" s="33">
        <f>SUMIFS('Data - Season'!$F$5:$F$743,'Data - Season'!$A$5:$A$743,$A17,'Data - Season'!$C$5:$C$743,$C17,'Data - Season'!$B$5:$B$743,"Qualifier")</f>
        <v/>
      </c>
      <c r="I17" s="45">
        <f>IFERROR($H17/$D17,"")</f>
        <v/>
      </c>
      <c r="J17" s="43">
        <f>IF($H17&gt;=$D17,"cleared","missed")</f>
        <v/>
      </c>
      <c r="K17" s="45">
        <f>IFERROR($H17/$E17-1,"")</f>
        <v/>
      </c>
      <c r="L17" s="2">
        <f>IF($D17&lt;=$E17,"at or below","above")</f>
        <v/>
      </c>
      <c r="M17" s="2">
        <f>IF(AND($E17&gt;0,ABS($D17/$E17-1)&lt;=0.01),"within 1%","")</f>
        <v/>
      </c>
    </row>
    <row r="18">
      <c r="A18" s="43" t="inlineStr">
        <is>
          <t>Anthony Palmisano</t>
        </is>
      </c>
      <c r="B18" s="2" t="inlineStr">
        <is>
          <t>Chris McCrohan</t>
        </is>
      </c>
      <c r="C18" s="43" t="inlineStr">
        <is>
          <t>DG Yuengling Inc</t>
        </is>
      </c>
      <c r="D18" s="53" t="n">
        <v>4331</v>
      </c>
      <c r="E18" s="33">
        <f>SUMIFS('Data - Season'!$E$5:$E$743,'Data - Season'!$A$5:$A$743,$A18,'Data - Season'!$C$5:$C$743,$C18,'Data - Season'!$B$5:$B$743,"Qualifier")</f>
        <v/>
      </c>
      <c r="F18" s="45">
        <f>IFERROR($D18/$E18-1,"")</f>
        <v/>
      </c>
      <c r="G18" s="54">
        <f>IF($D18&lt;$E18,"YES — below LY","no")</f>
        <v/>
      </c>
      <c r="H18" s="33">
        <f>SUMIFS('Data - Season'!$F$5:$F$743,'Data - Season'!$A$5:$A$743,$A18,'Data - Season'!$C$5:$C$743,$C18,'Data - Season'!$B$5:$B$743,"Qualifier")</f>
        <v/>
      </c>
      <c r="I18" s="45">
        <f>IFERROR($H18/$D18,"")</f>
        <v/>
      </c>
      <c r="J18" s="43">
        <f>IF($H18&gt;=$D18,"cleared","missed")</f>
        <v/>
      </c>
      <c r="K18" s="45">
        <f>IFERROR($H18/$E18-1,"")</f>
        <v/>
      </c>
      <c r="L18" s="2">
        <f>IF($D18&lt;=$E18,"at or below","above")</f>
        <v/>
      </c>
      <c r="M18" s="2">
        <f>IF(AND($E18&gt;0,ABS($D18/$E18-1)&lt;=0.01),"within 1%","")</f>
        <v/>
      </c>
    </row>
    <row r="19">
      <c r="A19" s="43" t="inlineStr">
        <is>
          <t>Anthony Palmisano</t>
        </is>
      </c>
      <c r="B19" s="2" t="inlineStr">
        <is>
          <t>Chris McCrohan</t>
        </is>
      </c>
      <c r="C19" s="43" t="inlineStr">
        <is>
          <t>Heineken USA</t>
        </is>
      </c>
      <c r="D19" s="53" t="n">
        <v>2985</v>
      </c>
      <c r="E19" s="33">
        <f>SUMIFS('Data - Season'!$E$5:$E$743,'Data - Season'!$A$5:$A$743,$A19,'Data - Season'!$C$5:$C$743,$C19,'Data - Season'!$B$5:$B$743,"Qualifier")</f>
        <v/>
      </c>
      <c r="F19" s="45">
        <f>IFERROR($D19/$E19-1,"")</f>
        <v/>
      </c>
      <c r="G19" s="43">
        <f>IF($D19&lt;$E19,"YES — below LY","no")</f>
        <v/>
      </c>
      <c r="H19" s="33">
        <f>SUMIFS('Data - Season'!$F$5:$F$743,'Data - Season'!$A$5:$A$743,$A19,'Data - Season'!$C$5:$C$743,$C19,'Data - Season'!$B$5:$B$743,"Qualifier")</f>
        <v/>
      </c>
      <c r="I19" s="45">
        <f>IFERROR($H19/$D19,"")</f>
        <v/>
      </c>
      <c r="J19" s="43">
        <f>IF($H19&gt;=$D19,"cleared","missed")</f>
        <v/>
      </c>
      <c r="K19" s="45">
        <f>IFERROR($H19/$E19-1,"")</f>
        <v/>
      </c>
      <c r="L19" s="2">
        <f>IF($D19&lt;=$E19,"at or below","above")</f>
        <v/>
      </c>
      <c r="M19" s="2">
        <f>IF(AND($E19&gt;0,ABS($D19/$E19-1)&lt;=0.01),"within 1%","")</f>
        <v/>
      </c>
    </row>
    <row r="20">
      <c r="A20" s="43" t="inlineStr">
        <is>
          <t>Anthony Palmisano</t>
        </is>
      </c>
      <c r="B20" s="2" t="inlineStr">
        <is>
          <t>Chris McCrohan</t>
        </is>
      </c>
      <c r="C20" s="43" t="inlineStr">
        <is>
          <t>Mark Anthony</t>
        </is>
      </c>
      <c r="D20" s="53" t="n">
        <v>6666</v>
      </c>
      <c r="E20" s="33">
        <f>SUMIFS('Data - Season'!$E$5:$E$743,'Data - Season'!$A$5:$A$743,$A20,'Data - Season'!$C$5:$C$743,$C20,'Data - Season'!$B$5:$B$743,"Qualifier")</f>
        <v/>
      </c>
      <c r="F20" s="45">
        <f>IFERROR($D20/$E20-1,"")</f>
        <v/>
      </c>
      <c r="G20" s="54">
        <f>IF($D20&lt;$E20,"YES — below LY","no")</f>
        <v/>
      </c>
      <c r="H20" s="33">
        <f>SUMIFS('Data - Season'!$F$5:$F$743,'Data - Season'!$A$5:$A$743,$A20,'Data - Season'!$C$5:$C$743,$C20,'Data - Season'!$B$5:$B$743,"Qualifier")</f>
        <v/>
      </c>
      <c r="I20" s="45">
        <f>IFERROR($H20/$D20,"")</f>
        <v/>
      </c>
      <c r="J20" s="43">
        <f>IF($H20&gt;=$D20,"cleared","missed")</f>
        <v/>
      </c>
      <c r="K20" s="45">
        <f>IFERROR($H20/$E20-1,"")</f>
        <v/>
      </c>
      <c r="L20" s="2">
        <f>IF($D20&lt;=$E20,"at or below","above")</f>
        <v/>
      </c>
      <c r="M20" s="2">
        <f>IF(AND($E20&gt;0,ABS($D20/$E20-1)&lt;=0.01),"within 1%","")</f>
        <v/>
      </c>
    </row>
    <row r="21">
      <c r="A21" s="43" t="inlineStr">
        <is>
          <t>Anthony Palmisano</t>
        </is>
      </c>
      <c r="B21" s="2" t="inlineStr">
        <is>
          <t>Chris McCrohan</t>
        </is>
      </c>
      <c r="C21" s="43" t="inlineStr">
        <is>
          <t>MolsonCoors Beverage Company</t>
        </is>
      </c>
      <c r="D21" s="53" t="n">
        <v>29338</v>
      </c>
      <c r="E21" s="33">
        <f>SUMIFS('Data - Season'!$E$5:$E$743,'Data - Season'!$A$5:$A$743,$A21,'Data - Season'!$C$5:$C$743,$C21,'Data - Season'!$B$5:$B$743,"Qualifier")</f>
        <v/>
      </c>
      <c r="F21" s="45">
        <f>IFERROR($D21/$E21-1,"")</f>
        <v/>
      </c>
      <c r="G21" s="54">
        <f>IF($D21&lt;$E21,"YES — below LY","no")</f>
        <v/>
      </c>
      <c r="H21" s="33">
        <f>SUMIFS('Data - Season'!$F$5:$F$743,'Data - Season'!$A$5:$A$743,$A21,'Data - Season'!$C$5:$C$743,$C21,'Data - Season'!$B$5:$B$743,"Qualifier")</f>
        <v/>
      </c>
      <c r="I21" s="45">
        <f>IFERROR($H21/$D21,"")</f>
        <v/>
      </c>
      <c r="J21" s="43">
        <f>IF($H21&gt;=$D21,"cleared","missed")</f>
        <v/>
      </c>
      <c r="K21" s="45">
        <f>IFERROR($H21/$E21-1,"")</f>
        <v/>
      </c>
      <c r="L21" s="2">
        <f>IF($D21&lt;=$E21,"at or below","above")</f>
        <v/>
      </c>
      <c r="M21" s="2">
        <f>IF(AND($E21&gt;0,ABS($D21/$E21-1)&lt;=0.01),"within 1%","")</f>
        <v/>
      </c>
    </row>
    <row r="22">
      <c r="A22" s="43" t="inlineStr">
        <is>
          <t>Brian Sengebush</t>
        </is>
      </c>
      <c r="B22" s="2" t="inlineStr">
        <is>
          <t>Chris McCrohan</t>
        </is>
      </c>
      <c r="C22" s="43" t="inlineStr">
        <is>
          <t>Boston Beer Company</t>
        </is>
      </c>
      <c r="D22" s="53" t="n">
        <v>1575</v>
      </c>
      <c r="E22" s="33">
        <f>SUMIFS('Data - Season'!$E$5:$E$743,'Data - Season'!$A$5:$A$743,$A22,'Data - Season'!$C$5:$C$743,$C22,'Data - Season'!$B$5:$B$743,"Qualifier")</f>
        <v/>
      </c>
      <c r="F22" s="45">
        <f>IFERROR($D22/$E22-1,"")</f>
        <v/>
      </c>
      <c r="G22" s="54">
        <f>IF($D22&lt;$E22,"YES — below LY","no")</f>
        <v/>
      </c>
      <c r="H22" s="33">
        <f>SUMIFS('Data - Season'!$F$5:$F$743,'Data - Season'!$A$5:$A$743,$A22,'Data - Season'!$C$5:$C$743,$C22,'Data - Season'!$B$5:$B$743,"Qualifier")</f>
        <v/>
      </c>
      <c r="I22" s="45">
        <f>IFERROR($H22/$D22,"")</f>
        <v/>
      </c>
      <c r="J22" s="43">
        <f>IF($H22&gt;=$D22,"cleared","missed")</f>
        <v/>
      </c>
      <c r="K22" s="45">
        <f>IFERROR($H22/$E22-1,"")</f>
        <v/>
      </c>
      <c r="L22" s="2">
        <f>IF($D22&lt;=$E22,"at or below","above")</f>
        <v/>
      </c>
      <c r="M22" s="2">
        <f>IF(AND($E22&gt;0,ABS($D22/$E22-1)&lt;=0.01),"within 1%","")</f>
        <v/>
      </c>
    </row>
    <row r="23">
      <c r="A23" s="43" t="inlineStr">
        <is>
          <t>Brian Sengebush</t>
        </is>
      </c>
      <c r="B23" s="2" t="inlineStr">
        <is>
          <t>Chris McCrohan</t>
        </is>
      </c>
      <c r="C23" s="43" t="inlineStr">
        <is>
          <t>Constellation Brands</t>
        </is>
      </c>
      <c r="D23" s="53" t="n">
        <v>5395</v>
      </c>
      <c r="E23" s="33">
        <f>SUMIFS('Data - Season'!$E$5:$E$743,'Data - Season'!$A$5:$A$743,$A23,'Data - Season'!$C$5:$C$743,$C23,'Data - Season'!$B$5:$B$743,"Qualifier")</f>
        <v/>
      </c>
      <c r="F23" s="45">
        <f>IFERROR($D23/$E23-1,"")</f>
        <v/>
      </c>
      <c r="G23" s="54">
        <f>IF($D23&lt;$E23,"YES — below LY","no")</f>
        <v/>
      </c>
      <c r="H23" s="33">
        <f>SUMIFS('Data - Season'!$F$5:$F$743,'Data - Season'!$A$5:$A$743,$A23,'Data - Season'!$C$5:$C$743,$C23,'Data - Season'!$B$5:$B$743,"Qualifier")</f>
        <v/>
      </c>
      <c r="I23" s="45">
        <f>IFERROR($H23/$D23,"")</f>
        <v/>
      </c>
      <c r="J23" s="43">
        <f>IF($H23&gt;=$D23,"cleared","missed")</f>
        <v/>
      </c>
      <c r="K23" s="45">
        <f>IFERROR($H23/$E23-1,"")</f>
        <v/>
      </c>
      <c r="L23" s="2">
        <f>IF($D23&lt;=$E23,"at or below","above")</f>
        <v/>
      </c>
      <c r="M23" s="2">
        <f>IF(AND($E23&gt;0,ABS($D23/$E23-1)&lt;=0.01),"within 1%","")</f>
        <v/>
      </c>
    </row>
    <row r="24">
      <c r="A24" s="43" t="inlineStr">
        <is>
          <t>Brian Sengebush</t>
        </is>
      </c>
      <c r="B24" s="2" t="inlineStr">
        <is>
          <t>Chris McCrohan</t>
        </is>
      </c>
      <c r="C24" s="43" t="inlineStr">
        <is>
          <t>DG Yuengling Inc</t>
        </is>
      </c>
      <c r="D24" s="53" t="n">
        <v>4861</v>
      </c>
      <c r="E24" s="33">
        <f>SUMIFS('Data - Season'!$E$5:$E$743,'Data - Season'!$A$5:$A$743,$A24,'Data - Season'!$C$5:$C$743,$C24,'Data - Season'!$B$5:$B$743,"Qualifier")</f>
        <v/>
      </c>
      <c r="F24" s="45">
        <f>IFERROR($D24/$E24-1,"")</f>
        <v/>
      </c>
      <c r="G24" s="54">
        <f>IF($D24&lt;$E24,"YES — below LY","no")</f>
        <v/>
      </c>
      <c r="H24" s="33">
        <f>SUMIFS('Data - Season'!$F$5:$F$743,'Data - Season'!$A$5:$A$743,$A24,'Data - Season'!$C$5:$C$743,$C24,'Data - Season'!$B$5:$B$743,"Qualifier")</f>
        <v/>
      </c>
      <c r="I24" s="45">
        <f>IFERROR($H24/$D24,"")</f>
        <v/>
      </c>
      <c r="J24" s="43">
        <f>IF($H24&gt;=$D24,"cleared","missed")</f>
        <v/>
      </c>
      <c r="K24" s="45">
        <f>IFERROR($H24/$E24-1,"")</f>
        <v/>
      </c>
      <c r="L24" s="2">
        <f>IF($D24&lt;=$E24,"at or below","above")</f>
        <v/>
      </c>
      <c r="M24" s="2">
        <f>IF(AND($E24&gt;0,ABS($D24/$E24-1)&lt;=0.01),"within 1%","")</f>
        <v/>
      </c>
    </row>
    <row r="25">
      <c r="A25" s="43" t="inlineStr">
        <is>
          <t>Brian Sengebush</t>
        </is>
      </c>
      <c r="B25" s="2" t="inlineStr">
        <is>
          <t>Chris McCrohan</t>
        </is>
      </c>
      <c r="C25" s="43" t="inlineStr">
        <is>
          <t>Mark Anthony</t>
        </is>
      </c>
      <c r="D25" s="53" t="n">
        <v>1470</v>
      </c>
      <c r="E25" s="33">
        <f>SUMIFS('Data - Season'!$E$5:$E$743,'Data - Season'!$A$5:$A$743,$A25,'Data - Season'!$C$5:$C$743,$C25,'Data - Season'!$B$5:$B$743,"Qualifier")</f>
        <v/>
      </c>
      <c r="F25" s="45">
        <f>IFERROR($D25/$E25-1,"")</f>
        <v/>
      </c>
      <c r="G25" s="54">
        <f>IF($D25&lt;$E25,"YES — below LY","no")</f>
        <v/>
      </c>
      <c r="H25" s="33">
        <f>SUMIFS('Data - Season'!$F$5:$F$743,'Data - Season'!$A$5:$A$743,$A25,'Data - Season'!$C$5:$C$743,$C25,'Data - Season'!$B$5:$B$743,"Qualifier")</f>
        <v/>
      </c>
      <c r="I25" s="45">
        <f>IFERROR($H25/$D25,"")</f>
        <v/>
      </c>
      <c r="J25" s="43">
        <f>IF($H25&gt;=$D25,"cleared","missed")</f>
        <v/>
      </c>
      <c r="K25" s="45">
        <f>IFERROR($H25/$E25-1,"")</f>
        <v/>
      </c>
      <c r="L25" s="2">
        <f>IF($D25&lt;=$E25,"at or below","above")</f>
        <v/>
      </c>
      <c r="M25" s="2">
        <f>IF(AND($E25&gt;0,ABS($D25/$E25-1)&lt;=0.01),"within 1%","")</f>
        <v/>
      </c>
    </row>
    <row r="26">
      <c r="A26" s="43" t="inlineStr">
        <is>
          <t>Brian Sengebush</t>
        </is>
      </c>
      <c r="B26" s="2" t="inlineStr">
        <is>
          <t>Chris McCrohan</t>
        </is>
      </c>
      <c r="C26" s="43" t="inlineStr">
        <is>
          <t>MolsonCoors Beverage Company</t>
        </is>
      </c>
      <c r="D26" s="53" t="n">
        <v>16115</v>
      </c>
      <c r="E26" s="33">
        <f>SUMIFS('Data - Season'!$E$5:$E$743,'Data - Season'!$A$5:$A$743,$A26,'Data - Season'!$C$5:$C$743,$C26,'Data - Season'!$B$5:$B$743,"Qualifier")</f>
        <v/>
      </c>
      <c r="F26" s="45">
        <f>IFERROR($D26/$E26-1,"")</f>
        <v/>
      </c>
      <c r="G26" s="54">
        <f>IF($D26&lt;$E26,"YES — below LY","no")</f>
        <v/>
      </c>
      <c r="H26" s="33">
        <f>SUMIFS('Data - Season'!$F$5:$F$743,'Data - Season'!$A$5:$A$743,$A26,'Data - Season'!$C$5:$C$743,$C26,'Data - Season'!$B$5:$B$743,"Qualifier")</f>
        <v/>
      </c>
      <c r="I26" s="45">
        <f>IFERROR($H26/$D26,"")</f>
        <v/>
      </c>
      <c r="J26" s="43">
        <f>IF($H26&gt;=$D26,"cleared","missed")</f>
        <v/>
      </c>
      <c r="K26" s="45">
        <f>IFERROR($H26/$E26-1,"")</f>
        <v/>
      </c>
      <c r="L26" s="2">
        <f>IF($D26&lt;=$E26,"at or below","above")</f>
        <v/>
      </c>
      <c r="M26" s="2">
        <f>IF(AND($E26&gt;0,ABS($D26/$E26-1)&lt;=0.01),"within 1%","")</f>
        <v/>
      </c>
    </row>
    <row r="27">
      <c r="A27" s="43" t="inlineStr">
        <is>
          <t>Chris Payton</t>
        </is>
      </c>
      <c r="B27" s="2" t="inlineStr">
        <is>
          <t>Mike Engel</t>
        </is>
      </c>
      <c r="C27" s="43" t="inlineStr">
        <is>
          <t>Boston Beer Company</t>
        </is>
      </c>
      <c r="D27" s="53" t="n">
        <v>2300</v>
      </c>
      <c r="E27" s="33">
        <f>SUMIFS('Data - Season'!$E$5:$E$743,'Data - Season'!$A$5:$A$743,$A27,'Data - Season'!$C$5:$C$743,$C27,'Data - Season'!$B$5:$B$743,"Qualifier")</f>
        <v/>
      </c>
      <c r="F27" s="45">
        <f>IFERROR($D27/$E27-1,"")</f>
        <v/>
      </c>
      <c r="G27" s="54">
        <f>IF($D27&lt;$E27,"YES — below LY","no")</f>
        <v/>
      </c>
      <c r="H27" s="33">
        <f>SUMIFS('Data - Season'!$F$5:$F$743,'Data - Season'!$A$5:$A$743,$A27,'Data - Season'!$C$5:$C$743,$C27,'Data - Season'!$B$5:$B$743,"Qualifier")</f>
        <v/>
      </c>
      <c r="I27" s="45">
        <f>IFERROR($H27/$D27,"")</f>
        <v/>
      </c>
      <c r="J27" s="43">
        <f>IF($H27&gt;=$D27,"cleared","missed")</f>
        <v/>
      </c>
      <c r="K27" s="45">
        <f>IFERROR($H27/$E27-1,"")</f>
        <v/>
      </c>
      <c r="L27" s="2">
        <f>IF($D27&lt;=$E27,"at or below","above")</f>
        <v/>
      </c>
      <c r="M27" s="2">
        <f>IF(AND($E27&gt;0,ABS($D27/$E27-1)&lt;=0.01),"within 1%","")</f>
        <v/>
      </c>
    </row>
    <row r="28">
      <c r="A28" s="43" t="inlineStr">
        <is>
          <t>Chris Payton</t>
        </is>
      </c>
      <c r="B28" s="2" t="inlineStr">
        <is>
          <t>Mike Engel</t>
        </is>
      </c>
      <c r="C28" s="43" t="inlineStr">
        <is>
          <t>Constellation Brands</t>
        </is>
      </c>
      <c r="D28" s="53" t="n">
        <v>44931</v>
      </c>
      <c r="E28" s="33">
        <f>SUMIFS('Data - Season'!$E$5:$E$743,'Data - Season'!$A$5:$A$743,$A28,'Data - Season'!$C$5:$C$743,$C28,'Data - Season'!$B$5:$B$743,"Qualifier")</f>
        <v/>
      </c>
      <c r="F28" s="45">
        <f>IFERROR($D28/$E28-1,"")</f>
        <v/>
      </c>
      <c r="G28" s="54">
        <f>IF($D28&lt;$E28,"YES — below LY","no")</f>
        <v/>
      </c>
      <c r="H28" s="33">
        <f>SUMIFS('Data - Season'!$F$5:$F$743,'Data - Season'!$A$5:$A$743,$A28,'Data - Season'!$C$5:$C$743,$C28,'Data - Season'!$B$5:$B$743,"Qualifier")</f>
        <v/>
      </c>
      <c r="I28" s="45">
        <f>IFERROR($H28/$D28,"")</f>
        <v/>
      </c>
      <c r="J28" s="43">
        <f>IF($H28&gt;=$D28,"cleared","missed")</f>
        <v/>
      </c>
      <c r="K28" s="45">
        <f>IFERROR($H28/$E28-1,"")</f>
        <v/>
      </c>
      <c r="L28" s="2">
        <f>IF($D28&lt;=$E28,"at or below","above")</f>
        <v/>
      </c>
      <c r="M28" s="2">
        <f>IF(AND($E28&gt;0,ABS($D28/$E28-1)&lt;=0.01),"within 1%","")</f>
        <v/>
      </c>
    </row>
    <row r="29">
      <c r="A29" s="43" t="inlineStr">
        <is>
          <t>Chris Payton</t>
        </is>
      </c>
      <c r="B29" s="2" t="inlineStr">
        <is>
          <t>Mike Engel</t>
        </is>
      </c>
      <c r="C29" s="43" t="inlineStr">
        <is>
          <t>DG Yuengling Inc</t>
        </is>
      </c>
      <c r="D29" s="53" t="n">
        <v>1748</v>
      </c>
      <c r="E29" s="33">
        <f>SUMIFS('Data - Season'!$E$5:$E$743,'Data - Season'!$A$5:$A$743,$A29,'Data - Season'!$C$5:$C$743,$C29,'Data - Season'!$B$5:$B$743,"Qualifier")</f>
        <v/>
      </c>
      <c r="F29" s="45">
        <f>IFERROR($D29/$E29-1,"")</f>
        <v/>
      </c>
      <c r="G29" s="54">
        <f>IF($D29&lt;$E29,"YES — below LY","no")</f>
        <v/>
      </c>
      <c r="H29" s="33">
        <f>SUMIFS('Data - Season'!$F$5:$F$743,'Data - Season'!$A$5:$A$743,$A29,'Data - Season'!$C$5:$C$743,$C29,'Data - Season'!$B$5:$B$743,"Qualifier")</f>
        <v/>
      </c>
      <c r="I29" s="45">
        <f>IFERROR($H29/$D29,"")</f>
        <v/>
      </c>
      <c r="J29" s="43">
        <f>IF($H29&gt;=$D29,"cleared","missed")</f>
        <v/>
      </c>
      <c r="K29" s="45">
        <f>IFERROR($H29/$E29-1,"")</f>
        <v/>
      </c>
      <c r="L29" s="2">
        <f>IF($D29&lt;=$E29,"at or below","above")</f>
        <v/>
      </c>
      <c r="M29" s="2">
        <f>IF(AND($E29&gt;0,ABS($D29/$E29-1)&lt;=0.01),"within 1%","")</f>
        <v/>
      </c>
    </row>
    <row r="30">
      <c r="A30" s="43" t="inlineStr">
        <is>
          <t>Chris Payton</t>
        </is>
      </c>
      <c r="B30" s="2" t="inlineStr">
        <is>
          <t>Mike Engel</t>
        </is>
      </c>
      <c r="C30" s="43" t="inlineStr">
        <is>
          <t>Heineken USA</t>
        </is>
      </c>
      <c r="D30" s="53" t="n">
        <v>8733</v>
      </c>
      <c r="E30" s="33">
        <f>SUMIFS('Data - Season'!$E$5:$E$743,'Data - Season'!$A$5:$A$743,$A30,'Data - Season'!$C$5:$C$743,$C30,'Data - Season'!$B$5:$B$743,"Qualifier")</f>
        <v/>
      </c>
      <c r="F30" s="45">
        <f>IFERROR($D30/$E30-1,"")</f>
        <v/>
      </c>
      <c r="G30" s="54">
        <f>IF($D30&lt;$E30,"YES — below LY","no")</f>
        <v/>
      </c>
      <c r="H30" s="33">
        <f>SUMIFS('Data - Season'!$F$5:$F$743,'Data - Season'!$A$5:$A$743,$A30,'Data - Season'!$C$5:$C$743,$C30,'Data - Season'!$B$5:$B$743,"Qualifier")</f>
        <v/>
      </c>
      <c r="I30" s="45">
        <f>IFERROR($H30/$D30,"")</f>
        <v/>
      </c>
      <c r="J30" s="43">
        <f>IF($H30&gt;=$D30,"cleared","missed")</f>
        <v/>
      </c>
      <c r="K30" s="45">
        <f>IFERROR($H30/$E30-1,"")</f>
        <v/>
      </c>
      <c r="L30" s="2">
        <f>IF($D30&lt;=$E30,"at or below","above")</f>
        <v/>
      </c>
      <c r="M30" s="2">
        <f>IF(AND($E30&gt;0,ABS($D30/$E30-1)&lt;=0.01),"within 1%","")</f>
        <v/>
      </c>
    </row>
    <row r="31">
      <c r="A31" s="43" t="inlineStr">
        <is>
          <t>Chris Payton</t>
        </is>
      </c>
      <c r="B31" s="2" t="inlineStr">
        <is>
          <t>Mike Engel</t>
        </is>
      </c>
      <c r="C31" s="43" t="inlineStr">
        <is>
          <t>Mark Anthony</t>
        </is>
      </c>
      <c r="D31" s="53" t="n">
        <v>4306</v>
      </c>
      <c r="E31" s="33">
        <f>SUMIFS('Data - Season'!$E$5:$E$743,'Data - Season'!$A$5:$A$743,$A31,'Data - Season'!$C$5:$C$743,$C31,'Data - Season'!$B$5:$B$743,"Qualifier")</f>
        <v/>
      </c>
      <c r="F31" s="45">
        <f>IFERROR($D31/$E31-1,"")</f>
        <v/>
      </c>
      <c r="G31" s="54">
        <f>IF($D31&lt;$E31,"YES — below LY","no")</f>
        <v/>
      </c>
      <c r="H31" s="33">
        <f>SUMIFS('Data - Season'!$F$5:$F$743,'Data - Season'!$A$5:$A$743,$A31,'Data - Season'!$C$5:$C$743,$C31,'Data - Season'!$B$5:$B$743,"Qualifier")</f>
        <v/>
      </c>
      <c r="I31" s="45">
        <f>IFERROR($H31/$D31,"")</f>
        <v/>
      </c>
      <c r="J31" s="43">
        <f>IF($H31&gt;=$D31,"cleared","missed")</f>
        <v/>
      </c>
      <c r="K31" s="45">
        <f>IFERROR($H31/$E31-1,"")</f>
        <v/>
      </c>
      <c r="L31" s="2">
        <f>IF($D31&lt;=$E31,"at or below","above")</f>
        <v/>
      </c>
      <c r="M31" s="2">
        <f>IF(AND($E31&gt;0,ABS($D31/$E31-1)&lt;=0.01),"within 1%","")</f>
        <v/>
      </c>
    </row>
    <row r="32">
      <c r="A32" s="43" t="inlineStr">
        <is>
          <t>Chris Payton</t>
        </is>
      </c>
      <c r="B32" s="2" t="inlineStr">
        <is>
          <t>Mike Engel</t>
        </is>
      </c>
      <c r="C32" s="43" t="inlineStr">
        <is>
          <t>MolsonCoors Beverage Company</t>
        </is>
      </c>
      <c r="D32" s="53" t="n">
        <v>18935</v>
      </c>
      <c r="E32" s="33">
        <f>SUMIFS('Data - Season'!$E$5:$E$743,'Data - Season'!$A$5:$A$743,$A32,'Data - Season'!$C$5:$C$743,$C32,'Data - Season'!$B$5:$B$743,"Qualifier")</f>
        <v/>
      </c>
      <c r="F32" s="45">
        <f>IFERROR($D32/$E32-1,"")</f>
        <v/>
      </c>
      <c r="G32" s="54">
        <f>IF($D32&lt;$E32,"YES — below LY","no")</f>
        <v/>
      </c>
      <c r="H32" s="33">
        <f>SUMIFS('Data - Season'!$F$5:$F$743,'Data - Season'!$A$5:$A$743,$A32,'Data - Season'!$C$5:$C$743,$C32,'Data - Season'!$B$5:$B$743,"Qualifier")</f>
        <v/>
      </c>
      <c r="I32" s="45">
        <f>IFERROR($H32/$D32,"")</f>
        <v/>
      </c>
      <c r="J32" s="43">
        <f>IF($H32&gt;=$D32,"cleared","missed")</f>
        <v/>
      </c>
      <c r="K32" s="45">
        <f>IFERROR($H32/$E32-1,"")</f>
        <v/>
      </c>
      <c r="L32" s="2">
        <f>IF($D32&lt;=$E32,"at or below","above")</f>
        <v/>
      </c>
      <c r="M32" s="2">
        <f>IF(AND($E32&gt;0,ABS($D32/$E32-1)&lt;=0.01),"within 1%","")</f>
        <v/>
      </c>
    </row>
    <row r="33">
      <c r="A33" s="43" t="inlineStr">
        <is>
          <t>Dan Lagala</t>
        </is>
      </c>
      <c r="B33" s="2" t="inlineStr">
        <is>
          <t>Mike Engel</t>
        </is>
      </c>
      <c r="C33" s="43" t="inlineStr">
        <is>
          <t>Boston Beer Company</t>
        </is>
      </c>
      <c r="D33" s="53" t="n">
        <v>825</v>
      </c>
      <c r="E33" s="33">
        <f>SUMIFS('Data - Season'!$E$5:$E$743,'Data - Season'!$A$5:$A$743,$A33,'Data - Season'!$C$5:$C$743,$C33,'Data - Season'!$B$5:$B$743,"Qualifier")</f>
        <v/>
      </c>
      <c r="F33" s="45">
        <f>IFERROR($D33/$E33-1,"")</f>
        <v/>
      </c>
      <c r="G33" s="54">
        <f>IF($D33&lt;$E33,"YES — below LY","no")</f>
        <v/>
      </c>
      <c r="H33" s="33">
        <f>SUMIFS('Data - Season'!$F$5:$F$743,'Data - Season'!$A$5:$A$743,$A33,'Data - Season'!$C$5:$C$743,$C33,'Data - Season'!$B$5:$B$743,"Qualifier")</f>
        <v/>
      </c>
      <c r="I33" s="45">
        <f>IFERROR($H33/$D33,"")</f>
        <v/>
      </c>
      <c r="J33" s="43">
        <f>IF($H33&gt;=$D33,"cleared","missed")</f>
        <v/>
      </c>
      <c r="K33" s="45">
        <f>IFERROR($H33/$E33-1,"")</f>
        <v/>
      </c>
      <c r="L33" s="2">
        <f>IF($D33&lt;=$E33,"at or below","above")</f>
        <v/>
      </c>
      <c r="M33" s="2">
        <f>IF(AND($E33&gt;0,ABS($D33/$E33-1)&lt;=0.01),"within 1%","")</f>
        <v/>
      </c>
    </row>
    <row r="34">
      <c r="A34" s="43" t="inlineStr">
        <is>
          <t>Dan Lagala</t>
        </is>
      </c>
      <c r="B34" s="2" t="inlineStr">
        <is>
          <t>Mike Engel</t>
        </is>
      </c>
      <c r="C34" s="43" t="inlineStr">
        <is>
          <t>Constellation Brands</t>
        </is>
      </c>
      <c r="D34" s="53" t="n">
        <v>46527</v>
      </c>
      <c r="E34" s="33">
        <f>SUMIFS('Data - Season'!$E$5:$E$743,'Data - Season'!$A$5:$A$743,$A34,'Data - Season'!$C$5:$C$743,$C34,'Data - Season'!$B$5:$B$743,"Qualifier")</f>
        <v/>
      </c>
      <c r="F34" s="45">
        <f>IFERROR($D34/$E34-1,"")</f>
        <v/>
      </c>
      <c r="G34" s="54">
        <f>IF($D34&lt;$E34,"YES — below LY","no")</f>
        <v/>
      </c>
      <c r="H34" s="33">
        <f>SUMIFS('Data - Season'!$F$5:$F$743,'Data - Season'!$A$5:$A$743,$A34,'Data - Season'!$C$5:$C$743,$C34,'Data - Season'!$B$5:$B$743,"Qualifier")</f>
        <v/>
      </c>
      <c r="I34" s="45">
        <f>IFERROR($H34/$D34,"")</f>
        <v/>
      </c>
      <c r="J34" s="43">
        <f>IF($H34&gt;=$D34,"cleared","missed")</f>
        <v/>
      </c>
      <c r="K34" s="45">
        <f>IFERROR($H34/$E34-1,"")</f>
        <v/>
      </c>
      <c r="L34" s="2">
        <f>IF($D34&lt;=$E34,"at or below","above")</f>
        <v/>
      </c>
      <c r="M34" s="2">
        <f>IF(AND($E34&gt;0,ABS($D34/$E34-1)&lt;=0.01),"within 1%","")</f>
        <v/>
      </c>
    </row>
    <row r="35">
      <c r="A35" s="43" t="inlineStr">
        <is>
          <t>Dan Lagala</t>
        </is>
      </c>
      <c r="B35" s="2" t="inlineStr">
        <is>
          <t>Mike Engel</t>
        </is>
      </c>
      <c r="C35" s="43" t="inlineStr">
        <is>
          <t>DG Yuengling Inc</t>
        </is>
      </c>
      <c r="D35" s="53" t="n">
        <v>1196</v>
      </c>
      <c r="E35" s="33">
        <f>SUMIFS('Data - Season'!$E$5:$E$743,'Data - Season'!$A$5:$A$743,$A35,'Data - Season'!$C$5:$C$743,$C35,'Data - Season'!$B$5:$B$743,"Qualifier")</f>
        <v/>
      </c>
      <c r="F35" s="45">
        <f>IFERROR($D35/$E35-1,"")</f>
        <v/>
      </c>
      <c r="G35" s="54">
        <f>IF($D35&lt;$E35,"YES — below LY","no")</f>
        <v/>
      </c>
      <c r="H35" s="33">
        <f>SUMIFS('Data - Season'!$F$5:$F$743,'Data - Season'!$A$5:$A$743,$A35,'Data - Season'!$C$5:$C$743,$C35,'Data - Season'!$B$5:$B$743,"Qualifier")</f>
        <v/>
      </c>
      <c r="I35" s="45">
        <f>IFERROR($H35/$D35,"")</f>
        <v/>
      </c>
      <c r="J35" s="43">
        <f>IF($H35&gt;=$D35,"cleared","missed")</f>
        <v/>
      </c>
      <c r="K35" s="45">
        <f>IFERROR($H35/$E35-1,"")</f>
        <v/>
      </c>
      <c r="L35" s="2">
        <f>IF($D35&lt;=$E35,"at or below","above")</f>
        <v/>
      </c>
      <c r="M35" s="2">
        <f>IF(AND($E35&gt;0,ABS($D35/$E35-1)&lt;=0.01),"within 1%","")</f>
        <v/>
      </c>
    </row>
    <row r="36">
      <c r="A36" s="43" t="inlineStr">
        <is>
          <t>Dan Lagala</t>
        </is>
      </c>
      <c r="B36" s="2" t="inlineStr">
        <is>
          <t>Mike Engel</t>
        </is>
      </c>
      <c r="C36" s="43" t="inlineStr">
        <is>
          <t>Heineken USA</t>
        </is>
      </c>
      <c r="D36" s="53" t="n">
        <v>10378</v>
      </c>
      <c r="E36" s="33">
        <f>SUMIFS('Data - Season'!$E$5:$E$743,'Data - Season'!$A$5:$A$743,$A36,'Data - Season'!$C$5:$C$743,$C36,'Data - Season'!$B$5:$B$743,"Qualifier")</f>
        <v/>
      </c>
      <c r="F36" s="45">
        <f>IFERROR($D36/$E36-1,"")</f>
        <v/>
      </c>
      <c r="G36" s="54">
        <f>IF($D36&lt;$E36,"YES — below LY","no")</f>
        <v/>
      </c>
      <c r="H36" s="33">
        <f>SUMIFS('Data - Season'!$F$5:$F$743,'Data - Season'!$A$5:$A$743,$A36,'Data - Season'!$C$5:$C$743,$C36,'Data - Season'!$B$5:$B$743,"Qualifier")</f>
        <v/>
      </c>
      <c r="I36" s="45">
        <f>IFERROR($H36/$D36,"")</f>
        <v/>
      </c>
      <c r="J36" s="43">
        <f>IF($H36&gt;=$D36,"cleared","missed")</f>
        <v/>
      </c>
      <c r="K36" s="45">
        <f>IFERROR($H36/$E36-1,"")</f>
        <v/>
      </c>
      <c r="L36" s="2">
        <f>IF($D36&lt;=$E36,"at or below","above")</f>
        <v/>
      </c>
      <c r="M36" s="2">
        <f>IF(AND($E36&gt;0,ABS($D36/$E36-1)&lt;=0.01),"within 1%","")</f>
        <v/>
      </c>
    </row>
    <row r="37">
      <c r="A37" s="43" t="inlineStr">
        <is>
          <t>Dan Lagala</t>
        </is>
      </c>
      <c r="B37" s="2" t="inlineStr">
        <is>
          <t>Mike Engel</t>
        </is>
      </c>
      <c r="C37" s="43" t="inlineStr">
        <is>
          <t>Mark Anthony</t>
        </is>
      </c>
      <c r="D37" s="53" t="n">
        <v>2655</v>
      </c>
      <c r="E37" s="33">
        <f>SUMIFS('Data - Season'!$E$5:$E$743,'Data - Season'!$A$5:$A$743,$A37,'Data - Season'!$C$5:$C$743,$C37,'Data - Season'!$B$5:$B$743,"Qualifier")</f>
        <v/>
      </c>
      <c r="F37" s="45">
        <f>IFERROR($D37/$E37-1,"")</f>
        <v/>
      </c>
      <c r="G37" s="54">
        <f>IF($D37&lt;$E37,"YES — below LY","no")</f>
        <v/>
      </c>
      <c r="H37" s="33">
        <f>SUMIFS('Data - Season'!$F$5:$F$743,'Data - Season'!$A$5:$A$743,$A37,'Data - Season'!$C$5:$C$743,$C37,'Data - Season'!$B$5:$B$743,"Qualifier")</f>
        <v/>
      </c>
      <c r="I37" s="45">
        <f>IFERROR($H37/$D37,"")</f>
        <v/>
      </c>
      <c r="J37" s="43">
        <f>IF($H37&gt;=$D37,"cleared","missed")</f>
        <v/>
      </c>
      <c r="K37" s="45">
        <f>IFERROR($H37/$E37-1,"")</f>
        <v/>
      </c>
      <c r="L37" s="2">
        <f>IF($D37&lt;=$E37,"at or below","above")</f>
        <v/>
      </c>
      <c r="M37" s="2">
        <f>IF(AND($E37&gt;0,ABS($D37/$E37-1)&lt;=0.01),"within 1%","")</f>
        <v/>
      </c>
    </row>
    <row r="38">
      <c r="A38" s="43" t="inlineStr">
        <is>
          <t>Dan Lagala</t>
        </is>
      </c>
      <c r="B38" s="2" t="inlineStr">
        <is>
          <t>Mike Engel</t>
        </is>
      </c>
      <c r="C38" s="43" t="inlineStr">
        <is>
          <t>MolsonCoors Beverage Company</t>
        </is>
      </c>
      <c r="D38" s="53" t="n">
        <v>16335</v>
      </c>
      <c r="E38" s="33">
        <f>SUMIFS('Data - Season'!$E$5:$E$743,'Data - Season'!$A$5:$A$743,$A38,'Data - Season'!$C$5:$C$743,$C38,'Data - Season'!$B$5:$B$743,"Qualifier")</f>
        <v/>
      </c>
      <c r="F38" s="45">
        <f>IFERROR($D38/$E38-1,"")</f>
        <v/>
      </c>
      <c r="G38" s="54">
        <f>IF($D38&lt;$E38,"YES — below LY","no")</f>
        <v/>
      </c>
      <c r="H38" s="33">
        <f>SUMIFS('Data - Season'!$F$5:$F$743,'Data - Season'!$A$5:$A$743,$A38,'Data - Season'!$C$5:$C$743,$C38,'Data - Season'!$B$5:$B$743,"Qualifier")</f>
        <v/>
      </c>
      <c r="I38" s="45">
        <f>IFERROR($H38/$D38,"")</f>
        <v/>
      </c>
      <c r="J38" s="43">
        <f>IF($H38&gt;=$D38,"cleared","missed")</f>
        <v/>
      </c>
      <c r="K38" s="45">
        <f>IFERROR($H38/$E38-1,"")</f>
        <v/>
      </c>
      <c r="L38" s="2">
        <f>IF($D38&lt;=$E38,"at or below","above")</f>
        <v/>
      </c>
      <c r="M38" s="2">
        <f>IF(AND($E38&gt;0,ABS($D38/$E38-1)&lt;=0.01),"within 1%","")</f>
        <v/>
      </c>
    </row>
    <row r="39">
      <c r="A39" s="43" t="inlineStr">
        <is>
          <t>Dave Ehlers</t>
        </is>
      </c>
      <c r="B39" s="2" t="inlineStr">
        <is>
          <t>Mike Engel</t>
        </is>
      </c>
      <c r="C39" s="43" t="inlineStr">
        <is>
          <t>Boston Beer Company</t>
        </is>
      </c>
      <c r="D39" s="53" t="n">
        <v>3250</v>
      </c>
      <c r="E39" s="33">
        <f>SUMIFS('Data - Season'!$E$5:$E$743,'Data - Season'!$A$5:$A$743,$A39,'Data - Season'!$C$5:$C$743,$C39,'Data - Season'!$B$5:$B$743,"Qualifier")</f>
        <v/>
      </c>
      <c r="F39" s="45">
        <f>IFERROR($D39/$E39-1,"")</f>
        <v/>
      </c>
      <c r="G39" s="54">
        <f>IF($D39&lt;$E39,"YES — below LY","no")</f>
        <v/>
      </c>
      <c r="H39" s="33">
        <f>SUMIFS('Data - Season'!$F$5:$F$743,'Data - Season'!$A$5:$A$743,$A39,'Data - Season'!$C$5:$C$743,$C39,'Data - Season'!$B$5:$B$743,"Qualifier")</f>
        <v/>
      </c>
      <c r="I39" s="45">
        <f>IFERROR($H39/$D39,"")</f>
        <v/>
      </c>
      <c r="J39" s="43">
        <f>IF($H39&gt;=$D39,"cleared","missed")</f>
        <v/>
      </c>
      <c r="K39" s="45">
        <f>IFERROR($H39/$E39-1,"")</f>
        <v/>
      </c>
      <c r="L39" s="2">
        <f>IF($D39&lt;=$E39,"at or below","above")</f>
        <v/>
      </c>
      <c r="M39" s="2">
        <f>IF(AND($E39&gt;0,ABS($D39/$E39-1)&lt;=0.01),"within 1%","")</f>
        <v/>
      </c>
    </row>
    <row r="40">
      <c r="A40" s="43" t="inlineStr">
        <is>
          <t>Dave Ehlers</t>
        </is>
      </c>
      <c r="B40" s="2" t="inlineStr">
        <is>
          <t>Mike Engel</t>
        </is>
      </c>
      <c r="C40" s="43" t="inlineStr">
        <is>
          <t>Constellation Brands</t>
        </is>
      </c>
      <c r="D40" s="53" t="n">
        <v>57375</v>
      </c>
      <c r="E40" s="33">
        <f>SUMIFS('Data - Season'!$E$5:$E$743,'Data - Season'!$A$5:$A$743,$A40,'Data - Season'!$C$5:$C$743,$C40,'Data - Season'!$B$5:$B$743,"Qualifier")</f>
        <v/>
      </c>
      <c r="F40" s="45">
        <f>IFERROR($D40/$E40-1,"")</f>
        <v/>
      </c>
      <c r="G40" s="54">
        <f>IF($D40&lt;$E40,"YES — below LY","no")</f>
        <v/>
      </c>
      <c r="H40" s="33">
        <f>SUMIFS('Data - Season'!$F$5:$F$743,'Data - Season'!$A$5:$A$743,$A40,'Data - Season'!$C$5:$C$743,$C40,'Data - Season'!$B$5:$B$743,"Qualifier")</f>
        <v/>
      </c>
      <c r="I40" s="45">
        <f>IFERROR($H40/$D40,"")</f>
        <v/>
      </c>
      <c r="J40" s="43">
        <f>IF($H40&gt;=$D40,"cleared","missed")</f>
        <v/>
      </c>
      <c r="K40" s="45">
        <f>IFERROR($H40/$E40-1,"")</f>
        <v/>
      </c>
      <c r="L40" s="2">
        <f>IF($D40&lt;=$E40,"at or below","above")</f>
        <v/>
      </c>
      <c r="M40" s="2">
        <f>IF(AND($E40&gt;0,ABS($D40/$E40-1)&lt;=0.01),"within 1%","")</f>
        <v/>
      </c>
    </row>
    <row r="41">
      <c r="A41" s="43" t="inlineStr">
        <is>
          <t>Dave Ehlers</t>
        </is>
      </c>
      <c r="B41" s="2" t="inlineStr">
        <is>
          <t>Mike Engel</t>
        </is>
      </c>
      <c r="C41" s="43" t="inlineStr">
        <is>
          <t>DG Yuengling Inc</t>
        </is>
      </c>
      <c r="D41" s="53" t="n">
        <v>2363</v>
      </c>
      <c r="E41" s="33">
        <f>SUMIFS('Data - Season'!$E$5:$E$743,'Data - Season'!$A$5:$A$743,$A41,'Data - Season'!$C$5:$C$743,$C41,'Data - Season'!$B$5:$B$743,"Qualifier")</f>
        <v/>
      </c>
      <c r="F41" s="45">
        <f>IFERROR($D41/$E41-1,"")</f>
        <v/>
      </c>
      <c r="G41" s="54">
        <f>IF($D41&lt;$E41,"YES — below LY","no")</f>
        <v/>
      </c>
      <c r="H41" s="33">
        <f>SUMIFS('Data - Season'!$F$5:$F$743,'Data - Season'!$A$5:$A$743,$A41,'Data - Season'!$C$5:$C$743,$C41,'Data - Season'!$B$5:$B$743,"Qualifier")</f>
        <v/>
      </c>
      <c r="I41" s="45">
        <f>IFERROR($H41/$D41,"")</f>
        <v/>
      </c>
      <c r="J41" s="43">
        <f>IF($H41&gt;=$D41,"cleared","missed")</f>
        <v/>
      </c>
      <c r="K41" s="45">
        <f>IFERROR($H41/$E41-1,"")</f>
        <v/>
      </c>
      <c r="L41" s="2">
        <f>IF($D41&lt;=$E41,"at or below","above")</f>
        <v/>
      </c>
      <c r="M41" s="2">
        <f>IF(AND($E41&gt;0,ABS($D41/$E41-1)&lt;=0.01),"within 1%","")</f>
        <v/>
      </c>
    </row>
    <row r="42">
      <c r="A42" s="43" t="inlineStr">
        <is>
          <t>Dave Ehlers</t>
        </is>
      </c>
      <c r="B42" s="2" t="inlineStr">
        <is>
          <t>Mike Engel</t>
        </is>
      </c>
      <c r="C42" s="43" t="inlineStr">
        <is>
          <t>Heineken USA</t>
        </is>
      </c>
      <c r="D42" s="53" t="n">
        <v>11641</v>
      </c>
      <c r="E42" s="33">
        <f>SUMIFS('Data - Season'!$E$5:$E$743,'Data - Season'!$A$5:$A$743,$A42,'Data - Season'!$C$5:$C$743,$C42,'Data - Season'!$B$5:$B$743,"Qualifier")</f>
        <v/>
      </c>
      <c r="F42" s="45">
        <f>IFERROR($D42/$E42-1,"")</f>
        <v/>
      </c>
      <c r="G42" s="54">
        <f>IF($D42&lt;$E42,"YES — below LY","no")</f>
        <v/>
      </c>
      <c r="H42" s="33">
        <f>SUMIFS('Data - Season'!$F$5:$F$743,'Data - Season'!$A$5:$A$743,$A42,'Data - Season'!$C$5:$C$743,$C42,'Data - Season'!$B$5:$B$743,"Qualifier")</f>
        <v/>
      </c>
      <c r="I42" s="45">
        <f>IFERROR($H42/$D42,"")</f>
        <v/>
      </c>
      <c r="J42" s="43">
        <f>IF($H42&gt;=$D42,"cleared","missed")</f>
        <v/>
      </c>
      <c r="K42" s="45">
        <f>IFERROR($H42/$E42-1,"")</f>
        <v/>
      </c>
      <c r="L42" s="2">
        <f>IF($D42&lt;=$E42,"at or below","above")</f>
        <v/>
      </c>
      <c r="M42" s="2">
        <f>IF(AND($E42&gt;0,ABS($D42/$E42-1)&lt;=0.01),"within 1%","")</f>
        <v/>
      </c>
    </row>
    <row r="43">
      <c r="A43" s="43" t="inlineStr">
        <is>
          <t>Dave Ehlers</t>
        </is>
      </c>
      <c r="B43" s="2" t="inlineStr">
        <is>
          <t>Mike Engel</t>
        </is>
      </c>
      <c r="C43" s="43" t="inlineStr">
        <is>
          <t>Mark Anthony</t>
        </is>
      </c>
      <c r="D43" s="53" t="n">
        <v>5755</v>
      </c>
      <c r="E43" s="33">
        <f>SUMIFS('Data - Season'!$E$5:$E$743,'Data - Season'!$A$5:$A$743,$A43,'Data - Season'!$C$5:$C$743,$C43,'Data - Season'!$B$5:$B$743,"Qualifier")</f>
        <v/>
      </c>
      <c r="F43" s="45">
        <f>IFERROR($D43/$E43-1,"")</f>
        <v/>
      </c>
      <c r="G43" s="54">
        <f>IF($D43&lt;$E43,"YES — below LY","no")</f>
        <v/>
      </c>
      <c r="H43" s="33">
        <f>SUMIFS('Data - Season'!$F$5:$F$743,'Data - Season'!$A$5:$A$743,$A43,'Data - Season'!$C$5:$C$743,$C43,'Data - Season'!$B$5:$B$743,"Qualifier")</f>
        <v/>
      </c>
      <c r="I43" s="45">
        <f>IFERROR($H43/$D43,"")</f>
        <v/>
      </c>
      <c r="J43" s="43">
        <f>IF($H43&gt;=$D43,"cleared","missed")</f>
        <v/>
      </c>
      <c r="K43" s="45">
        <f>IFERROR($H43/$E43-1,"")</f>
        <v/>
      </c>
      <c r="L43" s="2">
        <f>IF($D43&lt;=$E43,"at or below","above")</f>
        <v/>
      </c>
      <c r="M43" s="2">
        <f>IF(AND($E43&gt;0,ABS($D43/$E43-1)&lt;=0.01),"within 1%","")</f>
        <v/>
      </c>
    </row>
    <row r="44">
      <c r="A44" s="43" t="inlineStr">
        <is>
          <t>Dave Ehlers</t>
        </is>
      </c>
      <c r="B44" s="2" t="inlineStr">
        <is>
          <t>Mike Engel</t>
        </is>
      </c>
      <c r="C44" s="43" t="inlineStr">
        <is>
          <t>MolsonCoors Beverage Company</t>
        </is>
      </c>
      <c r="D44" s="53" t="n">
        <v>22919</v>
      </c>
      <c r="E44" s="33">
        <f>SUMIFS('Data - Season'!$E$5:$E$743,'Data - Season'!$A$5:$A$743,$A44,'Data - Season'!$C$5:$C$743,$C44,'Data - Season'!$B$5:$B$743,"Qualifier")</f>
        <v/>
      </c>
      <c r="F44" s="45">
        <f>IFERROR($D44/$E44-1,"")</f>
        <v/>
      </c>
      <c r="G44" s="54">
        <f>IF($D44&lt;$E44,"YES — below LY","no")</f>
        <v/>
      </c>
      <c r="H44" s="33">
        <f>SUMIFS('Data - Season'!$F$5:$F$743,'Data - Season'!$A$5:$A$743,$A44,'Data - Season'!$C$5:$C$743,$C44,'Data - Season'!$B$5:$B$743,"Qualifier")</f>
        <v/>
      </c>
      <c r="I44" s="45">
        <f>IFERROR($H44/$D44,"")</f>
        <v/>
      </c>
      <c r="J44" s="43">
        <f>IF($H44&gt;=$D44,"cleared","missed")</f>
        <v/>
      </c>
      <c r="K44" s="45">
        <f>IFERROR($H44/$E44-1,"")</f>
        <v/>
      </c>
      <c r="L44" s="2">
        <f>IF($D44&lt;=$E44,"at or below","above")</f>
        <v/>
      </c>
      <c r="M44" s="2">
        <f>IF(AND($E44&gt;0,ABS($D44/$E44-1)&lt;=0.01),"within 1%","")</f>
        <v/>
      </c>
    </row>
    <row r="45">
      <c r="A45" s="43" t="inlineStr">
        <is>
          <t>Derrick Laws</t>
        </is>
      </c>
      <c r="B45" s="2" t="inlineStr">
        <is>
          <t>Denise Montes</t>
        </is>
      </c>
      <c r="C45" s="43" t="inlineStr">
        <is>
          <t>Boston Beer Company</t>
        </is>
      </c>
      <c r="D45" s="53" t="n">
        <v>875</v>
      </c>
      <c r="E45" s="33">
        <f>SUMIFS('Data - Season'!$E$5:$E$743,'Data - Season'!$A$5:$A$743,$A45,'Data - Season'!$C$5:$C$743,$C45,'Data - Season'!$B$5:$B$743,"Qualifier")</f>
        <v/>
      </c>
      <c r="F45" s="45">
        <f>IFERROR($D45/$E45-1,"")</f>
        <v/>
      </c>
      <c r="G45" s="54">
        <f>IF($D45&lt;$E45,"YES — below LY","no")</f>
        <v/>
      </c>
      <c r="H45" s="33">
        <f>SUMIFS('Data - Season'!$F$5:$F$743,'Data - Season'!$A$5:$A$743,$A45,'Data - Season'!$C$5:$C$743,$C45,'Data - Season'!$B$5:$B$743,"Qualifier")</f>
        <v/>
      </c>
      <c r="I45" s="45">
        <f>IFERROR($H45/$D45,"")</f>
        <v/>
      </c>
      <c r="J45" s="43">
        <f>IF($H45&gt;=$D45,"cleared","missed")</f>
        <v/>
      </c>
      <c r="K45" s="45">
        <f>IFERROR($H45/$E45-1,"")</f>
        <v/>
      </c>
      <c r="L45" s="2">
        <f>IF($D45&lt;=$E45,"at or below","above")</f>
        <v/>
      </c>
      <c r="M45" s="2">
        <f>IF(AND($E45&gt;0,ABS($D45/$E45-1)&lt;=0.01),"within 1%","")</f>
        <v/>
      </c>
    </row>
    <row r="46">
      <c r="A46" s="43" t="inlineStr">
        <is>
          <t>Derrick Laws</t>
        </is>
      </c>
      <c r="B46" s="2" t="inlineStr">
        <is>
          <t>Denise Montes</t>
        </is>
      </c>
      <c r="C46" s="43" t="inlineStr">
        <is>
          <t>Constellation Brands</t>
        </is>
      </c>
      <c r="D46" s="53" t="n">
        <v>69253</v>
      </c>
      <c r="E46" s="33">
        <f>SUMIFS('Data - Season'!$E$5:$E$743,'Data - Season'!$A$5:$A$743,$A46,'Data - Season'!$C$5:$C$743,$C46,'Data - Season'!$B$5:$B$743,"Qualifier")</f>
        <v/>
      </c>
      <c r="F46" s="45">
        <f>IFERROR($D46/$E46-1,"")</f>
        <v/>
      </c>
      <c r="G46" s="54">
        <f>IF($D46&lt;$E46,"YES — below LY","no")</f>
        <v/>
      </c>
      <c r="H46" s="33">
        <f>SUMIFS('Data - Season'!$F$5:$F$743,'Data - Season'!$A$5:$A$743,$A46,'Data - Season'!$C$5:$C$743,$C46,'Data - Season'!$B$5:$B$743,"Qualifier")</f>
        <v/>
      </c>
      <c r="I46" s="45">
        <f>IFERROR($H46/$D46,"")</f>
        <v/>
      </c>
      <c r="J46" s="43">
        <f>IF($H46&gt;=$D46,"cleared","missed")</f>
        <v/>
      </c>
      <c r="K46" s="45">
        <f>IFERROR($H46/$E46-1,"")</f>
        <v/>
      </c>
      <c r="L46" s="2">
        <f>IF($D46&lt;=$E46,"at or below","above")</f>
        <v/>
      </c>
      <c r="M46" s="2">
        <f>IF(AND($E46&gt;0,ABS($D46/$E46-1)&lt;=0.01),"within 1%","")</f>
        <v/>
      </c>
    </row>
    <row r="47">
      <c r="A47" s="43" t="inlineStr">
        <is>
          <t>Derrick Laws</t>
        </is>
      </c>
      <c r="B47" s="2" t="inlineStr">
        <is>
          <t>Denise Montes</t>
        </is>
      </c>
      <c r="C47" s="43" t="inlineStr">
        <is>
          <t>DG Yuengling Inc</t>
        </is>
      </c>
      <c r="D47" s="53" t="n">
        <v>645</v>
      </c>
      <c r="E47" s="33">
        <f>SUMIFS('Data - Season'!$E$5:$E$743,'Data - Season'!$A$5:$A$743,$A47,'Data - Season'!$C$5:$C$743,$C47,'Data - Season'!$B$5:$B$743,"Qualifier")</f>
        <v/>
      </c>
      <c r="F47" s="45">
        <f>IFERROR($D47/$E47-1,"")</f>
        <v/>
      </c>
      <c r="G47" s="54">
        <f>IF($D47&lt;$E47,"YES — below LY","no")</f>
        <v/>
      </c>
      <c r="H47" s="33">
        <f>SUMIFS('Data - Season'!$F$5:$F$743,'Data - Season'!$A$5:$A$743,$A47,'Data - Season'!$C$5:$C$743,$C47,'Data - Season'!$B$5:$B$743,"Qualifier")</f>
        <v/>
      </c>
      <c r="I47" s="45">
        <f>IFERROR($H47/$D47,"")</f>
        <v/>
      </c>
      <c r="J47" s="43">
        <f>IF($H47&gt;=$D47,"cleared","missed")</f>
        <v/>
      </c>
      <c r="K47" s="45">
        <f>IFERROR($H47/$E47-1,"")</f>
        <v/>
      </c>
      <c r="L47" s="2">
        <f>IF($D47&lt;=$E47,"at or below","above")</f>
        <v/>
      </c>
      <c r="M47" s="2">
        <f>IF(AND($E47&gt;0,ABS($D47/$E47-1)&lt;=0.01),"within 1%","")</f>
        <v/>
      </c>
    </row>
    <row r="48">
      <c r="A48" s="43" t="inlineStr">
        <is>
          <t>Derrick Laws</t>
        </is>
      </c>
      <c r="B48" s="2" t="inlineStr">
        <is>
          <t>Denise Montes</t>
        </is>
      </c>
      <c r="C48" s="43" t="inlineStr">
        <is>
          <t>Heineken USA</t>
        </is>
      </c>
      <c r="D48" s="53" t="n">
        <v>12364</v>
      </c>
      <c r="E48" s="33">
        <f>SUMIFS('Data - Season'!$E$5:$E$743,'Data - Season'!$A$5:$A$743,$A48,'Data - Season'!$C$5:$C$743,$C48,'Data - Season'!$B$5:$B$743,"Qualifier")</f>
        <v/>
      </c>
      <c r="F48" s="45">
        <f>IFERROR($D48/$E48-1,"")</f>
        <v/>
      </c>
      <c r="G48" s="54">
        <f>IF($D48&lt;$E48,"YES — below LY","no")</f>
        <v/>
      </c>
      <c r="H48" s="33">
        <f>SUMIFS('Data - Season'!$F$5:$F$743,'Data - Season'!$A$5:$A$743,$A48,'Data - Season'!$C$5:$C$743,$C48,'Data - Season'!$B$5:$B$743,"Qualifier")</f>
        <v/>
      </c>
      <c r="I48" s="45">
        <f>IFERROR($H48/$D48,"")</f>
        <v/>
      </c>
      <c r="J48" s="43">
        <f>IF($H48&gt;=$D48,"cleared","missed")</f>
        <v/>
      </c>
      <c r="K48" s="45">
        <f>IFERROR($H48/$E48-1,"")</f>
        <v/>
      </c>
      <c r="L48" s="2">
        <f>IF($D48&lt;=$E48,"at or below","above")</f>
        <v/>
      </c>
      <c r="M48" s="2">
        <f>IF(AND($E48&gt;0,ABS($D48/$E48-1)&lt;=0.01),"within 1%","")</f>
        <v/>
      </c>
    </row>
    <row r="49">
      <c r="A49" s="43" t="inlineStr">
        <is>
          <t>Derrick Laws</t>
        </is>
      </c>
      <c r="B49" s="2" t="inlineStr">
        <is>
          <t>Denise Montes</t>
        </is>
      </c>
      <c r="C49" s="43" t="inlineStr">
        <is>
          <t>Mark Anthony</t>
        </is>
      </c>
      <c r="D49" s="53" t="n">
        <v>1621</v>
      </c>
      <c r="E49" s="33">
        <f>SUMIFS('Data - Season'!$E$5:$E$743,'Data - Season'!$A$5:$A$743,$A49,'Data - Season'!$C$5:$C$743,$C49,'Data - Season'!$B$5:$B$743,"Qualifier")</f>
        <v/>
      </c>
      <c r="F49" s="45">
        <f>IFERROR($D49/$E49-1,"")</f>
        <v/>
      </c>
      <c r="G49" s="54">
        <f>IF($D49&lt;$E49,"YES — below LY","no")</f>
        <v/>
      </c>
      <c r="H49" s="33">
        <f>SUMIFS('Data - Season'!$F$5:$F$743,'Data - Season'!$A$5:$A$743,$A49,'Data - Season'!$C$5:$C$743,$C49,'Data - Season'!$B$5:$B$743,"Qualifier")</f>
        <v/>
      </c>
      <c r="I49" s="45">
        <f>IFERROR($H49/$D49,"")</f>
        <v/>
      </c>
      <c r="J49" s="43">
        <f>IF($H49&gt;=$D49,"cleared","missed")</f>
        <v/>
      </c>
      <c r="K49" s="45">
        <f>IFERROR($H49/$E49-1,"")</f>
        <v/>
      </c>
      <c r="L49" s="2">
        <f>IF($D49&lt;=$E49,"at or below","above")</f>
        <v/>
      </c>
      <c r="M49" s="2">
        <f>IF(AND($E49&gt;0,ABS($D49/$E49-1)&lt;=0.01),"within 1%","")</f>
        <v/>
      </c>
    </row>
    <row r="50">
      <c r="A50" s="43" t="inlineStr">
        <is>
          <t>Derrick Laws</t>
        </is>
      </c>
      <c r="B50" s="2" t="inlineStr">
        <is>
          <t>Denise Montes</t>
        </is>
      </c>
      <c r="C50" s="43" t="inlineStr">
        <is>
          <t>MolsonCoors Beverage Company</t>
        </is>
      </c>
      <c r="D50" s="53" t="n">
        <v>19010</v>
      </c>
      <c r="E50" s="33">
        <f>SUMIFS('Data - Season'!$E$5:$E$743,'Data - Season'!$A$5:$A$743,$A50,'Data - Season'!$C$5:$C$743,$C50,'Data - Season'!$B$5:$B$743,"Qualifier")</f>
        <v/>
      </c>
      <c r="F50" s="45">
        <f>IFERROR($D50/$E50-1,"")</f>
        <v/>
      </c>
      <c r="G50" s="54">
        <f>IF($D50&lt;$E50,"YES — below LY","no")</f>
        <v/>
      </c>
      <c r="H50" s="33">
        <f>SUMIFS('Data - Season'!$F$5:$F$743,'Data - Season'!$A$5:$A$743,$A50,'Data - Season'!$C$5:$C$743,$C50,'Data - Season'!$B$5:$B$743,"Qualifier")</f>
        <v/>
      </c>
      <c r="I50" s="45">
        <f>IFERROR($H50/$D50,"")</f>
        <v/>
      </c>
      <c r="J50" s="43">
        <f>IF($H50&gt;=$D50,"cleared","missed")</f>
        <v/>
      </c>
      <c r="K50" s="45">
        <f>IFERROR($H50/$E50-1,"")</f>
        <v/>
      </c>
      <c r="L50" s="2">
        <f>IF($D50&lt;=$E50,"at or below","above")</f>
        <v/>
      </c>
      <c r="M50" s="2">
        <f>IF(AND($E50&gt;0,ABS($D50/$E50-1)&lt;=0.01),"within 1%","")</f>
        <v/>
      </c>
    </row>
    <row r="51">
      <c r="A51" s="43" t="inlineStr">
        <is>
          <t>Dylan Rubino</t>
        </is>
      </c>
      <c r="B51" s="2" t="inlineStr">
        <is>
          <t>Mike Kennedy</t>
        </is>
      </c>
      <c r="C51" s="43" t="inlineStr">
        <is>
          <t>Boston Beer Company</t>
        </is>
      </c>
      <c r="D51" s="53" t="n">
        <v>30</v>
      </c>
      <c r="E51" s="33">
        <f>SUMIFS('Data - Season'!$E$5:$E$743,'Data - Season'!$A$5:$A$743,$A51,'Data - Season'!$C$5:$C$743,$C51,'Data - Season'!$B$5:$B$743,"Qualifier")</f>
        <v/>
      </c>
      <c r="F51" s="45">
        <f>IFERROR($D51/$E51-1,"")</f>
        <v/>
      </c>
      <c r="G51" s="43">
        <f>IF($D51&lt;$E51,"YES — below LY","no")</f>
        <v/>
      </c>
      <c r="H51" s="33">
        <f>SUMIFS('Data - Season'!$F$5:$F$743,'Data - Season'!$A$5:$A$743,$A51,'Data - Season'!$C$5:$C$743,$C51,'Data - Season'!$B$5:$B$743,"Qualifier")</f>
        <v/>
      </c>
      <c r="I51" s="45">
        <f>IFERROR($H51/$D51,"")</f>
        <v/>
      </c>
      <c r="J51" s="43">
        <f>IF($H51&gt;=$D51,"cleared","missed")</f>
        <v/>
      </c>
      <c r="K51" s="45">
        <f>IFERROR($H51/$E51-1,"")</f>
        <v/>
      </c>
      <c r="L51" s="2">
        <f>IF($D51&lt;=$E51,"at or below","above")</f>
        <v/>
      </c>
      <c r="M51" s="2">
        <f>IF(AND($E51&gt;0,ABS($D51/$E51-1)&lt;=0.01),"within 1%","")</f>
        <v/>
      </c>
    </row>
    <row r="52">
      <c r="A52" s="43" t="inlineStr">
        <is>
          <t>Dylan Rubino</t>
        </is>
      </c>
      <c r="B52" s="2" t="inlineStr">
        <is>
          <t>Mike Kennedy</t>
        </is>
      </c>
      <c r="C52" s="43" t="inlineStr">
        <is>
          <t>Constellation Brands</t>
        </is>
      </c>
      <c r="D52" s="53" t="n">
        <v>227</v>
      </c>
      <c r="E52" s="33">
        <f>SUMIFS('Data - Season'!$E$5:$E$743,'Data - Season'!$A$5:$A$743,$A52,'Data - Season'!$C$5:$C$743,$C52,'Data - Season'!$B$5:$B$743,"Qualifier")</f>
        <v/>
      </c>
      <c r="F52" s="45">
        <f>IFERROR($D52/$E52-1,"")</f>
        <v/>
      </c>
      <c r="G52" s="54">
        <f>IF($D52&lt;$E52,"YES — below LY","no")</f>
        <v/>
      </c>
      <c r="H52" s="33">
        <f>SUMIFS('Data - Season'!$F$5:$F$743,'Data - Season'!$A$5:$A$743,$A52,'Data - Season'!$C$5:$C$743,$C52,'Data - Season'!$B$5:$B$743,"Qualifier")</f>
        <v/>
      </c>
      <c r="I52" s="45">
        <f>IFERROR($H52/$D52,"")</f>
        <v/>
      </c>
      <c r="J52" s="43">
        <f>IF($H52&gt;=$D52,"cleared","missed")</f>
        <v/>
      </c>
      <c r="K52" s="45">
        <f>IFERROR($H52/$E52-1,"")</f>
        <v/>
      </c>
      <c r="L52" s="2">
        <f>IF($D52&lt;=$E52,"at or below","above")</f>
        <v/>
      </c>
      <c r="M52" s="2">
        <f>IF(AND($E52&gt;0,ABS($D52/$E52-1)&lt;=0.01),"within 1%","")</f>
        <v/>
      </c>
    </row>
    <row r="53">
      <c r="A53" s="43" t="inlineStr">
        <is>
          <t>Dylan Rubino</t>
        </is>
      </c>
      <c r="B53" s="2" t="inlineStr">
        <is>
          <t>Mike Kennedy</t>
        </is>
      </c>
      <c r="C53" s="43" t="inlineStr">
        <is>
          <t>Mark Anthony</t>
        </is>
      </c>
      <c r="D53" s="53" t="n">
        <v>23</v>
      </c>
      <c r="E53" s="33">
        <f>SUMIFS('Data - Season'!$E$5:$E$743,'Data - Season'!$A$5:$A$743,$A53,'Data - Season'!$C$5:$C$743,$C53,'Data - Season'!$B$5:$B$743,"Qualifier")</f>
        <v/>
      </c>
      <c r="F53" s="45">
        <f>IFERROR($D53/$E53-1,"")</f>
        <v/>
      </c>
      <c r="G53" s="54">
        <f>IF($D53&lt;$E53,"YES — below LY","no")</f>
        <v/>
      </c>
      <c r="H53" s="33">
        <f>SUMIFS('Data - Season'!$F$5:$F$743,'Data - Season'!$A$5:$A$743,$A53,'Data - Season'!$C$5:$C$743,$C53,'Data - Season'!$B$5:$B$743,"Qualifier")</f>
        <v/>
      </c>
      <c r="I53" s="45">
        <f>IFERROR($H53/$D53,"")</f>
        <v/>
      </c>
      <c r="J53" s="43">
        <f>IF($H53&gt;=$D53,"cleared","missed")</f>
        <v/>
      </c>
      <c r="K53" s="45">
        <f>IFERROR($H53/$E53-1,"")</f>
        <v/>
      </c>
      <c r="L53" s="2">
        <f>IF($D53&lt;=$E53,"at or below","above")</f>
        <v/>
      </c>
      <c r="M53" s="2">
        <f>IF(AND($E53&gt;0,ABS($D53/$E53-1)&lt;=0.01),"within 1%","")</f>
        <v/>
      </c>
    </row>
    <row r="54">
      <c r="A54" s="43" t="inlineStr">
        <is>
          <t>Jaime Colonna</t>
        </is>
      </c>
      <c r="B54" s="2" t="inlineStr">
        <is>
          <t>Mike Kennedy</t>
        </is>
      </c>
      <c r="C54" s="43" t="inlineStr">
        <is>
          <t>Constellation Brands</t>
        </is>
      </c>
      <c r="D54" s="53" t="n">
        <v>433</v>
      </c>
      <c r="E54" s="33">
        <f>SUMIFS('Data - Season'!$E$5:$E$743,'Data - Season'!$A$5:$A$743,$A54,'Data - Season'!$C$5:$C$743,$C54,'Data - Season'!$B$5:$B$743,"Qualifier")</f>
        <v/>
      </c>
      <c r="F54" s="45">
        <f>IFERROR($D54/$E54-1,"")</f>
        <v/>
      </c>
      <c r="G54" s="54">
        <f>IF($D54&lt;$E54,"YES — below LY","no")</f>
        <v/>
      </c>
      <c r="H54" s="33">
        <f>SUMIFS('Data - Season'!$F$5:$F$743,'Data - Season'!$A$5:$A$743,$A54,'Data - Season'!$C$5:$C$743,$C54,'Data - Season'!$B$5:$B$743,"Qualifier")</f>
        <v/>
      </c>
      <c r="I54" s="45">
        <f>IFERROR($H54/$D54,"")</f>
        <v/>
      </c>
      <c r="J54" s="43">
        <f>IF($H54&gt;=$D54,"cleared","missed")</f>
        <v/>
      </c>
      <c r="K54" s="45">
        <f>IFERROR($H54/$E54-1,"")</f>
        <v/>
      </c>
      <c r="L54" s="2">
        <f>IF($D54&lt;=$E54,"at or below","above")</f>
        <v/>
      </c>
      <c r="M54" s="2">
        <f>IF(AND($E54&gt;0,ABS($D54/$E54-1)&lt;=0.01),"within 1%","")</f>
        <v/>
      </c>
    </row>
    <row r="55">
      <c r="A55" s="43" t="inlineStr">
        <is>
          <t>Jaime Colonna</t>
        </is>
      </c>
      <c r="B55" s="2" t="inlineStr">
        <is>
          <t>Mike Kennedy</t>
        </is>
      </c>
      <c r="C55" s="43" t="inlineStr">
        <is>
          <t>DG Yuengling Inc</t>
        </is>
      </c>
      <c r="D55" s="53" t="n">
        <v>63</v>
      </c>
      <c r="E55" s="33">
        <f>SUMIFS('Data - Season'!$E$5:$E$743,'Data - Season'!$A$5:$A$743,$A55,'Data - Season'!$C$5:$C$743,$C55,'Data - Season'!$B$5:$B$743,"Qualifier")</f>
        <v/>
      </c>
      <c r="F55" s="45">
        <f>IFERROR($D55/$E55-1,"")</f>
        <v/>
      </c>
      <c r="G55" s="54">
        <f>IF($D55&lt;$E55,"YES — below LY","no")</f>
        <v/>
      </c>
      <c r="H55" s="33">
        <f>SUMIFS('Data - Season'!$F$5:$F$743,'Data - Season'!$A$5:$A$743,$A55,'Data - Season'!$C$5:$C$743,$C55,'Data - Season'!$B$5:$B$743,"Qualifier")</f>
        <v/>
      </c>
      <c r="I55" s="45">
        <f>IFERROR($H55/$D55,"")</f>
        <v/>
      </c>
      <c r="J55" s="43">
        <f>IF($H55&gt;=$D55,"cleared","missed")</f>
        <v/>
      </c>
      <c r="K55" s="45">
        <f>IFERROR($H55/$E55-1,"")</f>
        <v/>
      </c>
      <c r="L55" s="2">
        <f>IF($D55&lt;=$E55,"at or below","above")</f>
        <v/>
      </c>
      <c r="M55" s="2">
        <f>IF(AND($E55&gt;0,ABS($D55/$E55-1)&lt;=0.01),"within 1%","")</f>
        <v/>
      </c>
    </row>
    <row r="56">
      <c r="A56" s="43" t="inlineStr">
        <is>
          <t>Jaime Colonna</t>
        </is>
      </c>
      <c r="B56" s="2" t="inlineStr">
        <is>
          <t>Mike Kennedy</t>
        </is>
      </c>
      <c r="C56" s="43" t="inlineStr">
        <is>
          <t>Heineken USA</t>
        </is>
      </c>
      <c r="D56" s="53" t="n">
        <v>109</v>
      </c>
      <c r="E56" s="33">
        <f>SUMIFS('Data - Season'!$E$5:$E$743,'Data - Season'!$A$5:$A$743,$A56,'Data - Season'!$C$5:$C$743,$C56,'Data - Season'!$B$5:$B$743,"Qualifier")</f>
        <v/>
      </c>
      <c r="F56" s="45">
        <f>IFERROR($D56/$E56-1,"")</f>
        <v/>
      </c>
      <c r="G56" s="54">
        <f>IF($D56&lt;$E56,"YES — below LY","no")</f>
        <v/>
      </c>
      <c r="H56" s="33">
        <f>SUMIFS('Data - Season'!$F$5:$F$743,'Data - Season'!$A$5:$A$743,$A56,'Data - Season'!$C$5:$C$743,$C56,'Data - Season'!$B$5:$B$743,"Qualifier")</f>
        <v/>
      </c>
      <c r="I56" s="45">
        <f>IFERROR($H56/$D56,"")</f>
        <v/>
      </c>
      <c r="J56" s="43">
        <f>IF($H56&gt;=$D56,"cleared","missed")</f>
        <v/>
      </c>
      <c r="K56" s="45">
        <f>IFERROR($H56/$E56-1,"")</f>
        <v/>
      </c>
      <c r="L56" s="2">
        <f>IF($D56&lt;=$E56,"at or below","above")</f>
        <v/>
      </c>
      <c r="M56" s="2">
        <f>IF(AND($E56&gt;0,ABS($D56/$E56-1)&lt;=0.01),"within 1%","")</f>
        <v/>
      </c>
    </row>
    <row r="57">
      <c r="A57" s="43" t="inlineStr">
        <is>
          <t>Jaime Colonna</t>
        </is>
      </c>
      <c r="B57" s="2" t="inlineStr">
        <is>
          <t>Mike Kennedy</t>
        </is>
      </c>
      <c r="C57" s="43" t="inlineStr">
        <is>
          <t>Mark Anthony</t>
        </is>
      </c>
      <c r="D57" s="53" t="n">
        <v>81</v>
      </c>
      <c r="E57" s="33">
        <f>SUMIFS('Data - Season'!$E$5:$E$743,'Data - Season'!$A$5:$A$743,$A57,'Data - Season'!$C$5:$C$743,$C57,'Data - Season'!$B$5:$B$743,"Qualifier")</f>
        <v/>
      </c>
      <c r="F57" s="45">
        <f>IFERROR($D57/$E57-1,"")</f>
        <v/>
      </c>
      <c r="G57" s="54">
        <f>IF($D57&lt;$E57,"YES — below LY","no")</f>
        <v/>
      </c>
      <c r="H57" s="33">
        <f>SUMIFS('Data - Season'!$F$5:$F$743,'Data - Season'!$A$5:$A$743,$A57,'Data - Season'!$C$5:$C$743,$C57,'Data - Season'!$B$5:$B$743,"Qualifier")</f>
        <v/>
      </c>
      <c r="I57" s="45">
        <f>IFERROR($H57/$D57,"")</f>
        <v/>
      </c>
      <c r="J57" s="43">
        <f>IF($H57&gt;=$D57,"cleared","missed")</f>
        <v/>
      </c>
      <c r="K57" s="45">
        <f>IFERROR($H57/$E57-1,"")</f>
        <v/>
      </c>
      <c r="L57" s="2">
        <f>IF($D57&lt;=$E57,"at or below","above")</f>
        <v/>
      </c>
      <c r="M57" s="2">
        <f>IF(AND($E57&gt;0,ABS($D57/$E57-1)&lt;=0.01),"within 1%","")</f>
        <v/>
      </c>
    </row>
    <row r="58">
      <c r="A58" s="43" t="inlineStr">
        <is>
          <t>Javier Melo</t>
        </is>
      </c>
      <c r="B58" s="2" t="inlineStr">
        <is>
          <t>Denise Montes</t>
        </is>
      </c>
      <c r="C58" s="43" t="inlineStr">
        <is>
          <t>Boston Beer Company</t>
        </is>
      </c>
      <c r="D58" s="53" t="n">
        <v>425</v>
      </c>
      <c r="E58" s="33">
        <f>SUMIFS('Data - Season'!$E$5:$E$743,'Data - Season'!$A$5:$A$743,$A58,'Data - Season'!$C$5:$C$743,$C58,'Data - Season'!$B$5:$B$743,"Qualifier")</f>
        <v/>
      </c>
      <c r="F58" s="45">
        <f>IFERROR($D58/$E58-1,"")</f>
        <v/>
      </c>
      <c r="G58" s="54">
        <f>IF($D58&lt;$E58,"YES — below LY","no")</f>
        <v/>
      </c>
      <c r="H58" s="33">
        <f>SUMIFS('Data - Season'!$F$5:$F$743,'Data - Season'!$A$5:$A$743,$A58,'Data - Season'!$C$5:$C$743,$C58,'Data - Season'!$B$5:$B$743,"Qualifier")</f>
        <v/>
      </c>
      <c r="I58" s="45">
        <f>IFERROR($H58/$D58,"")</f>
        <v/>
      </c>
      <c r="J58" s="43">
        <f>IF($H58&gt;=$D58,"cleared","missed")</f>
        <v/>
      </c>
      <c r="K58" s="45">
        <f>IFERROR($H58/$E58-1,"")</f>
        <v/>
      </c>
      <c r="L58" s="2">
        <f>IF($D58&lt;=$E58,"at or below","above")</f>
        <v/>
      </c>
      <c r="M58" s="2">
        <f>IF(AND($E58&gt;0,ABS($D58/$E58-1)&lt;=0.01),"within 1%","")</f>
        <v/>
      </c>
    </row>
    <row r="59">
      <c r="A59" s="43" t="inlineStr">
        <is>
          <t>Javier Melo</t>
        </is>
      </c>
      <c r="B59" s="2" t="inlineStr">
        <is>
          <t>Denise Montes</t>
        </is>
      </c>
      <c r="C59" s="43" t="inlineStr">
        <is>
          <t>Constellation Brands</t>
        </is>
      </c>
      <c r="D59" s="53" t="n">
        <v>71156</v>
      </c>
      <c r="E59" s="33">
        <f>SUMIFS('Data - Season'!$E$5:$E$743,'Data - Season'!$A$5:$A$743,$A59,'Data - Season'!$C$5:$C$743,$C59,'Data - Season'!$B$5:$B$743,"Qualifier")</f>
        <v/>
      </c>
      <c r="F59" s="45">
        <f>IFERROR($D59/$E59-1,"")</f>
        <v/>
      </c>
      <c r="G59" s="54">
        <f>IF($D59&lt;$E59,"YES — below LY","no")</f>
        <v/>
      </c>
      <c r="H59" s="33">
        <f>SUMIFS('Data - Season'!$F$5:$F$743,'Data - Season'!$A$5:$A$743,$A59,'Data - Season'!$C$5:$C$743,$C59,'Data - Season'!$B$5:$B$743,"Qualifier")</f>
        <v/>
      </c>
      <c r="I59" s="45">
        <f>IFERROR($H59/$D59,"")</f>
        <v/>
      </c>
      <c r="J59" s="43">
        <f>IF($H59&gt;=$D59,"cleared","missed")</f>
        <v/>
      </c>
      <c r="K59" s="45">
        <f>IFERROR($H59/$E59-1,"")</f>
        <v/>
      </c>
      <c r="L59" s="2">
        <f>IF($D59&lt;=$E59,"at or below","above")</f>
        <v/>
      </c>
      <c r="M59" s="2">
        <f>IF(AND($E59&gt;0,ABS($D59/$E59-1)&lt;=0.01),"within 1%","")</f>
        <v/>
      </c>
    </row>
    <row r="60">
      <c r="A60" s="43" t="inlineStr">
        <is>
          <t>Javier Melo</t>
        </is>
      </c>
      <c r="B60" s="2" t="inlineStr">
        <is>
          <t>Denise Montes</t>
        </is>
      </c>
      <c r="C60" s="43" t="inlineStr">
        <is>
          <t>DG Yuengling Inc</t>
        </is>
      </c>
      <c r="D60" s="53" t="n">
        <v>146</v>
      </c>
      <c r="E60" s="33">
        <f>SUMIFS('Data - Season'!$E$5:$E$743,'Data - Season'!$A$5:$A$743,$A60,'Data - Season'!$C$5:$C$743,$C60,'Data - Season'!$B$5:$B$743,"Qualifier")</f>
        <v/>
      </c>
      <c r="F60" s="45">
        <f>IFERROR($D60/$E60-1,"")</f>
        <v/>
      </c>
      <c r="G60" s="54">
        <f>IF($D60&lt;$E60,"YES — below LY","no")</f>
        <v/>
      </c>
      <c r="H60" s="33">
        <f>SUMIFS('Data - Season'!$F$5:$F$743,'Data - Season'!$A$5:$A$743,$A60,'Data - Season'!$C$5:$C$743,$C60,'Data - Season'!$B$5:$B$743,"Qualifier")</f>
        <v/>
      </c>
      <c r="I60" s="45">
        <f>IFERROR($H60/$D60,"")</f>
        <v/>
      </c>
      <c r="J60" s="43">
        <f>IF($H60&gt;=$D60,"cleared","missed")</f>
        <v/>
      </c>
      <c r="K60" s="45">
        <f>IFERROR($H60/$E60-1,"")</f>
        <v/>
      </c>
      <c r="L60" s="2">
        <f>IF($D60&lt;=$E60,"at or below","above")</f>
        <v/>
      </c>
      <c r="M60" s="2">
        <f>IF(AND($E60&gt;0,ABS($D60/$E60-1)&lt;=0.01),"within 1%","")</f>
        <v/>
      </c>
    </row>
    <row r="61">
      <c r="A61" s="43" t="inlineStr">
        <is>
          <t>Javier Melo</t>
        </is>
      </c>
      <c r="B61" s="2" t="inlineStr">
        <is>
          <t>Denise Montes</t>
        </is>
      </c>
      <c r="C61" s="43" t="inlineStr">
        <is>
          <t>Heineken USA</t>
        </is>
      </c>
      <c r="D61" s="53" t="n">
        <v>9939</v>
      </c>
      <c r="E61" s="33">
        <f>SUMIFS('Data - Season'!$E$5:$E$743,'Data - Season'!$A$5:$A$743,$A61,'Data - Season'!$C$5:$C$743,$C61,'Data - Season'!$B$5:$B$743,"Qualifier")</f>
        <v/>
      </c>
      <c r="F61" s="45">
        <f>IFERROR($D61/$E61-1,"")</f>
        <v/>
      </c>
      <c r="G61" s="54">
        <f>IF($D61&lt;$E61,"YES — below LY","no")</f>
        <v/>
      </c>
      <c r="H61" s="33">
        <f>SUMIFS('Data - Season'!$F$5:$F$743,'Data - Season'!$A$5:$A$743,$A61,'Data - Season'!$C$5:$C$743,$C61,'Data - Season'!$B$5:$B$743,"Qualifier")</f>
        <v/>
      </c>
      <c r="I61" s="45">
        <f>IFERROR($H61/$D61,"")</f>
        <v/>
      </c>
      <c r="J61" s="43">
        <f>IF($H61&gt;=$D61,"cleared","missed")</f>
        <v/>
      </c>
      <c r="K61" s="45">
        <f>IFERROR($H61/$E61-1,"")</f>
        <v/>
      </c>
      <c r="L61" s="2">
        <f>IF($D61&lt;=$E61,"at or below","above")</f>
        <v/>
      </c>
      <c r="M61" s="2">
        <f>IF(AND($E61&gt;0,ABS($D61/$E61-1)&lt;=0.01),"within 1%","")</f>
        <v/>
      </c>
    </row>
    <row r="62">
      <c r="A62" s="43" t="inlineStr">
        <is>
          <t>Javier Melo</t>
        </is>
      </c>
      <c r="B62" s="2" t="inlineStr">
        <is>
          <t>Denise Montes</t>
        </is>
      </c>
      <c r="C62" s="43" t="inlineStr">
        <is>
          <t>Mark Anthony</t>
        </is>
      </c>
      <c r="D62" s="53" t="n">
        <v>1005</v>
      </c>
      <c r="E62" s="33">
        <f>SUMIFS('Data - Season'!$E$5:$E$743,'Data - Season'!$A$5:$A$743,$A62,'Data - Season'!$C$5:$C$743,$C62,'Data - Season'!$B$5:$B$743,"Qualifier")</f>
        <v/>
      </c>
      <c r="F62" s="45">
        <f>IFERROR($D62/$E62-1,"")</f>
        <v/>
      </c>
      <c r="G62" s="54">
        <f>IF($D62&lt;$E62,"YES — below LY","no")</f>
        <v/>
      </c>
      <c r="H62" s="33">
        <f>SUMIFS('Data - Season'!$F$5:$F$743,'Data - Season'!$A$5:$A$743,$A62,'Data - Season'!$C$5:$C$743,$C62,'Data - Season'!$B$5:$B$743,"Qualifier")</f>
        <v/>
      </c>
      <c r="I62" s="45">
        <f>IFERROR($H62/$D62,"")</f>
        <v/>
      </c>
      <c r="J62" s="43">
        <f>IF($H62&gt;=$D62,"cleared","missed")</f>
        <v/>
      </c>
      <c r="K62" s="45">
        <f>IFERROR($H62/$E62-1,"")</f>
        <v/>
      </c>
      <c r="L62" s="2">
        <f>IF($D62&lt;=$E62,"at or below","above")</f>
        <v/>
      </c>
      <c r="M62" s="2">
        <f>IF(AND($E62&gt;0,ABS($D62/$E62-1)&lt;=0.01),"within 1%","")</f>
        <v/>
      </c>
    </row>
    <row r="63">
      <c r="A63" s="43" t="inlineStr">
        <is>
          <t>Javier Melo</t>
        </is>
      </c>
      <c r="B63" s="2" t="inlineStr">
        <is>
          <t>Denise Montes</t>
        </is>
      </c>
      <c r="C63" s="43" t="inlineStr">
        <is>
          <t>MolsonCoors Beverage Company</t>
        </is>
      </c>
      <c r="D63" s="53" t="n">
        <v>15551</v>
      </c>
      <c r="E63" s="33">
        <f>SUMIFS('Data - Season'!$E$5:$E$743,'Data - Season'!$A$5:$A$743,$A63,'Data - Season'!$C$5:$C$743,$C63,'Data - Season'!$B$5:$B$743,"Qualifier")</f>
        <v/>
      </c>
      <c r="F63" s="45">
        <f>IFERROR($D63/$E63-1,"")</f>
        <v/>
      </c>
      <c r="G63" s="54">
        <f>IF($D63&lt;$E63,"YES — below LY","no")</f>
        <v/>
      </c>
      <c r="H63" s="33">
        <f>SUMIFS('Data - Season'!$F$5:$F$743,'Data - Season'!$A$5:$A$743,$A63,'Data - Season'!$C$5:$C$743,$C63,'Data - Season'!$B$5:$B$743,"Qualifier")</f>
        <v/>
      </c>
      <c r="I63" s="45">
        <f>IFERROR($H63/$D63,"")</f>
        <v/>
      </c>
      <c r="J63" s="43">
        <f>IF($H63&gt;=$D63,"cleared","missed")</f>
        <v/>
      </c>
      <c r="K63" s="45">
        <f>IFERROR($H63/$E63-1,"")</f>
        <v/>
      </c>
      <c r="L63" s="2">
        <f>IF($D63&lt;=$E63,"at or below","above")</f>
        <v/>
      </c>
      <c r="M63" s="2">
        <f>IF(AND($E63&gt;0,ABS($D63/$E63-1)&lt;=0.01),"within 1%","")</f>
        <v/>
      </c>
    </row>
    <row r="64">
      <c r="A64" s="43" t="inlineStr">
        <is>
          <t>Jayson Romine</t>
        </is>
      </c>
      <c r="B64" s="2" t="inlineStr">
        <is>
          <t>Paul Deady</t>
        </is>
      </c>
      <c r="C64" s="43" t="inlineStr">
        <is>
          <t>Boston Beer Company</t>
        </is>
      </c>
      <c r="D64" s="53" t="n">
        <v>7200</v>
      </c>
      <c r="E64" s="33">
        <f>SUMIFS('Data - Season'!$E$5:$E$743,'Data - Season'!$A$5:$A$743,$A64,'Data - Season'!$C$5:$C$743,$C64,'Data - Season'!$B$5:$B$743,"Qualifier")</f>
        <v/>
      </c>
      <c r="F64" s="45">
        <f>IFERROR($D64/$E64-1,"")</f>
        <v/>
      </c>
      <c r="G64" s="54">
        <f>IF($D64&lt;$E64,"YES — below LY","no")</f>
        <v/>
      </c>
      <c r="H64" s="33">
        <f>SUMIFS('Data - Season'!$F$5:$F$743,'Data - Season'!$A$5:$A$743,$A64,'Data - Season'!$C$5:$C$743,$C64,'Data - Season'!$B$5:$B$743,"Qualifier")</f>
        <v/>
      </c>
      <c r="I64" s="45">
        <f>IFERROR($H64/$D64,"")</f>
        <v/>
      </c>
      <c r="J64" s="43">
        <f>IF($H64&gt;=$D64,"cleared","missed")</f>
        <v/>
      </c>
      <c r="K64" s="45">
        <f>IFERROR($H64/$E64-1,"")</f>
        <v/>
      </c>
      <c r="L64" s="2">
        <f>IF($D64&lt;=$E64,"at or below","above")</f>
        <v/>
      </c>
      <c r="M64" s="2">
        <f>IF(AND($E64&gt;0,ABS($D64/$E64-1)&lt;=0.01),"within 1%","")</f>
        <v/>
      </c>
    </row>
    <row r="65">
      <c r="A65" s="43" t="inlineStr">
        <is>
          <t>Jayson Romine</t>
        </is>
      </c>
      <c r="B65" s="2" t="inlineStr">
        <is>
          <t>Paul Deady</t>
        </is>
      </c>
      <c r="C65" s="43" t="inlineStr">
        <is>
          <t>Constellation Brands</t>
        </is>
      </c>
      <c r="D65" s="53" t="n">
        <v>18660</v>
      </c>
      <c r="E65" s="33">
        <f>SUMIFS('Data - Season'!$E$5:$E$743,'Data - Season'!$A$5:$A$743,$A65,'Data - Season'!$C$5:$C$743,$C65,'Data - Season'!$B$5:$B$743,"Qualifier")</f>
        <v/>
      </c>
      <c r="F65" s="45">
        <f>IFERROR($D65/$E65-1,"")</f>
        <v/>
      </c>
      <c r="G65" s="54">
        <f>IF($D65&lt;$E65,"YES — below LY","no")</f>
        <v/>
      </c>
      <c r="H65" s="33">
        <f>SUMIFS('Data - Season'!$F$5:$F$743,'Data - Season'!$A$5:$A$743,$A65,'Data - Season'!$C$5:$C$743,$C65,'Data - Season'!$B$5:$B$743,"Qualifier")</f>
        <v/>
      </c>
      <c r="I65" s="45">
        <f>IFERROR($H65/$D65,"")</f>
        <v/>
      </c>
      <c r="J65" s="43">
        <f>IF($H65&gt;=$D65,"cleared","missed")</f>
        <v/>
      </c>
      <c r="K65" s="45">
        <f>IFERROR($H65/$E65-1,"")</f>
        <v/>
      </c>
      <c r="L65" s="2">
        <f>IF($D65&lt;=$E65,"at or below","above")</f>
        <v/>
      </c>
      <c r="M65" s="2">
        <f>IF(AND($E65&gt;0,ABS($D65/$E65-1)&lt;=0.01),"within 1%","")</f>
        <v/>
      </c>
    </row>
    <row r="66">
      <c r="A66" s="43" t="inlineStr">
        <is>
          <t>Jayson Romine</t>
        </is>
      </c>
      <c r="B66" s="2" t="inlineStr">
        <is>
          <t>Paul Deady</t>
        </is>
      </c>
      <c r="C66" s="43" t="inlineStr">
        <is>
          <t>DG Yuengling Inc</t>
        </is>
      </c>
      <c r="D66" s="53" t="n">
        <v>7208</v>
      </c>
      <c r="E66" s="33">
        <f>SUMIFS('Data - Season'!$E$5:$E$743,'Data - Season'!$A$5:$A$743,$A66,'Data - Season'!$C$5:$C$743,$C66,'Data - Season'!$B$5:$B$743,"Qualifier")</f>
        <v/>
      </c>
      <c r="F66" s="45">
        <f>IFERROR($D66/$E66-1,"")</f>
        <v/>
      </c>
      <c r="G66" s="43">
        <f>IF($D66&lt;$E66,"YES — below LY","no")</f>
        <v/>
      </c>
      <c r="H66" s="33">
        <f>SUMIFS('Data - Season'!$F$5:$F$743,'Data - Season'!$A$5:$A$743,$A66,'Data - Season'!$C$5:$C$743,$C66,'Data - Season'!$B$5:$B$743,"Qualifier")</f>
        <v/>
      </c>
      <c r="I66" s="45">
        <f>IFERROR($H66/$D66,"")</f>
        <v/>
      </c>
      <c r="J66" s="43">
        <f>IF($H66&gt;=$D66,"cleared","missed")</f>
        <v/>
      </c>
      <c r="K66" s="45">
        <f>IFERROR($H66/$E66-1,"")</f>
        <v/>
      </c>
      <c r="L66" s="2">
        <f>IF($D66&lt;=$E66,"at or below","above")</f>
        <v/>
      </c>
      <c r="M66" s="2">
        <f>IF(AND($E66&gt;0,ABS($D66/$E66-1)&lt;=0.01),"within 1%","")</f>
        <v/>
      </c>
    </row>
    <row r="67">
      <c r="A67" s="43" t="inlineStr">
        <is>
          <t>Jayson Romine</t>
        </is>
      </c>
      <c r="B67" s="2" t="inlineStr">
        <is>
          <t>Paul Deady</t>
        </is>
      </c>
      <c r="C67" s="43" t="inlineStr">
        <is>
          <t>Mark Anthony</t>
        </is>
      </c>
      <c r="D67" s="53" t="n">
        <v>10616</v>
      </c>
      <c r="E67" s="33">
        <f>SUMIFS('Data - Season'!$E$5:$E$743,'Data - Season'!$A$5:$A$743,$A67,'Data - Season'!$C$5:$C$743,$C67,'Data - Season'!$B$5:$B$743,"Qualifier")</f>
        <v/>
      </c>
      <c r="F67" s="45">
        <f>IFERROR($D67/$E67-1,"")</f>
        <v/>
      </c>
      <c r="G67" s="54">
        <f>IF($D67&lt;$E67,"YES — below LY","no")</f>
        <v/>
      </c>
      <c r="H67" s="33">
        <f>SUMIFS('Data - Season'!$F$5:$F$743,'Data - Season'!$A$5:$A$743,$A67,'Data - Season'!$C$5:$C$743,$C67,'Data - Season'!$B$5:$B$743,"Qualifier")</f>
        <v/>
      </c>
      <c r="I67" s="45">
        <f>IFERROR($H67/$D67,"")</f>
        <v/>
      </c>
      <c r="J67" s="43">
        <f>IF($H67&gt;=$D67,"cleared","missed")</f>
        <v/>
      </c>
      <c r="K67" s="45">
        <f>IFERROR($H67/$E67-1,"")</f>
        <v/>
      </c>
      <c r="L67" s="2">
        <f>IF($D67&lt;=$E67,"at or below","above")</f>
        <v/>
      </c>
      <c r="M67" s="2">
        <f>IF(AND($E67&gt;0,ABS($D67/$E67-1)&lt;=0.01),"within 1%","")</f>
        <v/>
      </c>
    </row>
    <row r="68">
      <c r="A68" s="43" t="inlineStr">
        <is>
          <t>Jayson Romine</t>
        </is>
      </c>
      <c r="B68" s="2" t="inlineStr">
        <is>
          <t>Paul Deady</t>
        </is>
      </c>
      <c r="C68" s="43" t="inlineStr">
        <is>
          <t>MolsonCoors Beverage Company</t>
        </is>
      </c>
      <c r="D68" s="53" t="n">
        <v>37942</v>
      </c>
      <c r="E68" s="33">
        <f>SUMIFS('Data - Season'!$E$5:$E$743,'Data - Season'!$A$5:$A$743,$A68,'Data - Season'!$C$5:$C$743,$C68,'Data - Season'!$B$5:$B$743,"Qualifier")</f>
        <v/>
      </c>
      <c r="F68" s="45">
        <f>IFERROR($D68/$E68-1,"")</f>
        <v/>
      </c>
      <c r="G68" s="54">
        <f>IF($D68&lt;$E68,"YES — below LY","no")</f>
        <v/>
      </c>
      <c r="H68" s="33">
        <f>SUMIFS('Data - Season'!$F$5:$F$743,'Data - Season'!$A$5:$A$743,$A68,'Data - Season'!$C$5:$C$743,$C68,'Data - Season'!$B$5:$B$743,"Qualifier")</f>
        <v/>
      </c>
      <c r="I68" s="45">
        <f>IFERROR($H68/$D68,"")</f>
        <v/>
      </c>
      <c r="J68" s="43">
        <f>IF($H68&gt;=$D68,"cleared","missed")</f>
        <v/>
      </c>
      <c r="K68" s="45">
        <f>IFERROR($H68/$E68-1,"")</f>
        <v/>
      </c>
      <c r="L68" s="2">
        <f>IF($D68&lt;=$E68,"at or below","above")</f>
        <v/>
      </c>
      <c r="M68" s="2">
        <f>IF(AND($E68&gt;0,ABS($D68/$E68-1)&lt;=0.01),"within 1%","")</f>
        <v/>
      </c>
    </row>
    <row r="69">
      <c r="A69" s="43" t="inlineStr">
        <is>
          <t>Jim Heaney</t>
        </is>
      </c>
      <c r="B69" s="2" t="inlineStr">
        <is>
          <t>Denise Montes</t>
        </is>
      </c>
      <c r="C69" s="43" t="inlineStr">
        <is>
          <t>Boston Beer Company</t>
        </is>
      </c>
      <c r="D69" s="53" t="n">
        <v>2870</v>
      </c>
      <c r="E69" s="33">
        <f>SUMIFS('Data - Season'!$E$5:$E$743,'Data - Season'!$A$5:$A$743,$A69,'Data - Season'!$C$5:$C$743,$C69,'Data - Season'!$B$5:$B$743,"Qualifier")</f>
        <v/>
      </c>
      <c r="F69" s="45">
        <f>IFERROR($D69/$E69-1,"")</f>
        <v/>
      </c>
      <c r="G69" s="54">
        <f>IF($D69&lt;$E69,"YES — below LY","no")</f>
        <v/>
      </c>
      <c r="H69" s="33">
        <f>SUMIFS('Data - Season'!$F$5:$F$743,'Data - Season'!$A$5:$A$743,$A69,'Data - Season'!$C$5:$C$743,$C69,'Data - Season'!$B$5:$B$743,"Qualifier")</f>
        <v/>
      </c>
      <c r="I69" s="45">
        <f>IFERROR($H69/$D69,"")</f>
        <v/>
      </c>
      <c r="J69" s="43">
        <f>IF($H69&gt;=$D69,"cleared","missed")</f>
        <v/>
      </c>
      <c r="K69" s="45">
        <f>IFERROR($H69/$E69-1,"")</f>
        <v/>
      </c>
      <c r="L69" s="2">
        <f>IF($D69&lt;=$E69,"at or below","above")</f>
        <v/>
      </c>
      <c r="M69" s="2">
        <f>IF(AND($E69&gt;0,ABS($D69/$E69-1)&lt;=0.01),"within 1%","")</f>
        <v/>
      </c>
    </row>
    <row r="70">
      <c r="A70" s="43" t="inlineStr">
        <is>
          <t>Jim Heaney</t>
        </is>
      </c>
      <c r="B70" s="2" t="inlineStr">
        <is>
          <t>Denise Montes</t>
        </is>
      </c>
      <c r="C70" s="43" t="inlineStr">
        <is>
          <t>Constellation Brands</t>
        </is>
      </c>
      <c r="D70" s="53" t="n">
        <v>38968</v>
      </c>
      <c r="E70" s="33">
        <f>SUMIFS('Data - Season'!$E$5:$E$743,'Data - Season'!$A$5:$A$743,$A70,'Data - Season'!$C$5:$C$743,$C70,'Data - Season'!$B$5:$B$743,"Qualifier")</f>
        <v/>
      </c>
      <c r="F70" s="45">
        <f>IFERROR($D70/$E70-1,"")</f>
        <v/>
      </c>
      <c r="G70" s="54">
        <f>IF($D70&lt;$E70,"YES — below LY","no")</f>
        <v/>
      </c>
      <c r="H70" s="33">
        <f>SUMIFS('Data - Season'!$F$5:$F$743,'Data - Season'!$A$5:$A$743,$A70,'Data - Season'!$C$5:$C$743,$C70,'Data - Season'!$B$5:$B$743,"Qualifier")</f>
        <v/>
      </c>
      <c r="I70" s="45">
        <f>IFERROR($H70/$D70,"")</f>
        <v/>
      </c>
      <c r="J70" s="43">
        <f>IF($H70&gt;=$D70,"cleared","missed")</f>
        <v/>
      </c>
      <c r="K70" s="45">
        <f>IFERROR($H70/$E70-1,"")</f>
        <v/>
      </c>
      <c r="L70" s="2">
        <f>IF($D70&lt;=$E70,"at or below","above")</f>
        <v/>
      </c>
      <c r="M70" s="2">
        <f>IF(AND($E70&gt;0,ABS($D70/$E70-1)&lt;=0.01),"within 1%","")</f>
        <v/>
      </c>
    </row>
    <row r="71">
      <c r="A71" s="43" t="inlineStr">
        <is>
          <t>Jim Heaney</t>
        </is>
      </c>
      <c r="B71" s="2" t="inlineStr">
        <is>
          <t>Denise Montes</t>
        </is>
      </c>
      <c r="C71" s="43" t="inlineStr">
        <is>
          <t>DG Yuengling Inc</t>
        </is>
      </c>
      <c r="D71" s="53" t="n">
        <v>2036</v>
      </c>
      <c r="E71" s="33">
        <f>SUMIFS('Data - Season'!$E$5:$E$743,'Data - Season'!$A$5:$A$743,$A71,'Data - Season'!$C$5:$C$743,$C71,'Data - Season'!$B$5:$B$743,"Qualifier")</f>
        <v/>
      </c>
      <c r="F71" s="45">
        <f>IFERROR($D71/$E71-1,"")</f>
        <v/>
      </c>
      <c r="G71" s="54">
        <f>IF($D71&lt;$E71,"YES — below LY","no")</f>
        <v/>
      </c>
      <c r="H71" s="33">
        <f>SUMIFS('Data - Season'!$F$5:$F$743,'Data - Season'!$A$5:$A$743,$A71,'Data - Season'!$C$5:$C$743,$C71,'Data - Season'!$B$5:$B$743,"Qualifier")</f>
        <v/>
      </c>
      <c r="I71" s="45">
        <f>IFERROR($H71/$D71,"")</f>
        <v/>
      </c>
      <c r="J71" s="43">
        <f>IF($H71&gt;=$D71,"cleared","missed")</f>
        <v/>
      </c>
      <c r="K71" s="45">
        <f>IFERROR($H71/$E71-1,"")</f>
        <v/>
      </c>
      <c r="L71" s="2">
        <f>IF($D71&lt;=$E71,"at or below","above")</f>
        <v/>
      </c>
      <c r="M71" s="2">
        <f>IF(AND($E71&gt;0,ABS($D71/$E71-1)&lt;=0.01),"within 1%","")</f>
        <v/>
      </c>
    </row>
    <row r="72">
      <c r="A72" s="43" t="inlineStr">
        <is>
          <t>Jim Heaney</t>
        </is>
      </c>
      <c r="B72" s="2" t="inlineStr">
        <is>
          <t>Denise Montes</t>
        </is>
      </c>
      <c r="C72" s="43" t="inlineStr">
        <is>
          <t>Heineken USA</t>
        </is>
      </c>
      <c r="D72" s="53" t="n">
        <v>7749</v>
      </c>
      <c r="E72" s="33">
        <f>SUMIFS('Data - Season'!$E$5:$E$743,'Data - Season'!$A$5:$A$743,$A72,'Data - Season'!$C$5:$C$743,$C72,'Data - Season'!$B$5:$B$743,"Qualifier")</f>
        <v/>
      </c>
      <c r="F72" s="45">
        <f>IFERROR($D72/$E72-1,"")</f>
        <v/>
      </c>
      <c r="G72" s="54">
        <f>IF($D72&lt;$E72,"YES — below LY","no")</f>
        <v/>
      </c>
      <c r="H72" s="33">
        <f>SUMIFS('Data - Season'!$F$5:$F$743,'Data - Season'!$A$5:$A$743,$A72,'Data - Season'!$C$5:$C$743,$C72,'Data - Season'!$B$5:$B$743,"Qualifier")</f>
        <v/>
      </c>
      <c r="I72" s="45">
        <f>IFERROR($H72/$D72,"")</f>
        <v/>
      </c>
      <c r="J72" s="43">
        <f>IF($H72&gt;=$D72,"cleared","missed")</f>
        <v/>
      </c>
      <c r="K72" s="45">
        <f>IFERROR($H72/$E72-1,"")</f>
        <v/>
      </c>
      <c r="L72" s="2">
        <f>IF($D72&lt;=$E72,"at or below","above")</f>
        <v/>
      </c>
      <c r="M72" s="2">
        <f>IF(AND($E72&gt;0,ABS($D72/$E72-1)&lt;=0.01),"within 1%","")</f>
        <v/>
      </c>
    </row>
    <row r="73">
      <c r="A73" s="43" t="inlineStr">
        <is>
          <t>Jim Heaney</t>
        </is>
      </c>
      <c r="B73" s="2" t="inlineStr">
        <is>
          <t>Denise Montes</t>
        </is>
      </c>
      <c r="C73" s="43" t="inlineStr">
        <is>
          <t>Mark Anthony</t>
        </is>
      </c>
      <c r="D73" s="53" t="n">
        <v>4675</v>
      </c>
      <c r="E73" s="33">
        <f>SUMIFS('Data - Season'!$E$5:$E$743,'Data - Season'!$A$5:$A$743,$A73,'Data - Season'!$C$5:$C$743,$C73,'Data - Season'!$B$5:$B$743,"Qualifier")</f>
        <v/>
      </c>
      <c r="F73" s="45">
        <f>IFERROR($D73/$E73-1,"")</f>
        <v/>
      </c>
      <c r="G73" s="54">
        <f>IF($D73&lt;$E73,"YES — below LY","no")</f>
        <v/>
      </c>
      <c r="H73" s="33">
        <f>SUMIFS('Data - Season'!$F$5:$F$743,'Data - Season'!$A$5:$A$743,$A73,'Data - Season'!$C$5:$C$743,$C73,'Data - Season'!$B$5:$B$743,"Qualifier")</f>
        <v/>
      </c>
      <c r="I73" s="45">
        <f>IFERROR($H73/$D73,"")</f>
        <v/>
      </c>
      <c r="J73" s="43">
        <f>IF($H73&gt;=$D73,"cleared","missed")</f>
        <v/>
      </c>
      <c r="K73" s="45">
        <f>IFERROR($H73/$E73-1,"")</f>
        <v/>
      </c>
      <c r="L73" s="2">
        <f>IF($D73&lt;=$E73,"at or below","above")</f>
        <v/>
      </c>
      <c r="M73" s="2">
        <f>IF(AND($E73&gt;0,ABS($D73/$E73-1)&lt;=0.01),"within 1%","")</f>
        <v/>
      </c>
    </row>
    <row r="74">
      <c r="A74" s="43" t="inlineStr">
        <is>
          <t>Jim Heaney</t>
        </is>
      </c>
      <c r="B74" s="2" t="inlineStr">
        <is>
          <t>Denise Montes</t>
        </is>
      </c>
      <c r="C74" s="43" t="inlineStr">
        <is>
          <t>MolsonCoors Beverage Company</t>
        </is>
      </c>
      <c r="D74" s="53" t="n">
        <v>21984</v>
      </c>
      <c r="E74" s="33">
        <f>SUMIFS('Data - Season'!$E$5:$E$743,'Data - Season'!$A$5:$A$743,$A74,'Data - Season'!$C$5:$C$743,$C74,'Data - Season'!$B$5:$B$743,"Qualifier")</f>
        <v/>
      </c>
      <c r="F74" s="45">
        <f>IFERROR($D74/$E74-1,"")</f>
        <v/>
      </c>
      <c r="G74" s="54">
        <f>IF($D74&lt;$E74,"YES — below LY","no")</f>
        <v/>
      </c>
      <c r="H74" s="33">
        <f>SUMIFS('Data - Season'!$F$5:$F$743,'Data - Season'!$A$5:$A$743,$A74,'Data - Season'!$C$5:$C$743,$C74,'Data - Season'!$B$5:$B$743,"Qualifier")</f>
        <v/>
      </c>
      <c r="I74" s="45">
        <f>IFERROR($H74/$D74,"")</f>
        <v/>
      </c>
      <c r="J74" s="43">
        <f>IF($H74&gt;=$D74,"cleared","missed")</f>
        <v/>
      </c>
      <c r="K74" s="45">
        <f>IFERROR($H74/$E74-1,"")</f>
        <v/>
      </c>
      <c r="L74" s="2">
        <f>IF($D74&lt;=$E74,"at or below","above")</f>
        <v/>
      </c>
      <c r="M74" s="2">
        <f>IF(AND($E74&gt;0,ABS($D74/$E74-1)&lt;=0.01),"within 1%","")</f>
        <v/>
      </c>
    </row>
    <row r="75">
      <c r="A75" s="43" t="inlineStr">
        <is>
          <t>John Neukum</t>
        </is>
      </c>
      <c r="B75" s="2" t="inlineStr"/>
      <c r="C75" s="43" t="inlineStr">
        <is>
          <t>Boston Beer Company</t>
        </is>
      </c>
      <c r="D75" s="53" t="n">
        <v>1220</v>
      </c>
      <c r="E75" s="33">
        <f>SUMIFS('Data - Season'!$E$5:$E$743,'Data - Season'!$A$5:$A$743,$A75,'Data - Season'!$C$5:$C$743,$C75,'Data - Season'!$B$5:$B$743,"Qualifier")</f>
        <v/>
      </c>
      <c r="F75" s="45">
        <f>IFERROR($D75/$E75-1,"")</f>
        <v/>
      </c>
      <c r="G75" s="54">
        <f>IF($D75&lt;$E75,"YES — below LY","no")</f>
        <v/>
      </c>
      <c r="H75" s="33">
        <f>SUMIFS('Data - Season'!$F$5:$F$743,'Data - Season'!$A$5:$A$743,$A75,'Data - Season'!$C$5:$C$743,$C75,'Data - Season'!$B$5:$B$743,"Qualifier")</f>
        <v/>
      </c>
      <c r="I75" s="45">
        <f>IFERROR($H75/$D75,"")</f>
        <v/>
      </c>
      <c r="J75" s="43">
        <f>IF($H75&gt;=$D75,"cleared","missed")</f>
        <v/>
      </c>
      <c r="K75" s="45">
        <f>IFERROR($H75/$E75-1,"")</f>
        <v/>
      </c>
      <c r="L75" s="2">
        <f>IF($D75&lt;=$E75,"at or below","above")</f>
        <v/>
      </c>
      <c r="M75" s="2">
        <f>IF(AND($E75&gt;0,ABS($D75/$E75-1)&lt;=0.01),"within 1%","")</f>
        <v/>
      </c>
    </row>
    <row r="76">
      <c r="A76" s="43" t="inlineStr">
        <is>
          <t>John Neukum</t>
        </is>
      </c>
      <c r="B76" s="2" t="inlineStr"/>
      <c r="C76" s="43" t="inlineStr">
        <is>
          <t>Constellation Brands</t>
        </is>
      </c>
      <c r="D76" s="53" t="n">
        <v>115716</v>
      </c>
      <c r="E76" s="33">
        <f>SUMIFS('Data - Season'!$E$5:$E$743,'Data - Season'!$A$5:$A$743,$A76,'Data - Season'!$C$5:$C$743,$C76,'Data - Season'!$B$5:$B$743,"Qualifier")</f>
        <v/>
      </c>
      <c r="F76" s="45">
        <f>IFERROR($D76/$E76-1,"")</f>
        <v/>
      </c>
      <c r="G76" s="54">
        <f>IF($D76&lt;$E76,"YES — below LY","no")</f>
        <v/>
      </c>
      <c r="H76" s="33">
        <f>SUMIFS('Data - Season'!$F$5:$F$743,'Data - Season'!$A$5:$A$743,$A76,'Data - Season'!$C$5:$C$743,$C76,'Data - Season'!$B$5:$B$743,"Qualifier")</f>
        <v/>
      </c>
      <c r="I76" s="45">
        <f>IFERROR($H76/$D76,"")</f>
        <v/>
      </c>
      <c r="J76" s="43">
        <f>IF($H76&gt;=$D76,"cleared","missed")</f>
        <v/>
      </c>
      <c r="K76" s="45">
        <f>IFERROR($H76/$E76-1,"")</f>
        <v/>
      </c>
      <c r="L76" s="2">
        <f>IF($D76&lt;=$E76,"at or below","above")</f>
        <v/>
      </c>
      <c r="M76" s="2">
        <f>IF(AND($E76&gt;0,ABS($D76/$E76-1)&lt;=0.01),"within 1%","")</f>
        <v/>
      </c>
    </row>
    <row r="77">
      <c r="A77" s="43" t="inlineStr">
        <is>
          <t>John Neukum</t>
        </is>
      </c>
      <c r="B77" s="2" t="inlineStr"/>
      <c r="C77" s="43" t="inlineStr">
        <is>
          <t>DG Yuengling Inc</t>
        </is>
      </c>
      <c r="D77" s="53" t="n">
        <v>3930</v>
      </c>
      <c r="E77" s="33">
        <f>SUMIFS('Data - Season'!$E$5:$E$743,'Data - Season'!$A$5:$A$743,$A77,'Data - Season'!$C$5:$C$743,$C77,'Data - Season'!$B$5:$B$743,"Qualifier")</f>
        <v/>
      </c>
      <c r="F77" s="45">
        <f>IFERROR($D77/$E77-1,"")</f>
        <v/>
      </c>
      <c r="G77" s="54">
        <f>IF($D77&lt;$E77,"YES — below LY","no")</f>
        <v/>
      </c>
      <c r="H77" s="33">
        <f>SUMIFS('Data - Season'!$F$5:$F$743,'Data - Season'!$A$5:$A$743,$A77,'Data - Season'!$C$5:$C$743,$C77,'Data - Season'!$B$5:$B$743,"Qualifier")</f>
        <v/>
      </c>
      <c r="I77" s="45">
        <f>IFERROR($H77/$D77,"")</f>
        <v/>
      </c>
      <c r="J77" s="43">
        <f>IF($H77&gt;=$D77,"cleared","missed")</f>
        <v/>
      </c>
      <c r="K77" s="45">
        <f>IFERROR($H77/$E77-1,"")</f>
        <v/>
      </c>
      <c r="L77" s="2">
        <f>IF($D77&lt;=$E77,"at or below","above")</f>
        <v/>
      </c>
      <c r="M77" s="2">
        <f>IF(AND($E77&gt;0,ABS($D77/$E77-1)&lt;=0.01),"within 1%","")</f>
        <v/>
      </c>
    </row>
    <row r="78">
      <c r="A78" s="43" t="inlineStr">
        <is>
          <t>John Neukum</t>
        </is>
      </c>
      <c r="B78" s="2" t="inlineStr"/>
      <c r="C78" s="43" t="inlineStr">
        <is>
          <t>Heineken USA</t>
        </is>
      </c>
      <c r="D78" s="53" t="n">
        <v>15101</v>
      </c>
      <c r="E78" s="33">
        <f>SUMIFS('Data - Season'!$E$5:$E$743,'Data - Season'!$A$5:$A$743,$A78,'Data - Season'!$C$5:$C$743,$C78,'Data - Season'!$B$5:$B$743,"Qualifier")</f>
        <v/>
      </c>
      <c r="F78" s="45">
        <f>IFERROR($D78/$E78-1,"")</f>
        <v/>
      </c>
      <c r="G78" s="54">
        <f>IF($D78&lt;$E78,"YES — below LY","no")</f>
        <v/>
      </c>
      <c r="H78" s="33">
        <f>SUMIFS('Data - Season'!$F$5:$F$743,'Data - Season'!$A$5:$A$743,$A78,'Data - Season'!$C$5:$C$743,$C78,'Data - Season'!$B$5:$B$743,"Qualifier")</f>
        <v/>
      </c>
      <c r="I78" s="45">
        <f>IFERROR($H78/$D78,"")</f>
        <v/>
      </c>
      <c r="J78" s="43">
        <f>IF($H78&gt;=$D78,"cleared","missed")</f>
        <v/>
      </c>
      <c r="K78" s="45">
        <f>IFERROR($H78/$E78-1,"")</f>
        <v/>
      </c>
      <c r="L78" s="2">
        <f>IF($D78&lt;=$E78,"at or below","above")</f>
        <v/>
      </c>
      <c r="M78" s="2">
        <f>IF(AND($E78&gt;0,ABS($D78/$E78-1)&lt;=0.01),"within 1%","")</f>
        <v/>
      </c>
    </row>
    <row r="79">
      <c r="A79" s="43" t="inlineStr">
        <is>
          <t>John Neukum</t>
        </is>
      </c>
      <c r="B79" s="2" t="inlineStr"/>
      <c r="C79" s="43" t="inlineStr">
        <is>
          <t>Mark Anthony</t>
        </is>
      </c>
      <c r="D79" s="53" t="n">
        <v>4633</v>
      </c>
      <c r="E79" s="33">
        <f>SUMIFS('Data - Season'!$E$5:$E$743,'Data - Season'!$A$5:$A$743,$A79,'Data - Season'!$C$5:$C$743,$C79,'Data - Season'!$B$5:$B$743,"Qualifier")</f>
        <v/>
      </c>
      <c r="F79" s="45">
        <f>IFERROR($D79/$E79-1,"")</f>
        <v/>
      </c>
      <c r="G79" s="54">
        <f>IF($D79&lt;$E79,"YES — below LY","no")</f>
        <v/>
      </c>
      <c r="H79" s="33">
        <f>SUMIFS('Data - Season'!$F$5:$F$743,'Data - Season'!$A$5:$A$743,$A79,'Data - Season'!$C$5:$C$743,$C79,'Data - Season'!$B$5:$B$743,"Qualifier")</f>
        <v/>
      </c>
      <c r="I79" s="45">
        <f>IFERROR($H79/$D79,"")</f>
        <v/>
      </c>
      <c r="J79" s="43">
        <f>IF($H79&gt;=$D79,"cleared","missed")</f>
        <v/>
      </c>
      <c r="K79" s="45">
        <f>IFERROR($H79/$E79-1,"")</f>
        <v/>
      </c>
      <c r="L79" s="2">
        <f>IF($D79&lt;=$E79,"at or below","above")</f>
        <v/>
      </c>
      <c r="M79" s="2">
        <f>IF(AND($E79&gt;0,ABS($D79/$E79-1)&lt;=0.01),"within 1%","")</f>
        <v/>
      </c>
    </row>
    <row r="80">
      <c r="A80" s="43" t="inlineStr">
        <is>
          <t>John Neukum</t>
        </is>
      </c>
      <c r="B80" s="2" t="inlineStr"/>
      <c r="C80" s="43" t="inlineStr">
        <is>
          <t>MolsonCoors Beverage Company</t>
        </is>
      </c>
      <c r="D80" s="53" t="n">
        <v>20735</v>
      </c>
      <c r="E80" s="33">
        <f>SUMIFS('Data - Season'!$E$5:$E$743,'Data - Season'!$A$5:$A$743,$A80,'Data - Season'!$C$5:$C$743,$C80,'Data - Season'!$B$5:$B$743,"Qualifier")</f>
        <v/>
      </c>
      <c r="F80" s="45">
        <f>IFERROR($D80/$E80-1,"")</f>
        <v/>
      </c>
      <c r="G80" s="54">
        <f>IF($D80&lt;$E80,"YES — below LY","no")</f>
        <v/>
      </c>
      <c r="H80" s="33">
        <f>SUMIFS('Data - Season'!$F$5:$F$743,'Data - Season'!$A$5:$A$743,$A80,'Data - Season'!$C$5:$C$743,$C80,'Data - Season'!$B$5:$B$743,"Qualifier")</f>
        <v/>
      </c>
      <c r="I80" s="45">
        <f>IFERROR($H80/$D80,"")</f>
        <v/>
      </c>
      <c r="J80" s="43">
        <f>IF($H80&gt;=$D80,"cleared","missed")</f>
        <v/>
      </c>
      <c r="K80" s="45">
        <f>IFERROR($H80/$E80-1,"")</f>
        <v/>
      </c>
      <c r="L80" s="2">
        <f>IF($D80&lt;=$E80,"at or below","above")</f>
        <v/>
      </c>
      <c r="M80" s="2">
        <f>IF(AND($E80&gt;0,ABS($D80/$E80-1)&lt;=0.01),"within 1%","")</f>
        <v/>
      </c>
    </row>
    <row r="81">
      <c r="A81" s="43" t="inlineStr">
        <is>
          <t>John O'Donoghue</t>
        </is>
      </c>
      <c r="B81" s="2" t="inlineStr">
        <is>
          <t>Mike Kennedy</t>
        </is>
      </c>
      <c r="C81" s="43" t="inlineStr">
        <is>
          <t>Constellation Brands</t>
        </is>
      </c>
      <c r="D81" s="53" t="n">
        <v>233</v>
      </c>
      <c r="E81" s="33">
        <f>SUMIFS('Data - Season'!$E$5:$E$743,'Data - Season'!$A$5:$A$743,$A81,'Data - Season'!$C$5:$C$743,$C81,'Data - Season'!$B$5:$B$743,"Qualifier")</f>
        <v/>
      </c>
      <c r="F81" s="45">
        <f>IFERROR($D81/$E81-1,"")</f>
        <v/>
      </c>
      <c r="G81" s="54">
        <f>IF($D81&lt;$E81,"YES — below LY","no")</f>
        <v/>
      </c>
      <c r="H81" s="33">
        <f>SUMIFS('Data - Season'!$F$5:$F$743,'Data - Season'!$A$5:$A$743,$A81,'Data - Season'!$C$5:$C$743,$C81,'Data - Season'!$B$5:$B$743,"Qualifier")</f>
        <v/>
      </c>
      <c r="I81" s="45">
        <f>IFERROR($H81/$D81,"")</f>
        <v/>
      </c>
      <c r="J81" s="43">
        <f>IF($H81&gt;=$D81,"cleared","missed")</f>
        <v/>
      </c>
      <c r="K81" s="45">
        <f>IFERROR($H81/$E81-1,"")</f>
        <v/>
      </c>
      <c r="L81" s="2">
        <f>IF($D81&lt;=$E81,"at or below","above")</f>
        <v/>
      </c>
      <c r="M81" s="2">
        <f>IF(AND($E81&gt;0,ABS($D81/$E81-1)&lt;=0.01),"within 1%","")</f>
        <v/>
      </c>
    </row>
    <row r="82">
      <c r="A82" s="43" t="inlineStr">
        <is>
          <t>John O'Donoghue</t>
        </is>
      </c>
      <c r="B82" s="2" t="inlineStr">
        <is>
          <t>Mike Kennedy</t>
        </is>
      </c>
      <c r="C82" s="43" t="inlineStr">
        <is>
          <t>Mark Anthony</t>
        </is>
      </c>
      <c r="D82" s="53" t="n">
        <v>14</v>
      </c>
      <c r="E82" s="33">
        <f>SUMIFS('Data - Season'!$E$5:$E$743,'Data - Season'!$A$5:$A$743,$A82,'Data - Season'!$C$5:$C$743,$C82,'Data - Season'!$B$5:$B$743,"Qualifier")</f>
        <v/>
      </c>
      <c r="F82" s="45">
        <f>IFERROR($D82/$E82-1,"")</f>
        <v/>
      </c>
      <c r="G82" s="54">
        <f>IF($D82&lt;$E82,"YES — below LY","no")</f>
        <v/>
      </c>
      <c r="H82" s="33">
        <f>SUMIFS('Data - Season'!$F$5:$F$743,'Data - Season'!$A$5:$A$743,$A82,'Data - Season'!$C$5:$C$743,$C82,'Data - Season'!$B$5:$B$743,"Qualifier")</f>
        <v/>
      </c>
      <c r="I82" s="45">
        <f>IFERROR($H82/$D82,"")</f>
        <v/>
      </c>
      <c r="J82" s="43">
        <f>IF($H82&gt;=$D82,"cleared","missed")</f>
        <v/>
      </c>
      <c r="K82" s="45">
        <f>IFERROR($H82/$E82-1,"")</f>
        <v/>
      </c>
      <c r="L82" s="2">
        <f>IF($D82&lt;=$E82,"at or below","above")</f>
        <v/>
      </c>
      <c r="M82" s="2">
        <f>IF(AND($E82&gt;0,ABS($D82/$E82-1)&lt;=0.01),"within 1%","")</f>
        <v/>
      </c>
    </row>
    <row r="83">
      <c r="A83" s="43" t="inlineStr">
        <is>
          <t>Klejdi Lamo</t>
        </is>
      </c>
      <c r="B83" s="2" t="inlineStr">
        <is>
          <t>Paul Deady</t>
        </is>
      </c>
      <c r="C83" s="43" t="inlineStr">
        <is>
          <t>Boston Beer Company</t>
        </is>
      </c>
      <c r="D83" s="53" t="n">
        <v>4900</v>
      </c>
      <c r="E83" s="33">
        <f>SUMIFS('Data - Season'!$E$5:$E$743,'Data - Season'!$A$5:$A$743,$A83,'Data - Season'!$C$5:$C$743,$C83,'Data - Season'!$B$5:$B$743,"Qualifier")</f>
        <v/>
      </c>
      <c r="F83" s="45">
        <f>IFERROR($D83/$E83-1,"")</f>
        <v/>
      </c>
      <c r="G83" s="54">
        <f>IF($D83&lt;$E83,"YES — below LY","no")</f>
        <v/>
      </c>
      <c r="H83" s="33">
        <f>SUMIFS('Data - Season'!$F$5:$F$743,'Data - Season'!$A$5:$A$743,$A83,'Data - Season'!$C$5:$C$743,$C83,'Data - Season'!$B$5:$B$743,"Qualifier")</f>
        <v/>
      </c>
      <c r="I83" s="45">
        <f>IFERROR($H83/$D83,"")</f>
        <v/>
      </c>
      <c r="J83" s="43">
        <f>IF($H83&gt;=$D83,"cleared","missed")</f>
        <v/>
      </c>
      <c r="K83" s="45">
        <f>IFERROR($H83/$E83-1,"")</f>
        <v/>
      </c>
      <c r="L83" s="2">
        <f>IF($D83&lt;=$E83,"at or below","above")</f>
        <v/>
      </c>
      <c r="M83" s="2">
        <f>IF(AND($E83&gt;0,ABS($D83/$E83-1)&lt;=0.01),"within 1%","")</f>
        <v/>
      </c>
    </row>
    <row r="84">
      <c r="A84" s="43" t="inlineStr">
        <is>
          <t>Klejdi Lamo</t>
        </is>
      </c>
      <c r="B84" s="2" t="inlineStr">
        <is>
          <t>Paul Deady</t>
        </is>
      </c>
      <c r="C84" s="43" t="inlineStr">
        <is>
          <t>Constellation Brands</t>
        </is>
      </c>
      <c r="D84" s="53" t="n">
        <v>25364</v>
      </c>
      <c r="E84" s="33">
        <f>SUMIFS('Data - Season'!$E$5:$E$743,'Data - Season'!$A$5:$A$743,$A84,'Data - Season'!$C$5:$C$743,$C84,'Data - Season'!$B$5:$B$743,"Qualifier")</f>
        <v/>
      </c>
      <c r="F84" s="45">
        <f>IFERROR($D84/$E84-1,"")</f>
        <v/>
      </c>
      <c r="G84" s="54">
        <f>IF($D84&lt;$E84,"YES — below LY","no")</f>
        <v/>
      </c>
      <c r="H84" s="33">
        <f>SUMIFS('Data - Season'!$F$5:$F$743,'Data - Season'!$A$5:$A$743,$A84,'Data - Season'!$C$5:$C$743,$C84,'Data - Season'!$B$5:$B$743,"Qualifier")</f>
        <v/>
      </c>
      <c r="I84" s="45">
        <f>IFERROR($H84/$D84,"")</f>
        <v/>
      </c>
      <c r="J84" s="43">
        <f>IF($H84&gt;=$D84,"cleared","missed")</f>
        <v/>
      </c>
      <c r="K84" s="45">
        <f>IFERROR($H84/$E84-1,"")</f>
        <v/>
      </c>
      <c r="L84" s="2">
        <f>IF($D84&lt;=$E84,"at or below","above")</f>
        <v/>
      </c>
      <c r="M84" s="2">
        <f>IF(AND($E84&gt;0,ABS($D84/$E84-1)&lt;=0.01),"within 1%","")</f>
        <v/>
      </c>
    </row>
    <row r="85">
      <c r="A85" s="43" t="inlineStr">
        <is>
          <t>Klejdi Lamo</t>
        </is>
      </c>
      <c r="B85" s="2" t="inlineStr">
        <is>
          <t>Paul Deady</t>
        </is>
      </c>
      <c r="C85" s="43" t="inlineStr">
        <is>
          <t>DG Yuengling Inc</t>
        </is>
      </c>
      <c r="D85" s="53" t="n">
        <v>4063</v>
      </c>
      <c r="E85" s="33">
        <f>SUMIFS('Data - Season'!$E$5:$E$743,'Data - Season'!$A$5:$A$743,$A85,'Data - Season'!$C$5:$C$743,$C85,'Data - Season'!$B$5:$B$743,"Qualifier")</f>
        <v/>
      </c>
      <c r="F85" s="45">
        <f>IFERROR($D85/$E85-1,"")</f>
        <v/>
      </c>
      <c r="G85" s="54">
        <f>IF($D85&lt;$E85,"YES — below LY","no")</f>
        <v/>
      </c>
      <c r="H85" s="33">
        <f>SUMIFS('Data - Season'!$F$5:$F$743,'Data - Season'!$A$5:$A$743,$A85,'Data - Season'!$C$5:$C$743,$C85,'Data - Season'!$B$5:$B$743,"Qualifier")</f>
        <v/>
      </c>
      <c r="I85" s="45">
        <f>IFERROR($H85/$D85,"")</f>
        <v/>
      </c>
      <c r="J85" s="43">
        <f>IF($H85&gt;=$D85,"cleared","missed")</f>
        <v/>
      </c>
      <c r="K85" s="45">
        <f>IFERROR($H85/$E85-1,"")</f>
        <v/>
      </c>
      <c r="L85" s="2">
        <f>IF($D85&lt;=$E85,"at or below","above")</f>
        <v/>
      </c>
      <c r="M85" s="2">
        <f>IF(AND($E85&gt;0,ABS($D85/$E85-1)&lt;=0.01),"within 1%","")</f>
        <v/>
      </c>
    </row>
    <row r="86">
      <c r="A86" s="43" t="inlineStr">
        <is>
          <t>Klejdi Lamo</t>
        </is>
      </c>
      <c r="B86" s="2" t="inlineStr">
        <is>
          <t>Paul Deady</t>
        </is>
      </c>
      <c r="C86" s="43" t="inlineStr">
        <is>
          <t>Heineken USA</t>
        </is>
      </c>
      <c r="D86" s="53" t="n">
        <v>190</v>
      </c>
      <c r="E86" s="33">
        <f>SUMIFS('Data - Season'!$E$5:$E$743,'Data - Season'!$A$5:$A$743,$A86,'Data - Season'!$C$5:$C$743,$C86,'Data - Season'!$B$5:$B$743,"Qualifier")</f>
        <v/>
      </c>
      <c r="F86" s="45">
        <f>IFERROR($D86/$E86-1,"")</f>
        <v/>
      </c>
      <c r="G86" s="54">
        <f>IF($D86&lt;$E86,"YES — below LY","no")</f>
        <v/>
      </c>
      <c r="H86" s="33">
        <f>SUMIFS('Data - Season'!$F$5:$F$743,'Data - Season'!$A$5:$A$743,$A86,'Data - Season'!$C$5:$C$743,$C86,'Data - Season'!$B$5:$B$743,"Qualifier")</f>
        <v/>
      </c>
      <c r="I86" s="45">
        <f>IFERROR($H86/$D86,"")</f>
        <v/>
      </c>
      <c r="J86" s="43">
        <f>IF($H86&gt;=$D86,"cleared","missed")</f>
        <v/>
      </c>
      <c r="K86" s="45">
        <f>IFERROR($H86/$E86-1,"")</f>
        <v/>
      </c>
      <c r="L86" s="2">
        <f>IF($D86&lt;=$E86,"at or below","above")</f>
        <v/>
      </c>
      <c r="M86" s="2">
        <f>IF(AND($E86&gt;0,ABS($D86/$E86-1)&lt;=0.01),"within 1%","")</f>
        <v/>
      </c>
    </row>
    <row r="87">
      <c r="A87" s="43" t="inlineStr">
        <is>
          <t>Klejdi Lamo</t>
        </is>
      </c>
      <c r="B87" s="2" t="inlineStr">
        <is>
          <t>Paul Deady</t>
        </is>
      </c>
      <c r="C87" s="43" t="inlineStr">
        <is>
          <t>Mark Anthony</t>
        </is>
      </c>
      <c r="D87" s="53" t="n">
        <v>8451</v>
      </c>
      <c r="E87" s="33">
        <f>SUMIFS('Data - Season'!$E$5:$E$743,'Data - Season'!$A$5:$A$743,$A87,'Data - Season'!$C$5:$C$743,$C87,'Data - Season'!$B$5:$B$743,"Qualifier")</f>
        <v/>
      </c>
      <c r="F87" s="45">
        <f>IFERROR($D87/$E87-1,"")</f>
        <v/>
      </c>
      <c r="G87" s="54">
        <f>IF($D87&lt;$E87,"YES — below LY","no")</f>
        <v/>
      </c>
      <c r="H87" s="33">
        <f>SUMIFS('Data - Season'!$F$5:$F$743,'Data - Season'!$A$5:$A$743,$A87,'Data - Season'!$C$5:$C$743,$C87,'Data - Season'!$B$5:$B$743,"Qualifier")</f>
        <v/>
      </c>
      <c r="I87" s="45">
        <f>IFERROR($H87/$D87,"")</f>
        <v/>
      </c>
      <c r="J87" s="43">
        <f>IF($H87&gt;=$D87,"cleared","missed")</f>
        <v/>
      </c>
      <c r="K87" s="45">
        <f>IFERROR($H87/$E87-1,"")</f>
        <v/>
      </c>
      <c r="L87" s="2">
        <f>IF($D87&lt;=$E87,"at or below","above")</f>
        <v/>
      </c>
      <c r="M87" s="2">
        <f>IF(AND($E87&gt;0,ABS($D87/$E87-1)&lt;=0.01),"within 1%","")</f>
        <v/>
      </c>
    </row>
    <row r="88">
      <c r="A88" s="43" t="inlineStr">
        <is>
          <t>Klejdi Lamo</t>
        </is>
      </c>
      <c r="B88" s="2" t="inlineStr">
        <is>
          <t>Paul Deady</t>
        </is>
      </c>
      <c r="C88" s="43" t="inlineStr">
        <is>
          <t>MolsonCoors Beverage Company</t>
        </is>
      </c>
      <c r="D88" s="53" t="n">
        <v>27752</v>
      </c>
      <c r="E88" s="33">
        <f>SUMIFS('Data - Season'!$E$5:$E$743,'Data - Season'!$A$5:$A$743,$A88,'Data - Season'!$C$5:$C$743,$C88,'Data - Season'!$B$5:$B$743,"Qualifier")</f>
        <v/>
      </c>
      <c r="F88" s="45">
        <f>IFERROR($D88/$E88-1,"")</f>
        <v/>
      </c>
      <c r="G88" s="54">
        <f>IF($D88&lt;$E88,"YES — below LY","no")</f>
        <v/>
      </c>
      <c r="H88" s="33">
        <f>SUMIFS('Data - Season'!$F$5:$F$743,'Data - Season'!$A$5:$A$743,$A88,'Data - Season'!$C$5:$C$743,$C88,'Data - Season'!$B$5:$B$743,"Qualifier")</f>
        <v/>
      </c>
      <c r="I88" s="45">
        <f>IFERROR($H88/$D88,"")</f>
        <v/>
      </c>
      <c r="J88" s="43">
        <f>IF($H88&gt;=$D88,"cleared","missed")</f>
        <v/>
      </c>
      <c r="K88" s="45">
        <f>IFERROR($H88/$E88-1,"")</f>
        <v/>
      </c>
      <c r="L88" s="2">
        <f>IF($D88&lt;=$E88,"at or below","above")</f>
        <v/>
      </c>
      <c r="M88" s="2">
        <f>IF(AND($E88&gt;0,ABS($D88/$E88-1)&lt;=0.01),"within 1%","")</f>
        <v/>
      </c>
    </row>
    <row r="89">
      <c r="A89" s="43" t="inlineStr">
        <is>
          <t>Matt Powierski</t>
        </is>
      </c>
      <c r="B89" s="2" t="inlineStr">
        <is>
          <t>Denise Montes</t>
        </is>
      </c>
      <c r="C89" s="43" t="inlineStr">
        <is>
          <t>Boston Beer Company</t>
        </is>
      </c>
      <c r="D89" s="53" t="n">
        <v>2250</v>
      </c>
      <c r="E89" s="33">
        <f>SUMIFS('Data - Season'!$E$5:$E$743,'Data - Season'!$A$5:$A$743,$A89,'Data - Season'!$C$5:$C$743,$C89,'Data - Season'!$B$5:$B$743,"Qualifier")</f>
        <v/>
      </c>
      <c r="F89" s="45">
        <f>IFERROR($D89/$E89-1,"")</f>
        <v/>
      </c>
      <c r="G89" s="54">
        <f>IF($D89&lt;$E89,"YES — below LY","no")</f>
        <v/>
      </c>
      <c r="H89" s="33">
        <f>SUMIFS('Data - Season'!$F$5:$F$743,'Data - Season'!$A$5:$A$743,$A89,'Data - Season'!$C$5:$C$743,$C89,'Data - Season'!$B$5:$B$743,"Qualifier")</f>
        <v/>
      </c>
      <c r="I89" s="45">
        <f>IFERROR($H89/$D89,"")</f>
        <v/>
      </c>
      <c r="J89" s="43">
        <f>IF($H89&gt;=$D89,"cleared","missed")</f>
        <v/>
      </c>
      <c r="K89" s="45">
        <f>IFERROR($H89/$E89-1,"")</f>
        <v/>
      </c>
      <c r="L89" s="2">
        <f>IF($D89&lt;=$E89,"at or below","above")</f>
        <v/>
      </c>
      <c r="M89" s="2">
        <f>IF(AND($E89&gt;0,ABS($D89/$E89-1)&lt;=0.01),"within 1%","")</f>
        <v/>
      </c>
    </row>
    <row r="90">
      <c r="A90" s="43" t="inlineStr">
        <is>
          <t>Matt Powierski</t>
        </is>
      </c>
      <c r="B90" s="2" t="inlineStr">
        <is>
          <t>Denise Montes</t>
        </is>
      </c>
      <c r="C90" s="43" t="inlineStr">
        <is>
          <t>Constellation Brands</t>
        </is>
      </c>
      <c r="D90" s="53" t="n">
        <v>32540</v>
      </c>
      <c r="E90" s="33">
        <f>SUMIFS('Data - Season'!$E$5:$E$743,'Data - Season'!$A$5:$A$743,$A90,'Data - Season'!$C$5:$C$743,$C90,'Data - Season'!$B$5:$B$743,"Qualifier")</f>
        <v/>
      </c>
      <c r="F90" s="45">
        <f>IFERROR($D90/$E90-1,"")</f>
        <v/>
      </c>
      <c r="G90" s="54">
        <f>IF($D90&lt;$E90,"YES — below LY","no")</f>
        <v/>
      </c>
      <c r="H90" s="33">
        <f>SUMIFS('Data - Season'!$F$5:$F$743,'Data - Season'!$A$5:$A$743,$A90,'Data - Season'!$C$5:$C$743,$C90,'Data - Season'!$B$5:$B$743,"Qualifier")</f>
        <v/>
      </c>
      <c r="I90" s="45">
        <f>IFERROR($H90/$D90,"")</f>
        <v/>
      </c>
      <c r="J90" s="43">
        <f>IF($H90&gt;=$D90,"cleared","missed")</f>
        <v/>
      </c>
      <c r="K90" s="45">
        <f>IFERROR($H90/$E90-1,"")</f>
        <v/>
      </c>
      <c r="L90" s="2">
        <f>IF($D90&lt;=$E90,"at or below","above")</f>
        <v/>
      </c>
      <c r="M90" s="2">
        <f>IF(AND($E90&gt;0,ABS($D90/$E90-1)&lt;=0.01),"within 1%","")</f>
        <v/>
      </c>
    </row>
    <row r="91">
      <c r="A91" s="43" t="inlineStr">
        <is>
          <t>Matt Powierski</t>
        </is>
      </c>
      <c r="B91" s="2" t="inlineStr">
        <is>
          <t>Denise Montes</t>
        </is>
      </c>
      <c r="C91" s="43" t="inlineStr">
        <is>
          <t>DG Yuengling Inc</t>
        </is>
      </c>
      <c r="D91" s="53" t="n">
        <v>1270</v>
      </c>
      <c r="E91" s="33">
        <f>SUMIFS('Data - Season'!$E$5:$E$743,'Data - Season'!$A$5:$A$743,$A91,'Data - Season'!$C$5:$C$743,$C91,'Data - Season'!$B$5:$B$743,"Qualifier")</f>
        <v/>
      </c>
      <c r="F91" s="45">
        <f>IFERROR($D91/$E91-1,"")</f>
        <v/>
      </c>
      <c r="G91" s="54">
        <f>IF($D91&lt;$E91,"YES — below LY","no")</f>
        <v/>
      </c>
      <c r="H91" s="33">
        <f>SUMIFS('Data - Season'!$F$5:$F$743,'Data - Season'!$A$5:$A$743,$A91,'Data - Season'!$C$5:$C$743,$C91,'Data - Season'!$B$5:$B$743,"Qualifier")</f>
        <v/>
      </c>
      <c r="I91" s="45">
        <f>IFERROR($H91/$D91,"")</f>
        <v/>
      </c>
      <c r="J91" s="43">
        <f>IF($H91&gt;=$D91,"cleared","missed")</f>
        <v/>
      </c>
      <c r="K91" s="45">
        <f>IFERROR($H91/$E91-1,"")</f>
        <v/>
      </c>
      <c r="L91" s="2">
        <f>IF($D91&lt;=$E91,"at or below","above")</f>
        <v/>
      </c>
      <c r="M91" s="2">
        <f>IF(AND($E91&gt;0,ABS($D91/$E91-1)&lt;=0.01),"within 1%","")</f>
        <v/>
      </c>
    </row>
    <row r="92">
      <c r="A92" s="43" t="inlineStr">
        <is>
          <t>Matt Powierski</t>
        </is>
      </c>
      <c r="B92" s="2" t="inlineStr">
        <is>
          <t>Denise Montes</t>
        </is>
      </c>
      <c r="C92" s="43" t="inlineStr">
        <is>
          <t>Heineken USA</t>
        </is>
      </c>
      <c r="D92" s="53" t="n">
        <v>6888</v>
      </c>
      <c r="E92" s="33">
        <f>SUMIFS('Data - Season'!$E$5:$E$743,'Data - Season'!$A$5:$A$743,$A92,'Data - Season'!$C$5:$C$743,$C92,'Data - Season'!$B$5:$B$743,"Qualifier")</f>
        <v/>
      </c>
      <c r="F92" s="45">
        <f>IFERROR($D92/$E92-1,"")</f>
        <v/>
      </c>
      <c r="G92" s="54">
        <f>IF($D92&lt;$E92,"YES — below LY","no")</f>
        <v/>
      </c>
      <c r="H92" s="33">
        <f>SUMIFS('Data - Season'!$F$5:$F$743,'Data - Season'!$A$5:$A$743,$A92,'Data - Season'!$C$5:$C$743,$C92,'Data - Season'!$B$5:$B$743,"Qualifier")</f>
        <v/>
      </c>
      <c r="I92" s="45">
        <f>IFERROR($H92/$D92,"")</f>
        <v/>
      </c>
      <c r="J92" s="43">
        <f>IF($H92&gt;=$D92,"cleared","missed")</f>
        <v/>
      </c>
      <c r="K92" s="45">
        <f>IFERROR($H92/$E92-1,"")</f>
        <v/>
      </c>
      <c r="L92" s="2">
        <f>IF($D92&lt;=$E92,"at or below","above")</f>
        <v/>
      </c>
      <c r="M92" s="2">
        <f>IF(AND($E92&gt;0,ABS($D92/$E92-1)&lt;=0.01),"within 1%","")</f>
        <v/>
      </c>
    </row>
    <row r="93">
      <c r="A93" s="43" t="inlineStr">
        <is>
          <t>Matt Powierski</t>
        </is>
      </c>
      <c r="B93" s="2" t="inlineStr">
        <is>
          <t>Denise Montes</t>
        </is>
      </c>
      <c r="C93" s="43" t="inlineStr">
        <is>
          <t>Mark Anthony</t>
        </is>
      </c>
      <c r="D93" s="53" t="n">
        <v>4025</v>
      </c>
      <c r="E93" s="33">
        <f>SUMIFS('Data - Season'!$E$5:$E$743,'Data - Season'!$A$5:$A$743,$A93,'Data - Season'!$C$5:$C$743,$C93,'Data - Season'!$B$5:$B$743,"Qualifier")</f>
        <v/>
      </c>
      <c r="F93" s="45">
        <f>IFERROR($D93/$E93-1,"")</f>
        <v/>
      </c>
      <c r="G93" s="54">
        <f>IF($D93&lt;$E93,"YES — below LY","no")</f>
        <v/>
      </c>
      <c r="H93" s="33">
        <f>SUMIFS('Data - Season'!$F$5:$F$743,'Data - Season'!$A$5:$A$743,$A93,'Data - Season'!$C$5:$C$743,$C93,'Data - Season'!$B$5:$B$743,"Qualifier")</f>
        <v/>
      </c>
      <c r="I93" s="45">
        <f>IFERROR($H93/$D93,"")</f>
        <v/>
      </c>
      <c r="J93" s="43">
        <f>IF($H93&gt;=$D93,"cleared","missed")</f>
        <v/>
      </c>
      <c r="K93" s="45">
        <f>IFERROR($H93/$E93-1,"")</f>
        <v/>
      </c>
      <c r="L93" s="2">
        <f>IF($D93&lt;=$E93,"at or below","above")</f>
        <v/>
      </c>
      <c r="M93" s="2">
        <f>IF(AND($E93&gt;0,ABS($D93/$E93-1)&lt;=0.01),"within 1%","")</f>
        <v/>
      </c>
    </row>
    <row r="94">
      <c r="A94" s="43" t="inlineStr">
        <is>
          <t>Matt Powierski</t>
        </is>
      </c>
      <c r="B94" s="2" t="inlineStr">
        <is>
          <t>Denise Montes</t>
        </is>
      </c>
      <c r="C94" s="43" t="inlineStr">
        <is>
          <t>MolsonCoors Beverage Company</t>
        </is>
      </c>
      <c r="D94" s="53" t="n">
        <v>16688</v>
      </c>
      <c r="E94" s="33">
        <f>SUMIFS('Data - Season'!$E$5:$E$743,'Data - Season'!$A$5:$A$743,$A94,'Data - Season'!$C$5:$C$743,$C94,'Data - Season'!$B$5:$B$743,"Qualifier")</f>
        <v/>
      </c>
      <c r="F94" s="45">
        <f>IFERROR($D94/$E94-1,"")</f>
        <v/>
      </c>
      <c r="G94" s="54">
        <f>IF($D94&lt;$E94,"YES — below LY","no")</f>
        <v/>
      </c>
      <c r="H94" s="33">
        <f>SUMIFS('Data - Season'!$F$5:$F$743,'Data - Season'!$A$5:$A$743,$A94,'Data - Season'!$C$5:$C$743,$C94,'Data - Season'!$B$5:$B$743,"Qualifier")</f>
        <v/>
      </c>
      <c r="I94" s="45">
        <f>IFERROR($H94/$D94,"")</f>
        <v/>
      </c>
      <c r="J94" s="43">
        <f>IF($H94&gt;=$D94,"cleared","missed")</f>
        <v/>
      </c>
      <c r="K94" s="45">
        <f>IFERROR($H94/$E94-1,"")</f>
        <v/>
      </c>
      <c r="L94" s="2">
        <f>IF($D94&lt;=$E94,"at or below","above")</f>
        <v/>
      </c>
      <c r="M94" s="2">
        <f>IF(AND($E94&gt;0,ABS($D94/$E94-1)&lt;=0.01),"within 1%","")</f>
        <v/>
      </c>
    </row>
    <row r="95">
      <c r="A95" s="43" t="inlineStr">
        <is>
          <t>Michael Harboy</t>
        </is>
      </c>
      <c r="B95" s="2" t="inlineStr">
        <is>
          <t>Mike Kennedy</t>
        </is>
      </c>
      <c r="C95" s="43" t="inlineStr">
        <is>
          <t>Boston Beer Company</t>
        </is>
      </c>
      <c r="D95" s="53" t="n">
        <v>680</v>
      </c>
      <c r="E95" s="33">
        <f>SUMIFS('Data - Season'!$E$5:$E$743,'Data - Season'!$A$5:$A$743,$A95,'Data - Season'!$C$5:$C$743,$C95,'Data - Season'!$B$5:$B$743,"Qualifier")</f>
        <v/>
      </c>
      <c r="F95" s="45">
        <f>IFERROR($D95/$E95-1,"")</f>
        <v/>
      </c>
      <c r="G95" s="54">
        <f>IF($D95&lt;$E95,"YES — below LY","no")</f>
        <v/>
      </c>
      <c r="H95" s="33">
        <f>SUMIFS('Data - Season'!$F$5:$F$743,'Data - Season'!$A$5:$A$743,$A95,'Data - Season'!$C$5:$C$743,$C95,'Data - Season'!$B$5:$B$743,"Qualifier")</f>
        <v/>
      </c>
      <c r="I95" s="45">
        <f>IFERROR($H95/$D95,"")</f>
        <v/>
      </c>
      <c r="J95" s="43">
        <f>IF($H95&gt;=$D95,"cleared","missed")</f>
        <v/>
      </c>
      <c r="K95" s="45">
        <f>IFERROR($H95/$E95-1,"")</f>
        <v/>
      </c>
      <c r="L95" s="2">
        <f>IF($D95&lt;=$E95,"at or below","above")</f>
        <v/>
      </c>
      <c r="M95" s="2">
        <f>IF(AND($E95&gt;0,ABS($D95/$E95-1)&lt;=0.01),"within 1%","")</f>
        <v/>
      </c>
    </row>
    <row r="96">
      <c r="A96" s="43" t="inlineStr">
        <is>
          <t>Michael Harboy</t>
        </is>
      </c>
      <c r="B96" s="2" t="inlineStr">
        <is>
          <t>Mike Kennedy</t>
        </is>
      </c>
      <c r="C96" s="43" t="inlineStr">
        <is>
          <t>Constellation Brands</t>
        </is>
      </c>
      <c r="D96" s="53" t="n">
        <v>4421</v>
      </c>
      <c r="E96" s="33">
        <f>SUMIFS('Data - Season'!$E$5:$E$743,'Data - Season'!$A$5:$A$743,$A96,'Data - Season'!$C$5:$C$743,$C96,'Data - Season'!$B$5:$B$743,"Qualifier")</f>
        <v/>
      </c>
      <c r="F96" s="45">
        <f>IFERROR($D96/$E96-1,"")</f>
        <v/>
      </c>
      <c r="G96" s="54">
        <f>IF($D96&lt;$E96,"YES — below LY","no")</f>
        <v/>
      </c>
      <c r="H96" s="33">
        <f>SUMIFS('Data - Season'!$F$5:$F$743,'Data - Season'!$A$5:$A$743,$A96,'Data - Season'!$C$5:$C$743,$C96,'Data - Season'!$B$5:$B$743,"Qualifier")</f>
        <v/>
      </c>
      <c r="I96" s="45">
        <f>IFERROR($H96/$D96,"")</f>
        <v/>
      </c>
      <c r="J96" s="43">
        <f>IF($H96&gt;=$D96,"cleared","missed")</f>
        <v/>
      </c>
      <c r="K96" s="45">
        <f>IFERROR($H96/$E96-1,"")</f>
        <v/>
      </c>
      <c r="L96" s="2">
        <f>IF($D96&lt;=$E96,"at or below","above")</f>
        <v/>
      </c>
      <c r="M96" s="2">
        <f>IF(AND($E96&gt;0,ABS($D96/$E96-1)&lt;=0.01),"within 1%","")</f>
        <v/>
      </c>
    </row>
    <row r="97">
      <c r="A97" s="43" t="inlineStr">
        <is>
          <t>Michael Harboy</t>
        </is>
      </c>
      <c r="B97" s="2" t="inlineStr">
        <is>
          <t>Mike Kennedy</t>
        </is>
      </c>
      <c r="C97" s="43" t="inlineStr">
        <is>
          <t>DG Yuengling Inc</t>
        </is>
      </c>
      <c r="D97" s="53" t="n">
        <v>476</v>
      </c>
      <c r="E97" s="33">
        <f>SUMIFS('Data - Season'!$E$5:$E$743,'Data - Season'!$A$5:$A$743,$A97,'Data - Season'!$C$5:$C$743,$C97,'Data - Season'!$B$5:$B$743,"Qualifier")</f>
        <v/>
      </c>
      <c r="F97" s="45">
        <f>IFERROR($D97/$E97-1,"")</f>
        <v/>
      </c>
      <c r="G97" s="54">
        <f>IF($D97&lt;$E97,"YES — below LY","no")</f>
        <v/>
      </c>
      <c r="H97" s="33">
        <f>SUMIFS('Data - Season'!$F$5:$F$743,'Data - Season'!$A$5:$A$743,$A97,'Data - Season'!$C$5:$C$743,$C97,'Data - Season'!$B$5:$B$743,"Qualifier")</f>
        <v/>
      </c>
      <c r="I97" s="45">
        <f>IFERROR($H97/$D97,"")</f>
        <v/>
      </c>
      <c r="J97" s="43">
        <f>IF($H97&gt;=$D97,"cleared","missed")</f>
        <v/>
      </c>
      <c r="K97" s="45">
        <f>IFERROR($H97/$E97-1,"")</f>
        <v/>
      </c>
      <c r="L97" s="2">
        <f>IF($D97&lt;=$E97,"at or below","above")</f>
        <v/>
      </c>
      <c r="M97" s="2">
        <f>IF(AND($E97&gt;0,ABS($D97/$E97-1)&lt;=0.01),"within 1%","")</f>
        <v/>
      </c>
    </row>
    <row r="98">
      <c r="A98" s="43" t="inlineStr">
        <is>
          <t>Michael Harboy</t>
        </is>
      </c>
      <c r="B98" s="2" t="inlineStr">
        <is>
          <t>Mike Kennedy</t>
        </is>
      </c>
      <c r="C98" s="43" t="inlineStr">
        <is>
          <t>Heineken USA</t>
        </is>
      </c>
      <c r="D98" s="53" t="n">
        <v>856</v>
      </c>
      <c r="E98" s="33">
        <f>SUMIFS('Data - Season'!$E$5:$E$743,'Data - Season'!$A$5:$A$743,$A98,'Data - Season'!$C$5:$C$743,$C98,'Data - Season'!$B$5:$B$743,"Qualifier")</f>
        <v/>
      </c>
      <c r="F98" s="45">
        <f>IFERROR($D98/$E98-1,"")</f>
        <v/>
      </c>
      <c r="G98" s="54">
        <f>IF($D98&lt;$E98,"YES — below LY","no")</f>
        <v/>
      </c>
      <c r="H98" s="33">
        <f>SUMIFS('Data - Season'!$F$5:$F$743,'Data - Season'!$A$5:$A$743,$A98,'Data - Season'!$C$5:$C$743,$C98,'Data - Season'!$B$5:$B$743,"Qualifier")</f>
        <v/>
      </c>
      <c r="I98" s="45">
        <f>IFERROR($H98/$D98,"")</f>
        <v/>
      </c>
      <c r="J98" s="43">
        <f>IF($H98&gt;=$D98,"cleared","missed")</f>
        <v/>
      </c>
      <c r="K98" s="45">
        <f>IFERROR($H98/$E98-1,"")</f>
        <v/>
      </c>
      <c r="L98" s="2">
        <f>IF($D98&lt;=$E98,"at or below","above")</f>
        <v/>
      </c>
      <c r="M98" s="2">
        <f>IF(AND($E98&gt;0,ABS($D98/$E98-1)&lt;=0.01),"within 1%","")</f>
        <v/>
      </c>
    </row>
    <row r="99">
      <c r="A99" s="43" t="inlineStr">
        <is>
          <t>Michael Harboy</t>
        </is>
      </c>
      <c r="B99" s="2" t="inlineStr">
        <is>
          <t>Mike Kennedy</t>
        </is>
      </c>
      <c r="C99" s="43" t="inlineStr">
        <is>
          <t>Mark Anthony</t>
        </is>
      </c>
      <c r="D99" s="53" t="n">
        <v>1355</v>
      </c>
      <c r="E99" s="33">
        <f>SUMIFS('Data - Season'!$E$5:$E$743,'Data - Season'!$A$5:$A$743,$A99,'Data - Season'!$C$5:$C$743,$C99,'Data - Season'!$B$5:$B$743,"Qualifier")</f>
        <v/>
      </c>
      <c r="F99" s="45">
        <f>IFERROR($D99/$E99-1,"")</f>
        <v/>
      </c>
      <c r="G99" s="54">
        <f>IF($D99&lt;$E99,"YES — below LY","no")</f>
        <v/>
      </c>
      <c r="H99" s="33">
        <f>SUMIFS('Data - Season'!$F$5:$F$743,'Data - Season'!$A$5:$A$743,$A99,'Data - Season'!$C$5:$C$743,$C99,'Data - Season'!$B$5:$B$743,"Qualifier")</f>
        <v/>
      </c>
      <c r="I99" s="45">
        <f>IFERROR($H99/$D99,"")</f>
        <v/>
      </c>
      <c r="J99" s="43">
        <f>IF($H99&gt;=$D99,"cleared","missed")</f>
        <v/>
      </c>
      <c r="K99" s="45">
        <f>IFERROR($H99/$E99-1,"")</f>
        <v/>
      </c>
      <c r="L99" s="2">
        <f>IF($D99&lt;=$E99,"at or below","above")</f>
        <v/>
      </c>
      <c r="M99" s="2">
        <f>IF(AND($E99&gt;0,ABS($D99/$E99-1)&lt;=0.01),"within 1%","")</f>
        <v/>
      </c>
    </row>
    <row r="100">
      <c r="A100" s="43" t="inlineStr">
        <is>
          <t>Mike Ast</t>
        </is>
      </c>
      <c r="B100" s="2" t="inlineStr">
        <is>
          <t>Paul Deady</t>
        </is>
      </c>
      <c r="C100" s="43" t="inlineStr">
        <is>
          <t>Boston Beer Company</t>
        </is>
      </c>
      <c r="D100" s="53" t="n">
        <v>2600</v>
      </c>
      <c r="E100" s="33">
        <f>SUMIFS('Data - Season'!$E$5:$E$743,'Data - Season'!$A$5:$A$743,$A100,'Data - Season'!$C$5:$C$743,$C100,'Data - Season'!$B$5:$B$743,"Qualifier")</f>
        <v/>
      </c>
      <c r="F100" s="45">
        <f>IFERROR($D100/$E100-1,"")</f>
        <v/>
      </c>
      <c r="G100" s="54">
        <f>IF($D100&lt;$E100,"YES — below LY","no")</f>
        <v/>
      </c>
      <c r="H100" s="33">
        <f>SUMIFS('Data - Season'!$F$5:$F$743,'Data - Season'!$A$5:$A$743,$A100,'Data - Season'!$C$5:$C$743,$C100,'Data - Season'!$B$5:$B$743,"Qualifier")</f>
        <v/>
      </c>
      <c r="I100" s="45">
        <f>IFERROR($H100/$D100,"")</f>
        <v/>
      </c>
      <c r="J100" s="43">
        <f>IF($H100&gt;=$D100,"cleared","missed")</f>
        <v/>
      </c>
      <c r="K100" s="45">
        <f>IFERROR($H100/$E100-1,"")</f>
        <v/>
      </c>
      <c r="L100" s="2">
        <f>IF($D100&lt;=$E100,"at or below","above")</f>
        <v/>
      </c>
      <c r="M100" s="2">
        <f>IF(AND($E100&gt;0,ABS($D100/$E100-1)&lt;=0.01),"within 1%","")</f>
        <v/>
      </c>
    </row>
    <row r="101">
      <c r="A101" s="43" t="inlineStr">
        <is>
          <t>Mike Ast</t>
        </is>
      </c>
      <c r="B101" s="2" t="inlineStr">
        <is>
          <t>Paul Deady</t>
        </is>
      </c>
      <c r="C101" s="43" t="inlineStr">
        <is>
          <t>Constellation Brands</t>
        </is>
      </c>
      <c r="D101" s="53" t="n">
        <v>24427</v>
      </c>
      <c r="E101" s="33">
        <f>SUMIFS('Data - Season'!$E$5:$E$743,'Data - Season'!$A$5:$A$743,$A101,'Data - Season'!$C$5:$C$743,$C101,'Data - Season'!$B$5:$B$743,"Qualifier")</f>
        <v/>
      </c>
      <c r="F101" s="45">
        <f>IFERROR($D101/$E101-1,"")</f>
        <v/>
      </c>
      <c r="G101" s="54">
        <f>IF($D101&lt;$E101,"YES — below LY","no")</f>
        <v/>
      </c>
      <c r="H101" s="33">
        <f>SUMIFS('Data - Season'!$F$5:$F$743,'Data - Season'!$A$5:$A$743,$A101,'Data - Season'!$C$5:$C$743,$C101,'Data - Season'!$B$5:$B$743,"Qualifier")</f>
        <v/>
      </c>
      <c r="I101" s="45">
        <f>IFERROR($H101/$D101,"")</f>
        <v/>
      </c>
      <c r="J101" s="43">
        <f>IF($H101&gt;=$D101,"cleared","missed")</f>
        <v/>
      </c>
      <c r="K101" s="45">
        <f>IFERROR($H101/$E101-1,"")</f>
        <v/>
      </c>
      <c r="L101" s="2">
        <f>IF($D101&lt;=$E101,"at or below","above")</f>
        <v/>
      </c>
      <c r="M101" s="2">
        <f>IF(AND($E101&gt;0,ABS($D101/$E101-1)&lt;=0.01),"within 1%","")</f>
        <v/>
      </c>
    </row>
    <row r="102">
      <c r="A102" s="43" t="inlineStr">
        <is>
          <t>Mike Ast</t>
        </is>
      </c>
      <c r="B102" s="2" t="inlineStr">
        <is>
          <t>Paul Deady</t>
        </is>
      </c>
      <c r="C102" s="43" t="inlineStr">
        <is>
          <t>DG Yuengling Inc</t>
        </is>
      </c>
      <c r="D102" s="53" t="n">
        <v>3114</v>
      </c>
      <c r="E102" s="33">
        <f>SUMIFS('Data - Season'!$E$5:$E$743,'Data - Season'!$A$5:$A$743,$A102,'Data - Season'!$C$5:$C$743,$C102,'Data - Season'!$B$5:$B$743,"Qualifier")</f>
        <v/>
      </c>
      <c r="F102" s="45">
        <f>IFERROR($D102/$E102-1,"")</f>
        <v/>
      </c>
      <c r="G102" s="54">
        <f>IF($D102&lt;$E102,"YES — below LY","no")</f>
        <v/>
      </c>
      <c r="H102" s="33">
        <f>SUMIFS('Data - Season'!$F$5:$F$743,'Data - Season'!$A$5:$A$743,$A102,'Data - Season'!$C$5:$C$743,$C102,'Data - Season'!$B$5:$B$743,"Qualifier")</f>
        <v/>
      </c>
      <c r="I102" s="45">
        <f>IFERROR($H102/$D102,"")</f>
        <v/>
      </c>
      <c r="J102" s="43">
        <f>IF($H102&gt;=$D102,"cleared","missed")</f>
        <v/>
      </c>
      <c r="K102" s="45">
        <f>IFERROR($H102/$E102-1,"")</f>
        <v/>
      </c>
      <c r="L102" s="2">
        <f>IF($D102&lt;=$E102,"at or below","above")</f>
        <v/>
      </c>
      <c r="M102" s="2">
        <f>IF(AND($E102&gt;0,ABS($D102/$E102-1)&lt;=0.01),"within 1%","")</f>
        <v/>
      </c>
    </row>
    <row r="103">
      <c r="A103" s="43" t="inlineStr">
        <is>
          <t>Mike Ast</t>
        </is>
      </c>
      <c r="B103" s="2" t="inlineStr">
        <is>
          <t>Paul Deady</t>
        </is>
      </c>
      <c r="C103" s="43" t="inlineStr">
        <is>
          <t>Heineken USA</t>
        </is>
      </c>
      <c r="D103" s="53" t="n">
        <v>4695</v>
      </c>
      <c r="E103" s="33">
        <f>SUMIFS('Data - Season'!$E$5:$E$743,'Data - Season'!$A$5:$A$743,$A103,'Data - Season'!$C$5:$C$743,$C103,'Data - Season'!$B$5:$B$743,"Qualifier")</f>
        <v/>
      </c>
      <c r="F103" s="45">
        <f>IFERROR($D103/$E103-1,"")</f>
        <v/>
      </c>
      <c r="G103" s="54">
        <f>IF($D103&lt;$E103,"YES — below LY","no")</f>
        <v/>
      </c>
      <c r="H103" s="33">
        <f>SUMIFS('Data - Season'!$F$5:$F$743,'Data - Season'!$A$5:$A$743,$A103,'Data - Season'!$C$5:$C$743,$C103,'Data - Season'!$B$5:$B$743,"Qualifier")</f>
        <v/>
      </c>
      <c r="I103" s="45">
        <f>IFERROR($H103/$D103,"")</f>
        <v/>
      </c>
      <c r="J103" s="43">
        <f>IF($H103&gt;=$D103,"cleared","missed")</f>
        <v/>
      </c>
      <c r="K103" s="45">
        <f>IFERROR($H103/$E103-1,"")</f>
        <v/>
      </c>
      <c r="L103" s="2">
        <f>IF($D103&lt;=$E103,"at or below","above")</f>
        <v/>
      </c>
      <c r="M103" s="2">
        <f>IF(AND($E103&gt;0,ABS($D103/$E103-1)&lt;=0.01),"within 1%","")</f>
        <v/>
      </c>
    </row>
    <row r="104">
      <c r="A104" s="43" t="inlineStr">
        <is>
          <t>Mike Ast</t>
        </is>
      </c>
      <c r="B104" s="2" t="inlineStr">
        <is>
          <t>Paul Deady</t>
        </is>
      </c>
      <c r="C104" s="43" t="inlineStr">
        <is>
          <t>Mark Anthony</t>
        </is>
      </c>
      <c r="D104" s="53" t="n">
        <v>5657</v>
      </c>
      <c r="E104" s="33">
        <f>SUMIFS('Data - Season'!$E$5:$E$743,'Data - Season'!$A$5:$A$743,$A104,'Data - Season'!$C$5:$C$743,$C104,'Data - Season'!$B$5:$B$743,"Qualifier")</f>
        <v/>
      </c>
      <c r="F104" s="45">
        <f>IFERROR($D104/$E104-1,"")</f>
        <v/>
      </c>
      <c r="G104" s="54">
        <f>IF($D104&lt;$E104,"YES — below LY","no")</f>
        <v/>
      </c>
      <c r="H104" s="33">
        <f>SUMIFS('Data - Season'!$F$5:$F$743,'Data - Season'!$A$5:$A$743,$A104,'Data - Season'!$C$5:$C$743,$C104,'Data - Season'!$B$5:$B$743,"Qualifier")</f>
        <v/>
      </c>
      <c r="I104" s="45">
        <f>IFERROR($H104/$D104,"")</f>
        <v/>
      </c>
      <c r="J104" s="43">
        <f>IF($H104&gt;=$D104,"cleared","missed")</f>
        <v/>
      </c>
      <c r="K104" s="45">
        <f>IFERROR($H104/$E104-1,"")</f>
        <v/>
      </c>
      <c r="L104" s="2">
        <f>IF($D104&lt;=$E104,"at or below","above")</f>
        <v/>
      </c>
      <c r="M104" s="2">
        <f>IF(AND($E104&gt;0,ABS($D104/$E104-1)&lt;=0.01),"within 1%","")</f>
        <v/>
      </c>
    </row>
    <row r="105">
      <c r="A105" s="43" t="inlineStr">
        <is>
          <t>Mike Ast</t>
        </is>
      </c>
      <c r="B105" s="2" t="inlineStr">
        <is>
          <t>Paul Deady</t>
        </is>
      </c>
      <c r="C105" s="43" t="inlineStr">
        <is>
          <t>MolsonCoors Beverage Company</t>
        </is>
      </c>
      <c r="D105" s="53" t="n">
        <v>24960</v>
      </c>
      <c r="E105" s="33">
        <f>SUMIFS('Data - Season'!$E$5:$E$743,'Data - Season'!$A$5:$A$743,$A105,'Data - Season'!$C$5:$C$743,$C105,'Data - Season'!$B$5:$B$743,"Qualifier")</f>
        <v/>
      </c>
      <c r="F105" s="45">
        <f>IFERROR($D105/$E105-1,"")</f>
        <v/>
      </c>
      <c r="G105" s="54">
        <f>IF($D105&lt;$E105,"YES — below LY","no")</f>
        <v/>
      </c>
      <c r="H105" s="33">
        <f>SUMIFS('Data - Season'!$F$5:$F$743,'Data - Season'!$A$5:$A$743,$A105,'Data - Season'!$C$5:$C$743,$C105,'Data - Season'!$B$5:$B$743,"Qualifier")</f>
        <v/>
      </c>
      <c r="I105" s="45">
        <f>IFERROR($H105/$D105,"")</f>
        <v/>
      </c>
      <c r="J105" s="43">
        <f>IF($H105&gt;=$D105,"cleared","missed")</f>
        <v/>
      </c>
      <c r="K105" s="45">
        <f>IFERROR($H105/$E105-1,"")</f>
        <v/>
      </c>
      <c r="L105" s="2">
        <f>IF($D105&lt;=$E105,"at or below","above")</f>
        <v/>
      </c>
      <c r="M105" s="2">
        <f>IF(AND($E105&gt;0,ABS($D105/$E105-1)&lt;=0.01),"within 1%","")</f>
        <v/>
      </c>
    </row>
    <row r="106">
      <c r="A106" s="43" t="inlineStr">
        <is>
          <t>Nick Melissari</t>
        </is>
      </c>
      <c r="B106" s="2" t="inlineStr">
        <is>
          <t>Chris McCrohan</t>
        </is>
      </c>
      <c r="C106" s="43" t="inlineStr">
        <is>
          <t>Boston Beer Company</t>
        </is>
      </c>
      <c r="D106" s="53" t="n">
        <v>240</v>
      </c>
      <c r="E106" s="33">
        <f>SUMIFS('Data - Season'!$E$5:$E$743,'Data - Season'!$A$5:$A$743,$A106,'Data - Season'!$C$5:$C$743,$C106,'Data - Season'!$B$5:$B$743,"Qualifier")</f>
        <v/>
      </c>
      <c r="F106" s="45">
        <f>IFERROR($D106/$E106-1,"")</f>
        <v/>
      </c>
      <c r="G106" s="43">
        <f>IF($D106&lt;$E106,"YES — below LY","no")</f>
        <v/>
      </c>
      <c r="H106" s="33">
        <f>SUMIFS('Data - Season'!$F$5:$F$743,'Data - Season'!$A$5:$A$743,$A106,'Data - Season'!$C$5:$C$743,$C106,'Data - Season'!$B$5:$B$743,"Qualifier")</f>
        <v/>
      </c>
      <c r="I106" s="45">
        <f>IFERROR($H106/$D106,"")</f>
        <v/>
      </c>
      <c r="J106" s="43">
        <f>IF($H106&gt;=$D106,"cleared","missed")</f>
        <v/>
      </c>
      <c r="K106" s="45">
        <f>IFERROR($H106/$E106-1,"")</f>
        <v/>
      </c>
      <c r="L106" s="2">
        <f>IF($D106&lt;=$E106,"at or below","above")</f>
        <v/>
      </c>
      <c r="M106" s="2">
        <f>IF(AND($E106&gt;0,ABS($D106/$E106-1)&lt;=0.01),"within 1%","")</f>
        <v/>
      </c>
    </row>
    <row r="107">
      <c r="A107" s="43" t="inlineStr">
        <is>
          <t>Nick Melissari</t>
        </is>
      </c>
      <c r="B107" s="2" t="inlineStr">
        <is>
          <t>Chris McCrohan</t>
        </is>
      </c>
      <c r="C107" s="43" t="inlineStr">
        <is>
          <t>Constellation Brands</t>
        </is>
      </c>
      <c r="D107" s="53" t="n">
        <v>7671</v>
      </c>
      <c r="E107" s="33">
        <f>SUMIFS('Data - Season'!$E$5:$E$743,'Data - Season'!$A$5:$A$743,$A107,'Data - Season'!$C$5:$C$743,$C107,'Data - Season'!$B$5:$B$743,"Qualifier")</f>
        <v/>
      </c>
      <c r="F107" s="45">
        <f>IFERROR($D107/$E107-1,"")</f>
        <v/>
      </c>
      <c r="G107" s="43">
        <f>IF($D107&lt;$E107,"YES — below LY","no")</f>
        <v/>
      </c>
      <c r="H107" s="33">
        <f>SUMIFS('Data - Season'!$F$5:$F$743,'Data - Season'!$A$5:$A$743,$A107,'Data - Season'!$C$5:$C$743,$C107,'Data - Season'!$B$5:$B$743,"Qualifier")</f>
        <v/>
      </c>
      <c r="I107" s="45">
        <f>IFERROR($H107/$D107,"")</f>
        <v/>
      </c>
      <c r="J107" s="43">
        <f>IF($H107&gt;=$D107,"cleared","missed")</f>
        <v/>
      </c>
      <c r="K107" s="45">
        <f>IFERROR($H107/$E107-1,"")</f>
        <v/>
      </c>
      <c r="L107" s="2">
        <f>IF($D107&lt;=$E107,"at or below","above")</f>
        <v/>
      </c>
      <c r="M107" s="2">
        <f>IF(AND($E107&gt;0,ABS($D107/$E107-1)&lt;=0.01),"within 1%","")</f>
        <v/>
      </c>
    </row>
    <row r="108">
      <c r="A108" s="43" t="inlineStr">
        <is>
          <t>Nick Melissari</t>
        </is>
      </c>
      <c r="B108" s="2" t="inlineStr">
        <is>
          <t>Chris McCrohan</t>
        </is>
      </c>
      <c r="C108" s="43" t="inlineStr">
        <is>
          <t>DG Yuengling Inc</t>
        </is>
      </c>
      <c r="D108" s="53" t="n">
        <v>2613</v>
      </c>
      <c r="E108" s="33">
        <f>SUMIFS('Data - Season'!$E$5:$E$743,'Data - Season'!$A$5:$A$743,$A108,'Data - Season'!$C$5:$C$743,$C108,'Data - Season'!$B$5:$B$743,"Qualifier")</f>
        <v/>
      </c>
      <c r="F108" s="45">
        <f>IFERROR($D108/$E108-1,"")</f>
        <v/>
      </c>
      <c r="G108" s="43">
        <f>IF($D108&lt;$E108,"YES — below LY","no")</f>
        <v/>
      </c>
      <c r="H108" s="33">
        <f>SUMIFS('Data - Season'!$F$5:$F$743,'Data - Season'!$A$5:$A$743,$A108,'Data - Season'!$C$5:$C$743,$C108,'Data - Season'!$B$5:$B$743,"Qualifier")</f>
        <v/>
      </c>
      <c r="I108" s="45">
        <f>IFERROR($H108/$D108,"")</f>
        <v/>
      </c>
      <c r="J108" s="43">
        <f>IF($H108&gt;=$D108,"cleared","missed")</f>
        <v/>
      </c>
      <c r="K108" s="45">
        <f>IFERROR($H108/$E108-1,"")</f>
        <v/>
      </c>
      <c r="L108" s="2">
        <f>IF($D108&lt;=$E108,"at or below","above")</f>
        <v/>
      </c>
      <c r="M108" s="2">
        <f>IF(AND($E108&gt;0,ABS($D108/$E108-1)&lt;=0.01),"within 1%","")</f>
        <v/>
      </c>
    </row>
    <row r="109">
      <c r="A109" s="43" t="inlineStr">
        <is>
          <t>Nick Melissari</t>
        </is>
      </c>
      <c r="B109" s="2" t="inlineStr">
        <is>
          <t>Chris McCrohan</t>
        </is>
      </c>
      <c r="C109" s="43" t="inlineStr">
        <is>
          <t>Heineken USA</t>
        </is>
      </c>
      <c r="D109" s="53" t="n">
        <v>2344</v>
      </c>
      <c r="E109" s="33">
        <f>SUMIFS('Data - Season'!$E$5:$E$743,'Data - Season'!$A$5:$A$743,$A109,'Data - Season'!$C$5:$C$743,$C109,'Data - Season'!$B$5:$B$743,"Qualifier")</f>
        <v/>
      </c>
      <c r="F109" s="45">
        <f>IFERROR($D109/$E109-1,"")</f>
        <v/>
      </c>
      <c r="G109" s="54">
        <f>IF($D109&lt;$E109,"YES — below LY","no")</f>
        <v/>
      </c>
      <c r="H109" s="33">
        <f>SUMIFS('Data - Season'!$F$5:$F$743,'Data - Season'!$A$5:$A$743,$A109,'Data - Season'!$C$5:$C$743,$C109,'Data - Season'!$B$5:$B$743,"Qualifier")</f>
        <v/>
      </c>
      <c r="I109" s="45">
        <f>IFERROR($H109/$D109,"")</f>
        <v/>
      </c>
      <c r="J109" s="43">
        <f>IF($H109&gt;=$D109,"cleared","missed")</f>
        <v/>
      </c>
      <c r="K109" s="45">
        <f>IFERROR($H109/$E109-1,"")</f>
        <v/>
      </c>
      <c r="L109" s="2">
        <f>IF($D109&lt;=$E109,"at or below","above")</f>
        <v/>
      </c>
      <c r="M109" s="2">
        <f>IF(AND($E109&gt;0,ABS($D109/$E109-1)&lt;=0.01),"within 1%","")</f>
        <v/>
      </c>
    </row>
    <row r="110">
      <c r="A110" s="43" t="inlineStr">
        <is>
          <t>Nick Melissari</t>
        </is>
      </c>
      <c r="B110" s="2" t="inlineStr">
        <is>
          <t>Chris McCrohan</t>
        </is>
      </c>
      <c r="C110" s="43" t="inlineStr">
        <is>
          <t>Mark Anthony</t>
        </is>
      </c>
      <c r="D110" s="53" t="n">
        <v>598</v>
      </c>
      <c r="E110" s="33">
        <f>SUMIFS('Data - Season'!$E$5:$E$743,'Data - Season'!$A$5:$A$743,$A110,'Data - Season'!$C$5:$C$743,$C110,'Data - Season'!$B$5:$B$743,"Qualifier")</f>
        <v/>
      </c>
      <c r="F110" s="45">
        <f>IFERROR($D110/$E110-1,"")</f>
        <v/>
      </c>
      <c r="G110" s="54">
        <f>IF($D110&lt;$E110,"YES — below LY","no")</f>
        <v/>
      </c>
      <c r="H110" s="33">
        <f>SUMIFS('Data - Season'!$F$5:$F$743,'Data - Season'!$A$5:$A$743,$A110,'Data - Season'!$C$5:$C$743,$C110,'Data - Season'!$B$5:$B$743,"Qualifier")</f>
        <v/>
      </c>
      <c r="I110" s="45">
        <f>IFERROR($H110/$D110,"")</f>
        <v/>
      </c>
      <c r="J110" s="43">
        <f>IF($H110&gt;=$D110,"cleared","missed")</f>
        <v/>
      </c>
      <c r="K110" s="45">
        <f>IFERROR($H110/$E110-1,"")</f>
        <v/>
      </c>
      <c r="L110" s="2">
        <f>IF($D110&lt;=$E110,"at or below","above")</f>
        <v/>
      </c>
      <c r="M110" s="2">
        <f>IF(AND($E110&gt;0,ABS($D110/$E110-1)&lt;=0.01),"within 1%","")</f>
        <v/>
      </c>
    </row>
    <row r="111">
      <c r="A111" s="43" t="inlineStr">
        <is>
          <t>Nick Melissari</t>
        </is>
      </c>
      <c r="B111" s="2" t="inlineStr">
        <is>
          <t>Chris McCrohan</t>
        </is>
      </c>
      <c r="C111" s="43" t="inlineStr">
        <is>
          <t>MolsonCoors Beverage Company</t>
        </is>
      </c>
      <c r="D111" s="53" t="n">
        <v>13830</v>
      </c>
      <c r="E111" s="33">
        <f>SUMIFS('Data - Season'!$E$5:$E$743,'Data - Season'!$A$5:$A$743,$A111,'Data - Season'!$C$5:$C$743,$C111,'Data - Season'!$B$5:$B$743,"Qualifier")</f>
        <v/>
      </c>
      <c r="F111" s="45">
        <f>IFERROR($D111/$E111-1,"")</f>
        <v/>
      </c>
      <c r="G111" s="43">
        <f>IF($D111&lt;$E111,"YES — below LY","no")</f>
        <v/>
      </c>
      <c r="H111" s="33">
        <f>SUMIFS('Data - Season'!$F$5:$F$743,'Data - Season'!$A$5:$A$743,$A111,'Data - Season'!$C$5:$C$743,$C111,'Data - Season'!$B$5:$B$743,"Qualifier")</f>
        <v/>
      </c>
      <c r="I111" s="45">
        <f>IFERROR($H111/$D111,"")</f>
        <v/>
      </c>
      <c r="J111" s="43">
        <f>IF($H111&gt;=$D111,"cleared","missed")</f>
        <v/>
      </c>
      <c r="K111" s="45">
        <f>IFERROR($H111/$E111-1,"")</f>
        <v/>
      </c>
      <c r="L111" s="2">
        <f>IF($D111&lt;=$E111,"at or below","above")</f>
        <v/>
      </c>
      <c r="M111" s="2">
        <f>IF(AND($E111&gt;0,ABS($D111/$E111-1)&lt;=0.01),"within 1%","")</f>
        <v/>
      </c>
    </row>
    <row r="112">
      <c r="A112" s="43" t="inlineStr">
        <is>
          <t>Pablo Lopez</t>
        </is>
      </c>
      <c r="B112" s="2" t="inlineStr">
        <is>
          <t>Denise Montes</t>
        </is>
      </c>
      <c r="C112" s="43" t="inlineStr">
        <is>
          <t>Boston Beer Company</t>
        </is>
      </c>
      <c r="D112" s="53" t="n">
        <v>325</v>
      </c>
      <c r="E112" s="33">
        <f>SUMIFS('Data - Season'!$E$5:$E$743,'Data - Season'!$A$5:$A$743,$A112,'Data - Season'!$C$5:$C$743,$C112,'Data - Season'!$B$5:$B$743,"Qualifier")</f>
        <v/>
      </c>
      <c r="F112" s="45">
        <f>IFERROR($D112/$E112-1,"")</f>
        <v/>
      </c>
      <c r="G112" s="54">
        <f>IF($D112&lt;$E112,"YES — below LY","no")</f>
        <v/>
      </c>
      <c r="H112" s="33">
        <f>SUMIFS('Data - Season'!$F$5:$F$743,'Data - Season'!$A$5:$A$743,$A112,'Data - Season'!$C$5:$C$743,$C112,'Data - Season'!$B$5:$B$743,"Qualifier")</f>
        <v/>
      </c>
      <c r="I112" s="45">
        <f>IFERROR($H112/$D112,"")</f>
        <v/>
      </c>
      <c r="J112" s="43">
        <f>IF($H112&gt;=$D112,"cleared","missed")</f>
        <v/>
      </c>
      <c r="K112" s="45">
        <f>IFERROR($H112/$E112-1,"")</f>
        <v/>
      </c>
      <c r="L112" s="2">
        <f>IF($D112&lt;=$E112,"at or below","above")</f>
        <v/>
      </c>
      <c r="M112" s="2">
        <f>IF(AND($E112&gt;0,ABS($D112/$E112-1)&lt;=0.01),"within 1%","")</f>
        <v/>
      </c>
    </row>
    <row r="113">
      <c r="A113" s="43" t="inlineStr">
        <is>
          <t>Pablo Lopez</t>
        </is>
      </c>
      <c r="B113" s="2" t="inlineStr">
        <is>
          <t>Denise Montes</t>
        </is>
      </c>
      <c r="C113" s="43" t="inlineStr">
        <is>
          <t>Constellation Brands</t>
        </is>
      </c>
      <c r="D113" s="53" t="n">
        <v>50360</v>
      </c>
      <c r="E113" s="33">
        <f>SUMIFS('Data - Season'!$E$5:$E$743,'Data - Season'!$A$5:$A$743,$A113,'Data - Season'!$C$5:$C$743,$C113,'Data - Season'!$B$5:$B$743,"Qualifier")</f>
        <v/>
      </c>
      <c r="F113" s="45">
        <f>IFERROR($D113/$E113-1,"")</f>
        <v/>
      </c>
      <c r="G113" s="54">
        <f>IF($D113&lt;$E113,"YES — below LY","no")</f>
        <v/>
      </c>
      <c r="H113" s="33">
        <f>SUMIFS('Data - Season'!$F$5:$F$743,'Data - Season'!$A$5:$A$743,$A113,'Data - Season'!$C$5:$C$743,$C113,'Data - Season'!$B$5:$B$743,"Qualifier")</f>
        <v/>
      </c>
      <c r="I113" s="45">
        <f>IFERROR($H113/$D113,"")</f>
        <v/>
      </c>
      <c r="J113" s="43">
        <f>IF($H113&gt;=$D113,"cleared","missed")</f>
        <v/>
      </c>
      <c r="K113" s="45">
        <f>IFERROR($H113/$E113-1,"")</f>
        <v/>
      </c>
      <c r="L113" s="2">
        <f>IF($D113&lt;=$E113,"at or below","above")</f>
        <v/>
      </c>
      <c r="M113" s="2">
        <f>IF(AND($E113&gt;0,ABS($D113/$E113-1)&lt;=0.01),"within 1%","")</f>
        <v/>
      </c>
    </row>
    <row r="114">
      <c r="A114" s="43" t="inlineStr">
        <is>
          <t>Pablo Lopez</t>
        </is>
      </c>
      <c r="B114" s="2" t="inlineStr">
        <is>
          <t>Denise Montes</t>
        </is>
      </c>
      <c r="C114" s="43" t="inlineStr">
        <is>
          <t>DG Yuengling Inc</t>
        </is>
      </c>
      <c r="D114" s="53" t="n">
        <v>136</v>
      </c>
      <c r="E114" s="33">
        <f>SUMIFS('Data - Season'!$E$5:$E$743,'Data - Season'!$A$5:$A$743,$A114,'Data - Season'!$C$5:$C$743,$C114,'Data - Season'!$B$5:$B$743,"Qualifier")</f>
        <v/>
      </c>
      <c r="F114" s="45">
        <f>IFERROR($D114/$E114-1,"")</f>
        <v/>
      </c>
      <c r="G114" s="54">
        <f>IF($D114&lt;$E114,"YES — below LY","no")</f>
        <v/>
      </c>
      <c r="H114" s="33">
        <f>SUMIFS('Data - Season'!$F$5:$F$743,'Data - Season'!$A$5:$A$743,$A114,'Data - Season'!$C$5:$C$743,$C114,'Data - Season'!$B$5:$B$743,"Qualifier")</f>
        <v/>
      </c>
      <c r="I114" s="45">
        <f>IFERROR($H114/$D114,"")</f>
        <v/>
      </c>
      <c r="J114" s="43">
        <f>IF($H114&gt;=$D114,"cleared","missed")</f>
        <v/>
      </c>
      <c r="K114" s="45">
        <f>IFERROR($H114/$E114-1,"")</f>
        <v/>
      </c>
      <c r="L114" s="2">
        <f>IF($D114&lt;=$E114,"at or below","above")</f>
        <v/>
      </c>
      <c r="M114" s="2">
        <f>IF(AND($E114&gt;0,ABS($D114/$E114-1)&lt;=0.01),"within 1%","")</f>
        <v/>
      </c>
    </row>
    <row r="115">
      <c r="A115" s="43" t="inlineStr">
        <is>
          <t>Pablo Lopez</t>
        </is>
      </c>
      <c r="B115" s="2" t="inlineStr">
        <is>
          <t>Denise Montes</t>
        </is>
      </c>
      <c r="C115" s="43" t="inlineStr">
        <is>
          <t>Heineken USA</t>
        </is>
      </c>
      <c r="D115" s="53" t="n">
        <v>8209</v>
      </c>
      <c r="E115" s="33">
        <f>SUMIFS('Data - Season'!$E$5:$E$743,'Data - Season'!$A$5:$A$743,$A115,'Data - Season'!$C$5:$C$743,$C115,'Data - Season'!$B$5:$B$743,"Qualifier")</f>
        <v/>
      </c>
      <c r="F115" s="45">
        <f>IFERROR($D115/$E115-1,"")</f>
        <v/>
      </c>
      <c r="G115" s="54">
        <f>IF($D115&lt;$E115,"YES — below LY","no")</f>
        <v/>
      </c>
      <c r="H115" s="33">
        <f>SUMIFS('Data - Season'!$F$5:$F$743,'Data - Season'!$A$5:$A$743,$A115,'Data - Season'!$C$5:$C$743,$C115,'Data - Season'!$B$5:$B$743,"Qualifier")</f>
        <v/>
      </c>
      <c r="I115" s="45">
        <f>IFERROR($H115/$D115,"")</f>
        <v/>
      </c>
      <c r="J115" s="43">
        <f>IF($H115&gt;=$D115,"cleared","missed")</f>
        <v/>
      </c>
      <c r="K115" s="45">
        <f>IFERROR($H115/$E115-1,"")</f>
        <v/>
      </c>
      <c r="L115" s="2">
        <f>IF($D115&lt;=$E115,"at or below","above")</f>
        <v/>
      </c>
      <c r="M115" s="2">
        <f>IF(AND($E115&gt;0,ABS($D115/$E115-1)&lt;=0.01),"within 1%","")</f>
        <v/>
      </c>
    </row>
    <row r="116">
      <c r="A116" s="43" t="inlineStr">
        <is>
          <t>Pablo Lopez</t>
        </is>
      </c>
      <c r="B116" s="2" t="inlineStr">
        <is>
          <t>Denise Montes</t>
        </is>
      </c>
      <c r="C116" s="43" t="inlineStr">
        <is>
          <t>Mark Anthony</t>
        </is>
      </c>
      <c r="D116" s="53" t="n">
        <v>806</v>
      </c>
      <c r="E116" s="33">
        <f>SUMIFS('Data - Season'!$E$5:$E$743,'Data - Season'!$A$5:$A$743,$A116,'Data - Season'!$C$5:$C$743,$C116,'Data - Season'!$B$5:$B$743,"Qualifier")</f>
        <v/>
      </c>
      <c r="F116" s="45">
        <f>IFERROR($D116/$E116-1,"")</f>
        <v/>
      </c>
      <c r="G116" s="54">
        <f>IF($D116&lt;$E116,"YES — below LY","no")</f>
        <v/>
      </c>
      <c r="H116" s="33">
        <f>SUMIFS('Data - Season'!$F$5:$F$743,'Data - Season'!$A$5:$A$743,$A116,'Data - Season'!$C$5:$C$743,$C116,'Data - Season'!$B$5:$B$743,"Qualifier")</f>
        <v/>
      </c>
      <c r="I116" s="45">
        <f>IFERROR($H116/$D116,"")</f>
        <v/>
      </c>
      <c r="J116" s="43">
        <f>IF($H116&gt;=$D116,"cleared","missed")</f>
        <v/>
      </c>
      <c r="K116" s="45">
        <f>IFERROR($H116/$E116-1,"")</f>
        <v/>
      </c>
      <c r="L116" s="2">
        <f>IF($D116&lt;=$E116,"at or below","above")</f>
        <v/>
      </c>
      <c r="M116" s="2">
        <f>IF(AND($E116&gt;0,ABS($D116/$E116-1)&lt;=0.01),"within 1%","")</f>
        <v/>
      </c>
    </row>
    <row r="117">
      <c r="A117" s="43" t="inlineStr">
        <is>
          <t>Pablo Lopez</t>
        </is>
      </c>
      <c r="B117" s="2" t="inlineStr">
        <is>
          <t>Denise Montes</t>
        </is>
      </c>
      <c r="C117" s="43" t="inlineStr">
        <is>
          <t>MolsonCoors Beverage Company</t>
        </is>
      </c>
      <c r="D117" s="53" t="n">
        <v>13022</v>
      </c>
      <c r="E117" s="33">
        <f>SUMIFS('Data - Season'!$E$5:$E$743,'Data - Season'!$A$5:$A$743,$A117,'Data - Season'!$C$5:$C$743,$C117,'Data - Season'!$B$5:$B$743,"Qualifier")</f>
        <v/>
      </c>
      <c r="F117" s="45">
        <f>IFERROR($D117/$E117-1,"")</f>
        <v/>
      </c>
      <c r="G117" s="54">
        <f>IF($D117&lt;$E117,"YES — below LY","no")</f>
        <v/>
      </c>
      <c r="H117" s="33">
        <f>SUMIFS('Data - Season'!$F$5:$F$743,'Data - Season'!$A$5:$A$743,$A117,'Data - Season'!$C$5:$C$743,$C117,'Data - Season'!$B$5:$B$743,"Qualifier")</f>
        <v/>
      </c>
      <c r="I117" s="45">
        <f>IFERROR($H117/$D117,"")</f>
        <v/>
      </c>
      <c r="J117" s="43">
        <f>IF($H117&gt;=$D117,"cleared","missed")</f>
        <v/>
      </c>
      <c r="K117" s="45">
        <f>IFERROR($H117/$E117-1,"")</f>
        <v/>
      </c>
      <c r="L117" s="2">
        <f>IF($D117&lt;=$E117,"at or below","above")</f>
        <v/>
      </c>
      <c r="M117" s="2">
        <f>IF(AND($E117&gt;0,ABS($D117/$E117-1)&lt;=0.01),"within 1%","")</f>
        <v/>
      </c>
    </row>
    <row r="118">
      <c r="A118" s="43" t="inlineStr">
        <is>
          <t>Paul Mclaughlin</t>
        </is>
      </c>
      <c r="B118" s="2" t="inlineStr">
        <is>
          <t>Chris McCrohan</t>
        </is>
      </c>
      <c r="C118" s="43" t="inlineStr">
        <is>
          <t>Boston Beer Company</t>
        </is>
      </c>
      <c r="D118" s="53" t="n">
        <v>125</v>
      </c>
      <c r="E118" s="33">
        <f>SUMIFS('Data - Season'!$E$5:$E$743,'Data - Season'!$A$5:$A$743,$A118,'Data - Season'!$C$5:$C$743,$C118,'Data - Season'!$B$5:$B$743,"Qualifier")</f>
        <v/>
      </c>
      <c r="F118" s="45">
        <f>IFERROR($D118/$E118-1,"")</f>
        <v/>
      </c>
      <c r="G118" s="54">
        <f>IF($D118&lt;$E118,"YES — below LY","no")</f>
        <v/>
      </c>
      <c r="H118" s="33">
        <f>SUMIFS('Data - Season'!$F$5:$F$743,'Data - Season'!$A$5:$A$743,$A118,'Data - Season'!$C$5:$C$743,$C118,'Data - Season'!$B$5:$B$743,"Qualifier")</f>
        <v/>
      </c>
      <c r="I118" s="45">
        <f>IFERROR($H118/$D118,"")</f>
        <v/>
      </c>
      <c r="J118" s="43">
        <f>IF($H118&gt;=$D118,"cleared","missed")</f>
        <v/>
      </c>
      <c r="K118" s="45">
        <f>IFERROR($H118/$E118-1,"")</f>
        <v/>
      </c>
      <c r="L118" s="2">
        <f>IF($D118&lt;=$E118,"at or below","above")</f>
        <v/>
      </c>
      <c r="M118" s="2">
        <f>IF(AND($E118&gt;0,ABS($D118/$E118-1)&lt;=0.01),"within 1%","")</f>
        <v/>
      </c>
    </row>
    <row r="119">
      <c r="A119" s="43" t="inlineStr">
        <is>
          <t>Paul Mclaughlin</t>
        </is>
      </c>
      <c r="B119" s="2" t="inlineStr">
        <is>
          <t>Chris McCrohan</t>
        </is>
      </c>
      <c r="C119" s="43" t="inlineStr">
        <is>
          <t>Constellation Brands</t>
        </is>
      </c>
      <c r="D119" s="53" t="n">
        <v>5925</v>
      </c>
      <c r="E119" s="33">
        <f>SUMIFS('Data - Season'!$E$5:$E$743,'Data - Season'!$A$5:$A$743,$A119,'Data - Season'!$C$5:$C$743,$C119,'Data - Season'!$B$5:$B$743,"Qualifier")</f>
        <v/>
      </c>
      <c r="F119" s="45">
        <f>IFERROR($D119/$E119-1,"")</f>
        <v/>
      </c>
      <c r="G119" s="54">
        <f>IF($D119&lt;$E119,"YES — below LY","no")</f>
        <v/>
      </c>
      <c r="H119" s="33">
        <f>SUMIFS('Data - Season'!$F$5:$F$743,'Data - Season'!$A$5:$A$743,$A119,'Data - Season'!$C$5:$C$743,$C119,'Data - Season'!$B$5:$B$743,"Qualifier")</f>
        <v/>
      </c>
      <c r="I119" s="45">
        <f>IFERROR($H119/$D119,"")</f>
        <v/>
      </c>
      <c r="J119" s="43">
        <f>IF($H119&gt;=$D119,"cleared","missed")</f>
        <v/>
      </c>
      <c r="K119" s="45">
        <f>IFERROR($H119/$E119-1,"")</f>
        <v/>
      </c>
      <c r="L119" s="2">
        <f>IF($D119&lt;=$E119,"at or below","above")</f>
        <v/>
      </c>
      <c r="M119" s="2">
        <f>IF(AND($E119&gt;0,ABS($D119/$E119-1)&lt;=0.01),"within 1%","")</f>
        <v/>
      </c>
    </row>
    <row r="120">
      <c r="A120" s="43" t="inlineStr">
        <is>
          <t>Paul Mclaughlin</t>
        </is>
      </c>
      <c r="B120" s="2" t="inlineStr">
        <is>
          <t>Chris McCrohan</t>
        </is>
      </c>
      <c r="C120" s="43" t="inlineStr">
        <is>
          <t>DG Yuengling Inc</t>
        </is>
      </c>
      <c r="D120" s="53" t="n">
        <v>1584</v>
      </c>
      <c r="E120" s="33">
        <f>SUMIFS('Data - Season'!$E$5:$E$743,'Data - Season'!$A$5:$A$743,$A120,'Data - Season'!$C$5:$C$743,$C120,'Data - Season'!$B$5:$B$743,"Qualifier")</f>
        <v/>
      </c>
      <c r="F120" s="45">
        <f>IFERROR($D120/$E120-1,"")</f>
        <v/>
      </c>
      <c r="G120" s="54">
        <f>IF($D120&lt;$E120,"YES — below LY","no")</f>
        <v/>
      </c>
      <c r="H120" s="33">
        <f>SUMIFS('Data - Season'!$F$5:$F$743,'Data - Season'!$A$5:$A$743,$A120,'Data - Season'!$C$5:$C$743,$C120,'Data - Season'!$B$5:$B$743,"Qualifier")</f>
        <v/>
      </c>
      <c r="I120" s="45">
        <f>IFERROR($H120/$D120,"")</f>
        <v/>
      </c>
      <c r="J120" s="43">
        <f>IF($H120&gt;=$D120,"cleared","missed")</f>
        <v/>
      </c>
      <c r="K120" s="45">
        <f>IFERROR($H120/$E120-1,"")</f>
        <v/>
      </c>
      <c r="L120" s="2">
        <f>IF($D120&lt;=$E120,"at or below","above")</f>
        <v/>
      </c>
      <c r="M120" s="2">
        <f>IF(AND($E120&gt;0,ABS($D120/$E120-1)&lt;=0.01),"within 1%","")</f>
        <v/>
      </c>
    </row>
    <row r="121">
      <c r="A121" s="43" t="inlineStr">
        <is>
          <t>Paul Mclaughlin</t>
        </is>
      </c>
      <c r="B121" s="2" t="inlineStr">
        <is>
          <t>Chris McCrohan</t>
        </is>
      </c>
      <c r="C121" s="43" t="inlineStr">
        <is>
          <t>Heineken USA</t>
        </is>
      </c>
      <c r="D121" s="53" t="n">
        <v>1498</v>
      </c>
      <c r="E121" s="33">
        <f>SUMIFS('Data - Season'!$E$5:$E$743,'Data - Season'!$A$5:$A$743,$A121,'Data - Season'!$C$5:$C$743,$C121,'Data - Season'!$B$5:$B$743,"Qualifier")</f>
        <v/>
      </c>
      <c r="F121" s="45">
        <f>IFERROR($D121/$E121-1,"")</f>
        <v/>
      </c>
      <c r="G121" s="54">
        <f>IF($D121&lt;$E121,"YES — below LY","no")</f>
        <v/>
      </c>
      <c r="H121" s="33">
        <f>SUMIFS('Data - Season'!$F$5:$F$743,'Data - Season'!$A$5:$A$743,$A121,'Data - Season'!$C$5:$C$743,$C121,'Data - Season'!$B$5:$B$743,"Qualifier")</f>
        <v/>
      </c>
      <c r="I121" s="45">
        <f>IFERROR($H121/$D121,"")</f>
        <v/>
      </c>
      <c r="J121" s="43">
        <f>IF($H121&gt;=$D121,"cleared","missed")</f>
        <v/>
      </c>
      <c r="K121" s="45">
        <f>IFERROR($H121/$E121-1,"")</f>
        <v/>
      </c>
      <c r="L121" s="2">
        <f>IF($D121&lt;=$E121,"at or below","above")</f>
        <v/>
      </c>
      <c r="M121" s="2">
        <f>IF(AND($E121&gt;0,ABS($D121/$E121-1)&lt;=0.01),"within 1%","")</f>
        <v/>
      </c>
    </row>
    <row r="122">
      <c r="A122" s="43" t="inlineStr">
        <is>
          <t>Paul Mclaughlin</t>
        </is>
      </c>
      <c r="B122" s="2" t="inlineStr">
        <is>
          <t>Chris McCrohan</t>
        </is>
      </c>
      <c r="C122" s="43" t="inlineStr">
        <is>
          <t>Mark Anthony</t>
        </is>
      </c>
      <c r="D122" s="53" t="n">
        <v>387</v>
      </c>
      <c r="E122" s="33">
        <f>SUMIFS('Data - Season'!$E$5:$E$743,'Data - Season'!$A$5:$A$743,$A122,'Data - Season'!$C$5:$C$743,$C122,'Data - Season'!$B$5:$B$743,"Qualifier")</f>
        <v/>
      </c>
      <c r="F122" s="45">
        <f>IFERROR($D122/$E122-1,"")</f>
        <v/>
      </c>
      <c r="G122" s="54">
        <f>IF($D122&lt;$E122,"YES — below LY","no")</f>
        <v/>
      </c>
      <c r="H122" s="33">
        <f>SUMIFS('Data - Season'!$F$5:$F$743,'Data - Season'!$A$5:$A$743,$A122,'Data - Season'!$C$5:$C$743,$C122,'Data - Season'!$B$5:$B$743,"Qualifier")</f>
        <v/>
      </c>
      <c r="I122" s="45">
        <f>IFERROR($H122/$D122,"")</f>
        <v/>
      </c>
      <c r="J122" s="43">
        <f>IF($H122&gt;=$D122,"cleared","missed")</f>
        <v/>
      </c>
      <c r="K122" s="45">
        <f>IFERROR($H122/$E122-1,"")</f>
        <v/>
      </c>
      <c r="L122" s="2">
        <f>IF($D122&lt;=$E122,"at or below","above")</f>
        <v/>
      </c>
      <c r="M122" s="2">
        <f>IF(AND($E122&gt;0,ABS($D122/$E122-1)&lt;=0.01),"within 1%","")</f>
        <v/>
      </c>
    </row>
    <row r="123">
      <c r="A123" s="43" t="inlineStr">
        <is>
          <t>Paul Mclaughlin</t>
        </is>
      </c>
      <c r="B123" s="2" t="inlineStr">
        <is>
          <t>Chris McCrohan</t>
        </is>
      </c>
      <c r="C123" s="43" t="inlineStr">
        <is>
          <t>MolsonCoors Beverage Company</t>
        </is>
      </c>
      <c r="D123" s="53" t="n">
        <v>7860</v>
      </c>
      <c r="E123" s="33">
        <f>SUMIFS('Data - Season'!$E$5:$E$743,'Data - Season'!$A$5:$A$743,$A123,'Data - Season'!$C$5:$C$743,$C123,'Data - Season'!$B$5:$B$743,"Qualifier")</f>
        <v/>
      </c>
      <c r="F123" s="45">
        <f>IFERROR($D123/$E123-1,"")</f>
        <v/>
      </c>
      <c r="G123" s="54">
        <f>IF($D123&lt;$E123,"YES — below LY","no")</f>
        <v/>
      </c>
      <c r="H123" s="33">
        <f>SUMIFS('Data - Season'!$F$5:$F$743,'Data - Season'!$A$5:$A$743,$A123,'Data - Season'!$C$5:$C$743,$C123,'Data - Season'!$B$5:$B$743,"Qualifier")</f>
        <v/>
      </c>
      <c r="I123" s="45">
        <f>IFERROR($H123/$D123,"")</f>
        <v/>
      </c>
      <c r="J123" s="43">
        <f>IF($H123&gt;=$D123,"cleared","missed")</f>
        <v/>
      </c>
      <c r="K123" s="45">
        <f>IFERROR($H123/$E123-1,"")</f>
        <v/>
      </c>
      <c r="L123" s="2">
        <f>IF($D123&lt;=$E123,"at or below","above")</f>
        <v/>
      </c>
      <c r="M123" s="2">
        <f>IF(AND($E123&gt;0,ABS($D123/$E123-1)&lt;=0.01),"within 1%","")</f>
        <v/>
      </c>
    </row>
    <row r="124">
      <c r="A124" s="43" t="inlineStr">
        <is>
          <t>Phil Ernst</t>
        </is>
      </c>
      <c r="B124" s="2" t="inlineStr">
        <is>
          <t>Mike Engel</t>
        </is>
      </c>
      <c r="C124" s="43" t="inlineStr">
        <is>
          <t>Boston Beer Company</t>
        </is>
      </c>
      <c r="D124" s="53" t="n">
        <v>3300</v>
      </c>
      <c r="E124" s="33">
        <f>SUMIFS('Data - Season'!$E$5:$E$743,'Data - Season'!$A$5:$A$743,$A124,'Data - Season'!$C$5:$C$743,$C124,'Data - Season'!$B$5:$B$743,"Qualifier")</f>
        <v/>
      </c>
      <c r="F124" s="45">
        <f>IFERROR($D124/$E124-1,"")</f>
        <v/>
      </c>
      <c r="G124" s="54">
        <f>IF($D124&lt;$E124,"YES — below LY","no")</f>
        <v/>
      </c>
      <c r="H124" s="33">
        <f>SUMIFS('Data - Season'!$F$5:$F$743,'Data - Season'!$A$5:$A$743,$A124,'Data - Season'!$C$5:$C$743,$C124,'Data - Season'!$B$5:$B$743,"Qualifier")</f>
        <v/>
      </c>
      <c r="I124" s="45">
        <f>IFERROR($H124/$D124,"")</f>
        <v/>
      </c>
      <c r="J124" s="43">
        <f>IF($H124&gt;=$D124,"cleared","missed")</f>
        <v/>
      </c>
      <c r="K124" s="45">
        <f>IFERROR($H124/$E124-1,"")</f>
        <v/>
      </c>
      <c r="L124" s="2">
        <f>IF($D124&lt;=$E124,"at or below","above")</f>
        <v/>
      </c>
      <c r="M124" s="2">
        <f>IF(AND($E124&gt;0,ABS($D124/$E124-1)&lt;=0.01),"within 1%","")</f>
        <v/>
      </c>
    </row>
    <row r="125">
      <c r="A125" s="43" t="inlineStr">
        <is>
          <t>Phil Ernst</t>
        </is>
      </c>
      <c r="B125" s="2" t="inlineStr">
        <is>
          <t>Mike Engel</t>
        </is>
      </c>
      <c r="C125" s="43" t="inlineStr">
        <is>
          <t>Constellation Brands</t>
        </is>
      </c>
      <c r="D125" s="53" t="n">
        <v>37769</v>
      </c>
      <c r="E125" s="33">
        <f>SUMIFS('Data - Season'!$E$5:$E$743,'Data - Season'!$A$5:$A$743,$A125,'Data - Season'!$C$5:$C$743,$C125,'Data - Season'!$B$5:$B$743,"Qualifier")</f>
        <v/>
      </c>
      <c r="F125" s="45">
        <f>IFERROR($D125/$E125-1,"")</f>
        <v/>
      </c>
      <c r="G125" s="54">
        <f>IF($D125&lt;$E125,"YES — below LY","no")</f>
        <v/>
      </c>
      <c r="H125" s="33">
        <f>SUMIFS('Data - Season'!$F$5:$F$743,'Data - Season'!$A$5:$A$743,$A125,'Data - Season'!$C$5:$C$743,$C125,'Data - Season'!$B$5:$B$743,"Qualifier")</f>
        <v/>
      </c>
      <c r="I125" s="45">
        <f>IFERROR($H125/$D125,"")</f>
        <v/>
      </c>
      <c r="J125" s="43">
        <f>IF($H125&gt;=$D125,"cleared","missed")</f>
        <v/>
      </c>
      <c r="K125" s="45">
        <f>IFERROR($H125/$E125-1,"")</f>
        <v/>
      </c>
      <c r="L125" s="2">
        <f>IF($D125&lt;=$E125,"at or below","above")</f>
        <v/>
      </c>
      <c r="M125" s="2">
        <f>IF(AND($E125&gt;0,ABS($D125/$E125-1)&lt;=0.01),"within 1%","")</f>
        <v/>
      </c>
    </row>
    <row r="126">
      <c r="A126" s="43" t="inlineStr">
        <is>
          <t>Phil Ernst</t>
        </is>
      </c>
      <c r="B126" s="2" t="inlineStr">
        <is>
          <t>Mike Engel</t>
        </is>
      </c>
      <c r="C126" s="43" t="inlineStr">
        <is>
          <t>DG Yuengling Inc</t>
        </is>
      </c>
      <c r="D126" s="53" t="n">
        <v>2688</v>
      </c>
      <c r="E126" s="33">
        <f>SUMIFS('Data - Season'!$E$5:$E$743,'Data - Season'!$A$5:$A$743,$A126,'Data - Season'!$C$5:$C$743,$C126,'Data - Season'!$B$5:$B$743,"Qualifier")</f>
        <v/>
      </c>
      <c r="F126" s="45">
        <f>IFERROR($D126/$E126-1,"")</f>
        <v/>
      </c>
      <c r="G126" s="54">
        <f>IF($D126&lt;$E126,"YES — below LY","no")</f>
        <v/>
      </c>
      <c r="H126" s="33">
        <f>SUMIFS('Data - Season'!$F$5:$F$743,'Data - Season'!$A$5:$A$743,$A126,'Data - Season'!$C$5:$C$743,$C126,'Data - Season'!$B$5:$B$743,"Qualifier")</f>
        <v/>
      </c>
      <c r="I126" s="45">
        <f>IFERROR($H126/$D126,"")</f>
        <v/>
      </c>
      <c r="J126" s="43">
        <f>IF($H126&gt;=$D126,"cleared","missed")</f>
        <v/>
      </c>
      <c r="K126" s="45">
        <f>IFERROR($H126/$E126-1,"")</f>
        <v/>
      </c>
      <c r="L126" s="2">
        <f>IF($D126&lt;=$E126,"at or below","above")</f>
        <v/>
      </c>
      <c r="M126" s="2">
        <f>IF(AND($E126&gt;0,ABS($D126/$E126-1)&lt;=0.01),"within 1%","")</f>
        <v/>
      </c>
    </row>
    <row r="127">
      <c r="A127" s="43" t="inlineStr">
        <is>
          <t>Phil Ernst</t>
        </is>
      </c>
      <c r="B127" s="2" t="inlineStr">
        <is>
          <t>Mike Engel</t>
        </is>
      </c>
      <c r="C127" s="43" t="inlineStr">
        <is>
          <t>Heineken USA</t>
        </is>
      </c>
      <c r="D127" s="53" t="n">
        <v>8698</v>
      </c>
      <c r="E127" s="33">
        <f>SUMIFS('Data - Season'!$E$5:$E$743,'Data - Season'!$A$5:$A$743,$A127,'Data - Season'!$C$5:$C$743,$C127,'Data - Season'!$B$5:$B$743,"Qualifier")</f>
        <v/>
      </c>
      <c r="F127" s="45">
        <f>IFERROR($D127/$E127-1,"")</f>
        <v/>
      </c>
      <c r="G127" s="54">
        <f>IF($D127&lt;$E127,"YES — below LY","no")</f>
        <v/>
      </c>
      <c r="H127" s="33">
        <f>SUMIFS('Data - Season'!$F$5:$F$743,'Data - Season'!$A$5:$A$743,$A127,'Data - Season'!$C$5:$C$743,$C127,'Data - Season'!$B$5:$B$743,"Qualifier")</f>
        <v/>
      </c>
      <c r="I127" s="45">
        <f>IFERROR($H127/$D127,"")</f>
        <v/>
      </c>
      <c r="J127" s="43">
        <f>IF($H127&gt;=$D127,"cleared","missed")</f>
        <v/>
      </c>
      <c r="K127" s="45">
        <f>IFERROR($H127/$E127-1,"")</f>
        <v/>
      </c>
      <c r="L127" s="2">
        <f>IF($D127&lt;=$E127,"at or below","above")</f>
        <v/>
      </c>
      <c r="M127" s="2">
        <f>IF(AND($E127&gt;0,ABS($D127/$E127-1)&lt;=0.01),"within 1%","")</f>
        <v/>
      </c>
    </row>
    <row r="128">
      <c r="A128" s="43" t="inlineStr">
        <is>
          <t>Phil Ernst</t>
        </is>
      </c>
      <c r="B128" s="2" t="inlineStr">
        <is>
          <t>Mike Engel</t>
        </is>
      </c>
      <c r="C128" s="43" t="inlineStr">
        <is>
          <t>Mark Anthony</t>
        </is>
      </c>
      <c r="D128" s="53" t="n">
        <v>5415</v>
      </c>
      <c r="E128" s="33">
        <f>SUMIFS('Data - Season'!$E$5:$E$743,'Data - Season'!$A$5:$A$743,$A128,'Data - Season'!$C$5:$C$743,$C128,'Data - Season'!$B$5:$B$743,"Qualifier")</f>
        <v/>
      </c>
      <c r="F128" s="45">
        <f>IFERROR($D128/$E128-1,"")</f>
        <v/>
      </c>
      <c r="G128" s="54">
        <f>IF($D128&lt;$E128,"YES — below LY","no")</f>
        <v/>
      </c>
      <c r="H128" s="33">
        <f>SUMIFS('Data - Season'!$F$5:$F$743,'Data - Season'!$A$5:$A$743,$A128,'Data - Season'!$C$5:$C$743,$C128,'Data - Season'!$B$5:$B$743,"Qualifier")</f>
        <v/>
      </c>
      <c r="I128" s="45">
        <f>IFERROR($H128/$D128,"")</f>
        <v/>
      </c>
      <c r="J128" s="43">
        <f>IF($H128&gt;=$D128,"cleared","missed")</f>
        <v/>
      </c>
      <c r="K128" s="45">
        <f>IFERROR($H128/$E128-1,"")</f>
        <v/>
      </c>
      <c r="L128" s="2">
        <f>IF($D128&lt;=$E128,"at or below","above")</f>
        <v/>
      </c>
      <c r="M128" s="2">
        <f>IF(AND($E128&gt;0,ABS($D128/$E128-1)&lt;=0.01),"within 1%","")</f>
        <v/>
      </c>
    </row>
    <row r="129">
      <c r="A129" s="43" t="inlineStr">
        <is>
          <t>Phil Ernst</t>
        </is>
      </c>
      <c r="B129" s="2" t="inlineStr">
        <is>
          <t>Mike Engel</t>
        </is>
      </c>
      <c r="C129" s="43" t="inlineStr">
        <is>
          <t>MolsonCoors Beverage Company</t>
        </is>
      </c>
      <c r="D129" s="53" t="n">
        <v>26254</v>
      </c>
      <c r="E129" s="33">
        <f>SUMIFS('Data - Season'!$E$5:$E$743,'Data - Season'!$A$5:$A$743,$A129,'Data - Season'!$C$5:$C$743,$C129,'Data - Season'!$B$5:$B$743,"Qualifier")</f>
        <v/>
      </c>
      <c r="F129" s="45">
        <f>IFERROR($D129/$E129-1,"")</f>
        <v/>
      </c>
      <c r="G129" s="54">
        <f>IF($D129&lt;$E129,"YES — below LY","no")</f>
        <v/>
      </c>
      <c r="H129" s="33">
        <f>SUMIFS('Data - Season'!$F$5:$F$743,'Data - Season'!$A$5:$A$743,$A129,'Data - Season'!$C$5:$C$743,$C129,'Data - Season'!$B$5:$B$743,"Qualifier")</f>
        <v/>
      </c>
      <c r="I129" s="45">
        <f>IFERROR($H129/$D129,"")</f>
        <v/>
      </c>
      <c r="J129" s="43">
        <f>IF($H129&gt;=$D129,"cleared","missed")</f>
        <v/>
      </c>
      <c r="K129" s="45">
        <f>IFERROR($H129/$E129-1,"")</f>
        <v/>
      </c>
      <c r="L129" s="2">
        <f>IF($D129&lt;=$E129,"at or below","above")</f>
        <v/>
      </c>
      <c r="M129" s="2">
        <f>IF(AND($E129&gt;0,ABS($D129/$E129-1)&lt;=0.01),"within 1%","")</f>
        <v/>
      </c>
    </row>
    <row r="130">
      <c r="A130" s="43" t="inlineStr">
        <is>
          <t>Robin Feldman</t>
        </is>
      </c>
      <c r="B130" s="2" t="inlineStr">
        <is>
          <t>Chris McCrohan</t>
        </is>
      </c>
      <c r="C130" s="43" t="inlineStr">
        <is>
          <t>Boston Beer Company</t>
        </is>
      </c>
      <c r="D130" s="53" t="n">
        <v>155</v>
      </c>
      <c r="E130" s="33">
        <f>SUMIFS('Data - Season'!$E$5:$E$743,'Data - Season'!$A$5:$A$743,$A130,'Data - Season'!$C$5:$C$743,$C130,'Data - Season'!$B$5:$B$743,"Qualifier")</f>
        <v/>
      </c>
      <c r="F130" s="45">
        <f>IFERROR($D130/$E130-1,"")</f>
        <v/>
      </c>
      <c r="G130" s="54">
        <f>IF($D130&lt;$E130,"YES — below LY","no")</f>
        <v/>
      </c>
      <c r="H130" s="33">
        <f>SUMIFS('Data - Season'!$F$5:$F$743,'Data - Season'!$A$5:$A$743,$A130,'Data - Season'!$C$5:$C$743,$C130,'Data - Season'!$B$5:$B$743,"Qualifier")</f>
        <v/>
      </c>
      <c r="I130" s="45">
        <f>IFERROR($H130/$D130,"")</f>
        <v/>
      </c>
      <c r="J130" s="43">
        <f>IF($H130&gt;=$D130,"cleared","missed")</f>
        <v/>
      </c>
      <c r="K130" s="45">
        <f>IFERROR($H130/$E130-1,"")</f>
        <v/>
      </c>
      <c r="L130" s="2">
        <f>IF($D130&lt;=$E130,"at or below","above")</f>
        <v/>
      </c>
      <c r="M130" s="2">
        <f>IF(AND($E130&gt;0,ABS($D130/$E130-1)&lt;=0.01),"within 1%","")</f>
        <v/>
      </c>
    </row>
    <row r="131">
      <c r="A131" s="43" t="inlineStr">
        <is>
          <t>Robin Feldman</t>
        </is>
      </c>
      <c r="B131" s="2" t="inlineStr">
        <is>
          <t>Chris McCrohan</t>
        </is>
      </c>
      <c r="C131" s="43" t="inlineStr">
        <is>
          <t>Constellation Brands</t>
        </is>
      </c>
      <c r="D131" s="53" t="n">
        <v>2022</v>
      </c>
      <c r="E131" s="33">
        <f>SUMIFS('Data - Season'!$E$5:$E$743,'Data - Season'!$A$5:$A$743,$A131,'Data - Season'!$C$5:$C$743,$C131,'Data - Season'!$B$5:$B$743,"Qualifier")</f>
        <v/>
      </c>
      <c r="F131" s="45">
        <f>IFERROR($D131/$E131-1,"")</f>
        <v/>
      </c>
      <c r="G131" s="54">
        <f>IF($D131&lt;$E131,"YES — below LY","no")</f>
        <v/>
      </c>
      <c r="H131" s="33">
        <f>SUMIFS('Data - Season'!$F$5:$F$743,'Data - Season'!$A$5:$A$743,$A131,'Data - Season'!$C$5:$C$743,$C131,'Data - Season'!$B$5:$B$743,"Qualifier")</f>
        <v/>
      </c>
      <c r="I131" s="45">
        <f>IFERROR($H131/$D131,"")</f>
        <v/>
      </c>
      <c r="J131" s="43">
        <f>IF($H131&gt;=$D131,"cleared","missed")</f>
        <v/>
      </c>
      <c r="K131" s="45">
        <f>IFERROR($H131/$E131-1,"")</f>
        <v/>
      </c>
      <c r="L131" s="2">
        <f>IF($D131&lt;=$E131,"at or below","above")</f>
        <v/>
      </c>
      <c r="M131" s="2">
        <f>IF(AND($E131&gt;0,ABS($D131/$E131-1)&lt;=0.01),"within 1%","")</f>
        <v/>
      </c>
    </row>
    <row r="132">
      <c r="A132" s="43" t="inlineStr">
        <is>
          <t>Robin Feldman</t>
        </is>
      </c>
      <c r="B132" s="2" t="inlineStr">
        <is>
          <t>Chris McCrohan</t>
        </is>
      </c>
      <c r="C132" s="43" t="inlineStr">
        <is>
          <t>DG Yuengling Inc</t>
        </is>
      </c>
      <c r="D132" s="53" t="n">
        <v>1069</v>
      </c>
      <c r="E132" s="33">
        <f>SUMIFS('Data - Season'!$E$5:$E$743,'Data - Season'!$A$5:$A$743,$A132,'Data - Season'!$C$5:$C$743,$C132,'Data - Season'!$B$5:$B$743,"Qualifier")</f>
        <v/>
      </c>
      <c r="F132" s="45">
        <f>IFERROR($D132/$E132-1,"")</f>
        <v/>
      </c>
      <c r="G132" s="54">
        <f>IF($D132&lt;$E132,"YES — below LY","no")</f>
        <v/>
      </c>
      <c r="H132" s="33">
        <f>SUMIFS('Data - Season'!$F$5:$F$743,'Data - Season'!$A$5:$A$743,$A132,'Data - Season'!$C$5:$C$743,$C132,'Data - Season'!$B$5:$B$743,"Qualifier")</f>
        <v/>
      </c>
      <c r="I132" s="45">
        <f>IFERROR($H132/$D132,"")</f>
        <v/>
      </c>
      <c r="J132" s="43">
        <f>IF($H132&gt;=$D132,"cleared","missed")</f>
        <v/>
      </c>
      <c r="K132" s="45">
        <f>IFERROR($H132/$E132-1,"")</f>
        <v/>
      </c>
      <c r="L132" s="2">
        <f>IF($D132&lt;=$E132,"at or below","above")</f>
        <v/>
      </c>
      <c r="M132" s="2">
        <f>IF(AND($E132&gt;0,ABS($D132/$E132-1)&lt;=0.01),"within 1%","")</f>
        <v/>
      </c>
    </row>
    <row r="133">
      <c r="A133" s="43" t="inlineStr">
        <is>
          <t>Robin Feldman</t>
        </is>
      </c>
      <c r="B133" s="2" t="inlineStr">
        <is>
          <t>Chris McCrohan</t>
        </is>
      </c>
      <c r="C133" s="43" t="inlineStr">
        <is>
          <t>Heineken USA</t>
        </is>
      </c>
      <c r="D133" s="53" t="n">
        <v>571</v>
      </c>
      <c r="E133" s="33">
        <f>SUMIFS('Data - Season'!$E$5:$E$743,'Data - Season'!$A$5:$A$743,$A133,'Data - Season'!$C$5:$C$743,$C133,'Data - Season'!$B$5:$B$743,"Qualifier")</f>
        <v/>
      </c>
      <c r="F133" s="45">
        <f>IFERROR($D133/$E133-1,"")</f>
        <v/>
      </c>
      <c r="G133" s="54">
        <f>IF($D133&lt;$E133,"YES — below LY","no")</f>
        <v/>
      </c>
      <c r="H133" s="33">
        <f>SUMIFS('Data - Season'!$F$5:$F$743,'Data - Season'!$A$5:$A$743,$A133,'Data - Season'!$C$5:$C$743,$C133,'Data - Season'!$B$5:$B$743,"Qualifier")</f>
        <v/>
      </c>
      <c r="I133" s="45">
        <f>IFERROR($H133/$D133,"")</f>
        <v/>
      </c>
      <c r="J133" s="43">
        <f>IF($H133&gt;=$D133,"cleared","missed")</f>
        <v/>
      </c>
      <c r="K133" s="45">
        <f>IFERROR($H133/$E133-1,"")</f>
        <v/>
      </c>
      <c r="L133" s="2">
        <f>IF($D133&lt;=$E133,"at or below","above")</f>
        <v/>
      </c>
      <c r="M133" s="2">
        <f>IF(AND($E133&gt;0,ABS($D133/$E133-1)&lt;=0.01),"within 1%","")</f>
        <v/>
      </c>
    </row>
    <row r="134">
      <c r="A134" s="43" t="inlineStr">
        <is>
          <t>Robin Feldman</t>
        </is>
      </c>
      <c r="B134" s="2" t="inlineStr">
        <is>
          <t>Chris McCrohan</t>
        </is>
      </c>
      <c r="C134" s="43" t="inlineStr">
        <is>
          <t>Mark Anthony</t>
        </is>
      </c>
      <c r="D134" s="53" t="n">
        <v>377</v>
      </c>
      <c r="E134" s="33">
        <f>SUMIFS('Data - Season'!$E$5:$E$743,'Data - Season'!$A$5:$A$743,$A134,'Data - Season'!$C$5:$C$743,$C134,'Data - Season'!$B$5:$B$743,"Qualifier")</f>
        <v/>
      </c>
      <c r="F134" s="45">
        <f>IFERROR($D134/$E134-1,"")</f>
        <v/>
      </c>
      <c r="G134" s="54">
        <f>IF($D134&lt;$E134,"YES — below LY","no")</f>
        <v/>
      </c>
      <c r="H134" s="33">
        <f>SUMIFS('Data - Season'!$F$5:$F$743,'Data - Season'!$A$5:$A$743,$A134,'Data - Season'!$C$5:$C$743,$C134,'Data - Season'!$B$5:$B$743,"Qualifier")</f>
        <v/>
      </c>
      <c r="I134" s="45">
        <f>IFERROR($H134/$D134,"")</f>
        <v/>
      </c>
      <c r="J134" s="43">
        <f>IF($H134&gt;=$D134,"cleared","missed")</f>
        <v/>
      </c>
      <c r="K134" s="45">
        <f>IFERROR($H134/$E134-1,"")</f>
        <v/>
      </c>
      <c r="L134" s="2">
        <f>IF($D134&lt;=$E134,"at or below","above")</f>
        <v/>
      </c>
      <c r="M134" s="2">
        <f>IF(AND($E134&gt;0,ABS($D134/$E134-1)&lt;=0.01),"within 1%","")</f>
        <v/>
      </c>
    </row>
    <row r="135">
      <c r="A135" s="43" t="inlineStr">
        <is>
          <t>Robin Feldman</t>
        </is>
      </c>
      <c r="B135" s="2" t="inlineStr">
        <is>
          <t>Chris McCrohan</t>
        </is>
      </c>
      <c r="C135" s="43" t="inlineStr">
        <is>
          <t>MolsonCoors Beverage Company</t>
        </is>
      </c>
      <c r="D135" s="53" t="n">
        <v>6203</v>
      </c>
      <c r="E135" s="33">
        <f>SUMIFS('Data - Season'!$E$5:$E$743,'Data - Season'!$A$5:$A$743,$A135,'Data - Season'!$C$5:$C$743,$C135,'Data - Season'!$B$5:$B$743,"Qualifier")</f>
        <v/>
      </c>
      <c r="F135" s="45">
        <f>IFERROR($D135/$E135-1,"")</f>
        <v/>
      </c>
      <c r="G135" s="54">
        <f>IF($D135&lt;$E135,"YES — below LY","no")</f>
        <v/>
      </c>
      <c r="H135" s="33">
        <f>SUMIFS('Data - Season'!$F$5:$F$743,'Data - Season'!$A$5:$A$743,$A135,'Data - Season'!$C$5:$C$743,$C135,'Data - Season'!$B$5:$B$743,"Qualifier")</f>
        <v/>
      </c>
      <c r="I135" s="45">
        <f>IFERROR($H135/$D135,"")</f>
        <v/>
      </c>
      <c r="J135" s="43">
        <f>IF($H135&gt;=$D135,"cleared","missed")</f>
        <v/>
      </c>
      <c r="K135" s="45">
        <f>IFERROR($H135/$E135-1,"")</f>
        <v/>
      </c>
      <c r="L135" s="2">
        <f>IF($D135&lt;=$E135,"at or below","above")</f>
        <v/>
      </c>
      <c r="M135" s="2">
        <f>IF(AND($E135&gt;0,ABS($D135/$E135-1)&lt;=0.01),"within 1%","")</f>
        <v/>
      </c>
    </row>
    <row r="136">
      <c r="A136" s="43" t="inlineStr">
        <is>
          <t>Shane Barreca</t>
        </is>
      </c>
      <c r="B136" s="2" t="inlineStr">
        <is>
          <t>Paul Deady</t>
        </is>
      </c>
      <c r="C136" s="43" t="inlineStr">
        <is>
          <t>Boston Beer Company</t>
        </is>
      </c>
      <c r="D136" s="53" t="n">
        <v>3600</v>
      </c>
      <c r="E136" s="33">
        <f>SUMIFS('Data - Season'!$E$5:$E$743,'Data - Season'!$A$5:$A$743,$A136,'Data - Season'!$C$5:$C$743,$C136,'Data - Season'!$B$5:$B$743,"Qualifier")</f>
        <v/>
      </c>
      <c r="F136" s="45">
        <f>IFERROR($D136/$E136-1,"")</f>
        <v/>
      </c>
      <c r="G136" s="54">
        <f>IF($D136&lt;$E136,"YES — below LY","no")</f>
        <v/>
      </c>
      <c r="H136" s="33">
        <f>SUMIFS('Data - Season'!$F$5:$F$743,'Data - Season'!$A$5:$A$743,$A136,'Data - Season'!$C$5:$C$743,$C136,'Data - Season'!$B$5:$B$743,"Qualifier")</f>
        <v/>
      </c>
      <c r="I136" s="45">
        <f>IFERROR($H136/$D136,"")</f>
        <v/>
      </c>
      <c r="J136" s="43">
        <f>IF($H136&gt;=$D136,"cleared","missed")</f>
        <v/>
      </c>
      <c r="K136" s="45">
        <f>IFERROR($H136/$E136-1,"")</f>
        <v/>
      </c>
      <c r="L136" s="2">
        <f>IF($D136&lt;=$E136,"at or below","above")</f>
        <v/>
      </c>
      <c r="M136" s="2">
        <f>IF(AND($E136&gt;0,ABS($D136/$E136-1)&lt;=0.01),"within 1%","")</f>
        <v/>
      </c>
    </row>
    <row r="137">
      <c r="A137" s="43" t="inlineStr">
        <is>
          <t>Shane Barreca</t>
        </is>
      </c>
      <c r="B137" s="2" t="inlineStr">
        <is>
          <t>Paul Deady</t>
        </is>
      </c>
      <c r="C137" s="43" t="inlineStr">
        <is>
          <t>Constellation Brands</t>
        </is>
      </c>
      <c r="D137" s="53" t="n">
        <v>29227</v>
      </c>
      <c r="E137" s="33">
        <f>SUMIFS('Data - Season'!$E$5:$E$743,'Data - Season'!$A$5:$A$743,$A137,'Data - Season'!$C$5:$C$743,$C137,'Data - Season'!$B$5:$B$743,"Qualifier")</f>
        <v/>
      </c>
      <c r="F137" s="45">
        <f>IFERROR($D137/$E137-1,"")</f>
        <v/>
      </c>
      <c r="G137" s="54">
        <f>IF($D137&lt;$E137,"YES — below LY","no")</f>
        <v/>
      </c>
      <c r="H137" s="33">
        <f>SUMIFS('Data - Season'!$F$5:$F$743,'Data - Season'!$A$5:$A$743,$A137,'Data - Season'!$C$5:$C$743,$C137,'Data - Season'!$B$5:$B$743,"Qualifier")</f>
        <v/>
      </c>
      <c r="I137" s="45">
        <f>IFERROR($H137/$D137,"")</f>
        <v/>
      </c>
      <c r="J137" s="43">
        <f>IF($H137&gt;=$D137,"cleared","missed")</f>
        <v/>
      </c>
      <c r="K137" s="45">
        <f>IFERROR($H137/$E137-1,"")</f>
        <v/>
      </c>
      <c r="L137" s="2">
        <f>IF($D137&lt;=$E137,"at or below","above")</f>
        <v/>
      </c>
      <c r="M137" s="2">
        <f>IF(AND($E137&gt;0,ABS($D137/$E137-1)&lt;=0.01),"within 1%","")</f>
        <v/>
      </c>
    </row>
    <row r="138">
      <c r="A138" s="43" t="inlineStr">
        <is>
          <t>Shane Barreca</t>
        </is>
      </c>
      <c r="B138" s="2" t="inlineStr">
        <is>
          <t>Paul Deady</t>
        </is>
      </c>
      <c r="C138" s="43" t="inlineStr">
        <is>
          <t>DG Yuengling Inc</t>
        </is>
      </c>
      <c r="D138" s="53" t="n">
        <v>3635</v>
      </c>
      <c r="E138" s="33">
        <f>SUMIFS('Data - Season'!$E$5:$E$743,'Data - Season'!$A$5:$A$743,$A138,'Data - Season'!$C$5:$C$743,$C138,'Data - Season'!$B$5:$B$743,"Qualifier")</f>
        <v/>
      </c>
      <c r="F138" s="45">
        <f>IFERROR($D138/$E138-1,"")</f>
        <v/>
      </c>
      <c r="G138" s="54">
        <f>IF($D138&lt;$E138,"YES — below LY","no")</f>
        <v/>
      </c>
      <c r="H138" s="33">
        <f>SUMIFS('Data - Season'!$F$5:$F$743,'Data - Season'!$A$5:$A$743,$A138,'Data - Season'!$C$5:$C$743,$C138,'Data - Season'!$B$5:$B$743,"Qualifier")</f>
        <v/>
      </c>
      <c r="I138" s="45">
        <f>IFERROR($H138/$D138,"")</f>
        <v/>
      </c>
      <c r="J138" s="43">
        <f>IF($H138&gt;=$D138,"cleared","missed")</f>
        <v/>
      </c>
      <c r="K138" s="45">
        <f>IFERROR($H138/$E138-1,"")</f>
        <v/>
      </c>
      <c r="L138" s="2">
        <f>IF($D138&lt;=$E138,"at or below","above")</f>
        <v/>
      </c>
      <c r="M138" s="2">
        <f>IF(AND($E138&gt;0,ABS($D138/$E138-1)&lt;=0.01),"within 1%","")</f>
        <v/>
      </c>
    </row>
    <row r="139">
      <c r="A139" s="43" t="inlineStr">
        <is>
          <t>Shane Barreca</t>
        </is>
      </c>
      <c r="B139" s="2" t="inlineStr">
        <is>
          <t>Paul Deady</t>
        </is>
      </c>
      <c r="C139" s="43" t="inlineStr">
        <is>
          <t>Heineken USA</t>
        </is>
      </c>
      <c r="D139" s="53" t="n">
        <v>6139</v>
      </c>
      <c r="E139" s="33">
        <f>SUMIFS('Data - Season'!$E$5:$E$743,'Data - Season'!$A$5:$A$743,$A139,'Data - Season'!$C$5:$C$743,$C139,'Data - Season'!$B$5:$B$743,"Qualifier")</f>
        <v/>
      </c>
      <c r="F139" s="45">
        <f>IFERROR($D139/$E139-1,"")</f>
        <v/>
      </c>
      <c r="G139" s="54">
        <f>IF($D139&lt;$E139,"YES — below LY","no")</f>
        <v/>
      </c>
      <c r="H139" s="33">
        <f>SUMIFS('Data - Season'!$F$5:$F$743,'Data - Season'!$A$5:$A$743,$A139,'Data - Season'!$C$5:$C$743,$C139,'Data - Season'!$B$5:$B$743,"Qualifier")</f>
        <v/>
      </c>
      <c r="I139" s="45">
        <f>IFERROR($H139/$D139,"")</f>
        <v/>
      </c>
      <c r="J139" s="43">
        <f>IF($H139&gt;=$D139,"cleared","missed")</f>
        <v/>
      </c>
      <c r="K139" s="45">
        <f>IFERROR($H139/$E139-1,"")</f>
        <v/>
      </c>
      <c r="L139" s="2">
        <f>IF($D139&lt;=$E139,"at or below","above")</f>
        <v/>
      </c>
      <c r="M139" s="2">
        <f>IF(AND($E139&gt;0,ABS($D139/$E139-1)&lt;=0.01),"within 1%","")</f>
        <v/>
      </c>
    </row>
    <row r="140">
      <c r="A140" s="43" t="inlineStr">
        <is>
          <t>Shane Barreca</t>
        </is>
      </c>
      <c r="B140" s="2" t="inlineStr">
        <is>
          <t>Paul Deady</t>
        </is>
      </c>
      <c r="C140" s="43" t="inlineStr">
        <is>
          <t>Mark Anthony</t>
        </is>
      </c>
      <c r="D140" s="53" t="n">
        <v>7783</v>
      </c>
      <c r="E140" s="33">
        <f>SUMIFS('Data - Season'!$E$5:$E$743,'Data - Season'!$A$5:$A$743,$A140,'Data - Season'!$C$5:$C$743,$C140,'Data - Season'!$B$5:$B$743,"Qualifier")</f>
        <v/>
      </c>
      <c r="F140" s="45">
        <f>IFERROR($D140/$E140-1,"")</f>
        <v/>
      </c>
      <c r="G140" s="54">
        <f>IF($D140&lt;$E140,"YES — below LY","no")</f>
        <v/>
      </c>
      <c r="H140" s="33">
        <f>SUMIFS('Data - Season'!$F$5:$F$743,'Data - Season'!$A$5:$A$743,$A140,'Data - Season'!$C$5:$C$743,$C140,'Data - Season'!$B$5:$B$743,"Qualifier")</f>
        <v/>
      </c>
      <c r="I140" s="45">
        <f>IFERROR($H140/$D140,"")</f>
        <v/>
      </c>
      <c r="J140" s="43">
        <f>IF($H140&gt;=$D140,"cleared","missed")</f>
        <v/>
      </c>
      <c r="K140" s="45">
        <f>IFERROR($H140/$E140-1,"")</f>
        <v/>
      </c>
      <c r="L140" s="2">
        <f>IF($D140&lt;=$E140,"at or below","above")</f>
        <v/>
      </c>
      <c r="M140" s="2">
        <f>IF(AND($E140&gt;0,ABS($D140/$E140-1)&lt;=0.01),"within 1%","")</f>
        <v/>
      </c>
    </row>
    <row r="141">
      <c r="A141" s="43" t="inlineStr">
        <is>
          <t>Shane Barreca</t>
        </is>
      </c>
      <c r="B141" s="2" t="inlineStr">
        <is>
          <t>Paul Deady</t>
        </is>
      </c>
      <c r="C141" s="43" t="inlineStr">
        <is>
          <t>MolsonCoors Beverage Company</t>
        </is>
      </c>
      <c r="D141" s="53" t="n">
        <v>33742</v>
      </c>
      <c r="E141" s="33">
        <f>SUMIFS('Data - Season'!$E$5:$E$743,'Data - Season'!$A$5:$A$743,$A141,'Data - Season'!$C$5:$C$743,$C141,'Data - Season'!$B$5:$B$743,"Qualifier")</f>
        <v/>
      </c>
      <c r="F141" s="45">
        <f>IFERROR($D141/$E141-1,"")</f>
        <v/>
      </c>
      <c r="G141" s="54">
        <f>IF($D141&lt;$E141,"YES — below LY","no")</f>
        <v/>
      </c>
      <c r="H141" s="33">
        <f>SUMIFS('Data - Season'!$F$5:$F$743,'Data - Season'!$A$5:$A$743,$A141,'Data - Season'!$C$5:$C$743,$C141,'Data - Season'!$B$5:$B$743,"Qualifier")</f>
        <v/>
      </c>
      <c r="I141" s="45">
        <f>IFERROR($H141/$D141,"")</f>
        <v/>
      </c>
      <c r="J141" s="43">
        <f>IF($H141&gt;=$D141,"cleared","missed")</f>
        <v/>
      </c>
      <c r="K141" s="45">
        <f>IFERROR($H141/$E141-1,"")</f>
        <v/>
      </c>
      <c r="L141" s="2">
        <f>IF($D141&lt;=$E141,"at or below","above")</f>
        <v/>
      </c>
      <c r="M141" s="2">
        <f>IF(AND($E141&gt;0,ABS($D141/$E141-1)&lt;=0.01),"within 1%","")</f>
        <v/>
      </c>
    </row>
    <row r="142">
      <c r="A142" s="17" t="inlineStr">
        <is>
          <t>TOTAL</t>
        </is>
      </c>
      <c r="D142" s="44">
        <f>SUM(D5:D141)</f>
        <v/>
      </c>
      <c r="E142" s="44">
        <f>SUM(E5:E141)</f>
        <v/>
      </c>
      <c r="F142" s="34">
        <f>IFERROR(D142/E142-1,"")</f>
        <v/>
      </c>
      <c r="H142" s="44">
        <f>SUM(H5:H141)</f>
        <v/>
      </c>
      <c r="K142" s="34">
        <f>IFERROR(H142/E142-1,"")</f>
        <v/>
      </c>
    </row>
    <row r="144">
      <c r="A144" s="5" t="inlineStr">
        <is>
          <t>HOW THE GOALS WERE SET</t>
        </is>
      </c>
    </row>
    <row r="145">
      <c r="A145" s="13" t="inlineStr">
        <is>
          <t>Qualifier goals with a prior-year comparison</t>
        </is>
      </c>
      <c r="B145" s="14">
        <f>COUNT($D$5:$D$141)</f>
        <v/>
      </c>
    </row>
    <row r="146">
      <c r="A146" s="17" t="inlineStr">
        <is>
          <t xml:space="preserve">   set BELOW the rep's own 2025 volume</t>
        </is>
      </c>
      <c r="B146" s="30">
        <f>COUNTIF($G$5:$G$141,"YES*")</f>
        <v/>
      </c>
    </row>
    <row r="147">
      <c r="A147" s="17" t="inlineStr">
        <is>
          <t xml:space="preserve">   set AT or below it</t>
        </is>
      </c>
      <c r="B147" s="30">
        <f>COUNTIF($L$5:$L$141,"at or below")</f>
        <v/>
      </c>
    </row>
    <row r="148">
      <c r="A148" s="17" t="inlineStr">
        <is>
          <t xml:space="preserve">   set within 1% of it — effectively last year's number</t>
        </is>
      </c>
      <c r="B148" s="30">
        <f>COUNTIF($M$5:$M$141,"within 1%")</f>
        <v/>
      </c>
    </row>
    <row r="149">
      <c r="A149" s="17" t="inlineStr">
        <is>
          <t xml:space="preserve">   share of all qualifier goals</t>
        </is>
      </c>
      <c r="B149" s="28">
        <f>IFERROR(COUNTIF($G$5:$G$141,"YES*")/COUNT($D$5:$D$141),"")</f>
        <v/>
      </c>
    </row>
    <row r="150">
      <c r="A150" s="17" t="inlineStr">
        <is>
          <t>Aggregate goal vs the same reps' 2025 volume</t>
        </is>
      </c>
      <c r="B150" s="28">
        <f>F142</f>
        <v/>
      </c>
    </row>
    <row r="151">
      <c r="A151" s="13" t="inlineStr">
        <is>
          <t>Sub-2025 goals that were CLEARED and paid</t>
        </is>
      </c>
      <c r="B151" s="14">
        <f>COUNTIFS($G$5:$G$141,"YES*",$J$5:$J$141,"cleared")</f>
        <v/>
      </c>
    </row>
    <row r="152">
      <c r="A152" s="17" t="inlineStr">
        <is>
          <t xml:space="preserve">   their 2026 volume vs their own 2025</t>
        </is>
      </c>
      <c r="B152" s="28">
        <f>IFERROR(SUMIFS($H$5:$H$141,$G$5:$G$141,"YES*",$J$5:$J$141,"cleared")/SUMIFS($E$5:$E$141,$G$5:$G$141,"YES*",$J$5:$J$141,"cleared")-1,"")</f>
        <v/>
      </c>
    </row>
    <row r="154">
      <c r="A154" s="2" t="inlineStr">
        <is>
          <t>The qualifier half of this program was designed to pay for decline: in aggregate the goals asked for less volume than the same reps delivered in 2025, and nine in ten individual goals sat below that rep's own prior-year number.</t>
        </is>
      </c>
    </row>
    <row r="155">
      <c r="A155" s="2" t="inlineStr">
        <is>
          <t>A sizeable block was not merely below last year but AT it — set within 1% of the rep's own 2025 figure, and in fifteen cases within two cases of it. Those goals were prior-year volume restated as a target.</t>
        </is>
      </c>
    </row>
    <row r="156">
      <c r="A156" s="2" t="inlineStr">
        <is>
          <t>The sub-2025 goals that cleared delivered volume flat to last year — and earned tier payouts for it. That is a goal-setting outcome, not a rep-performance one.</t>
        </is>
      </c>
    </row>
    <row r="157">
      <c r="A157" s="2" t="inlineStr">
        <is>
          <t>This is the cheapest thing to fix for 2027, and it is independent of brand selection: a goal below last year cannot produce incremental volume no matter which brand carries it.</t>
        </is>
      </c>
    </row>
  </sheetData>
  <autoFilter ref="A4:M14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41"/>
  <sheetViews>
    <sheetView showGridLines="0" workbookViewId="0">
      <pane ySplit="4" topLeftCell="A5" activePane="bottomLeft" state="frozen"/>
      <selection pane="bottomLeft" activeCell="A1" sqref="A1"/>
    </sheetView>
  </sheetViews>
  <sheetFormatPr baseColWidth="8" defaultRowHeight="15"/>
  <cols>
    <col width="48" customWidth="1" min="1" max="1"/>
    <col width="16" customWidth="1" min="2" max="2"/>
    <col width="12" customWidth="1" min="3" max="3"/>
    <col width="13" customWidth="1" min="4" max="4"/>
    <col width="12" customWidth="1" min="5" max="5"/>
    <col width="14" customWidth="1" min="6" max="6"/>
    <col width="14" customWidth="1" min="7" max="7"/>
    <col width="11" customWidth="1" min="8" max="8"/>
    <col width="14" customWidth="1" min="9" max="9"/>
    <col width="13" customWidth="1" min="10" max="10"/>
    <col width="11" customWidth="1" min="11" max="11"/>
    <col width="11" customWidth="1" min="12" max="12"/>
    <col width="10" customWidth="1" min="13" max="13"/>
  </cols>
  <sheetData>
    <row r="1">
      <c r="A1" s="24" t="inlineStr">
        <is>
          <t>Did the reps who earned the most actually deliver the most?</t>
        </is>
      </c>
    </row>
    <row r="2">
      <c r="A2" s="2" t="inlineStr">
        <is>
          <t>Payout columns are the vF recap. Volume and POD columns are live off Data - Accounts and Data - Season. "Their own control" is that rep's non-incented volume.</t>
        </is>
      </c>
    </row>
    <row r="4" ht="32" customHeight="1">
      <c r="A4" s="6" t="inlineStr">
        <is>
          <t>Rep</t>
        </is>
      </c>
      <c r="B4" s="6" t="inlineStr">
        <is>
          <t>Manager</t>
        </is>
      </c>
      <c r="C4" s="6" t="inlineStr">
        <is>
          <t>Tier payout</t>
        </is>
      </c>
      <c r="D4" s="6" t="inlineStr">
        <is>
          <t>Amplify payout</t>
        </is>
      </c>
      <c r="E4" s="6" t="inlineStr">
        <is>
          <t>Total payout</t>
        </is>
      </c>
      <c r="F4" s="6" t="inlineStr">
        <is>
          <t>Program CE 2025</t>
        </is>
      </c>
      <c r="G4" s="6" t="inlineStr">
        <is>
          <t>Program CE 2026</t>
        </is>
      </c>
      <c r="H4" s="6" t="inlineStr">
        <is>
          <t>Program %</t>
        </is>
      </c>
      <c r="I4" s="6" t="inlineStr">
        <is>
          <t>Their own control %</t>
        </is>
      </c>
      <c r="J4" s="6" t="inlineStr">
        <is>
          <t>Gap vs own control</t>
        </is>
      </c>
      <c r="K4" s="6" t="inlineStr">
        <is>
          <t>PODs 2025</t>
        </is>
      </c>
      <c r="L4" s="6" t="inlineStr">
        <is>
          <t>PODs 2026</t>
        </is>
      </c>
      <c r="M4" s="6" t="inlineStr">
        <is>
          <t>POD %</t>
        </is>
      </c>
    </row>
    <row r="5">
      <c r="A5" s="43" t="inlineStr">
        <is>
          <t>Dave Ehlers</t>
        </is>
      </c>
      <c r="B5" s="2" t="inlineStr">
        <is>
          <t>Mike Engel</t>
        </is>
      </c>
      <c r="C5" s="55" t="n">
        <v>4250</v>
      </c>
      <c r="D5" s="55" t="n">
        <v>3461</v>
      </c>
      <c r="E5" s="48">
        <f>C5+D5</f>
        <v/>
      </c>
      <c r="F5" s="33">
        <f>SUMIFS('Data - Accounts'!$E$5:$E$2358,'Data - Accounts'!$C$5:$C$2358,$A5)</f>
        <v/>
      </c>
      <c r="G5" s="33">
        <f>SUMIFS('Data - Accounts'!$F$5:$F$2358,'Data - Accounts'!$C$5:$C$2358,$A5)</f>
        <v/>
      </c>
      <c r="H5" s="34">
        <f>IFERROR(G5/F5-1,"")</f>
        <v/>
      </c>
      <c r="I5" s="45">
        <f>IFERROR(SUMIFS('Data - Accounts'!$J$5:$J$2358,'Data - Accounts'!$C$5:$C$2358,$A5)/SUMIFS('Data - Accounts'!$I$5:$I$2358,'Data - Accounts'!$C$5:$C$2358,$A5)-1,"")</f>
        <v/>
      </c>
      <c r="J5" s="35">
        <f>IFERROR(H5-I5,"")</f>
        <v/>
      </c>
      <c r="K5" s="53" t="n">
        <v>35</v>
      </c>
      <c r="L5" s="53" t="n">
        <v>36</v>
      </c>
      <c r="M5" s="45">
        <f>IFERROR(L5/K5-1,"")</f>
        <v/>
      </c>
    </row>
    <row r="6">
      <c r="A6" s="43" t="inlineStr">
        <is>
          <t>Shane Barreca</t>
        </is>
      </c>
      <c r="B6" s="2" t="inlineStr">
        <is>
          <t>Paul Deady</t>
        </is>
      </c>
      <c r="C6" s="55" t="n">
        <v>3000</v>
      </c>
      <c r="D6" s="55" t="n">
        <v>2869</v>
      </c>
      <c r="E6" s="48">
        <f>C6+D6</f>
        <v/>
      </c>
      <c r="F6" s="33">
        <f>SUMIFS('Data - Accounts'!$E$5:$E$2358,'Data - Accounts'!$C$5:$C$2358,$A6)</f>
        <v/>
      </c>
      <c r="G6" s="33">
        <f>SUMIFS('Data - Accounts'!$F$5:$F$2358,'Data - Accounts'!$C$5:$C$2358,$A6)</f>
        <v/>
      </c>
      <c r="H6" s="34">
        <f>IFERROR(G6/F6-1,"")</f>
        <v/>
      </c>
      <c r="I6" s="45">
        <f>IFERROR(SUMIFS('Data - Accounts'!$J$5:$J$2358,'Data - Accounts'!$C$5:$C$2358,$A6)/SUMIFS('Data - Accounts'!$I$5:$I$2358,'Data - Accounts'!$C$5:$C$2358,$A6)-1,"")</f>
        <v/>
      </c>
      <c r="J6" s="35">
        <f>IFERROR(H6-I6,"")</f>
        <v/>
      </c>
      <c r="K6" s="53" t="n">
        <v>29</v>
      </c>
      <c r="L6" s="53" t="n">
        <v>29</v>
      </c>
      <c r="M6" s="45">
        <f>IFERROR(L6/K6-1,"")</f>
        <v/>
      </c>
    </row>
    <row r="7">
      <c r="A7" s="43" t="inlineStr">
        <is>
          <t>Javier Melo</t>
        </is>
      </c>
      <c r="B7" s="2" t="inlineStr">
        <is>
          <t>Denise Montes</t>
        </is>
      </c>
      <c r="C7" s="55" t="n">
        <v>2500</v>
      </c>
      <c r="D7" s="55" t="n">
        <v>1615.5</v>
      </c>
      <c r="E7" s="48">
        <f>C7+D7</f>
        <v/>
      </c>
      <c r="F7" s="33">
        <f>SUMIFS('Data - Accounts'!$E$5:$E$2358,'Data - Accounts'!$C$5:$C$2358,$A7)</f>
        <v/>
      </c>
      <c r="G7" s="33">
        <f>SUMIFS('Data - Accounts'!$F$5:$F$2358,'Data - Accounts'!$C$5:$C$2358,$A7)</f>
        <v/>
      </c>
      <c r="H7" s="34">
        <f>IFERROR(G7/F7-1,"")</f>
        <v/>
      </c>
      <c r="I7" s="45">
        <f>IFERROR(SUMIFS('Data - Accounts'!$J$5:$J$2358,'Data - Accounts'!$C$5:$C$2358,$A7)/SUMIFS('Data - Accounts'!$I$5:$I$2358,'Data - Accounts'!$C$5:$C$2358,$A7)-1,"")</f>
        <v/>
      </c>
      <c r="J7" s="35">
        <f>IFERROR(H7-I7,"")</f>
        <v/>
      </c>
      <c r="K7" s="53" t="n">
        <v>64</v>
      </c>
      <c r="L7" s="53" t="n">
        <v>66</v>
      </c>
      <c r="M7" s="45">
        <f>IFERROR(L7/K7-1,"")</f>
        <v/>
      </c>
    </row>
    <row r="8">
      <c r="A8" s="43" t="inlineStr">
        <is>
          <t>Matt Powierski</t>
        </is>
      </c>
      <c r="B8" s="2" t="inlineStr">
        <is>
          <t>Denise Montes</t>
        </is>
      </c>
      <c r="C8" s="55" t="n">
        <v>2000</v>
      </c>
      <c r="D8" s="55" t="n">
        <v>1736</v>
      </c>
      <c r="E8" s="48">
        <f>C8+D8</f>
        <v/>
      </c>
      <c r="F8" s="33">
        <f>SUMIFS('Data - Accounts'!$E$5:$E$2358,'Data - Accounts'!$C$5:$C$2358,$A8)</f>
        <v/>
      </c>
      <c r="G8" s="33">
        <f>SUMIFS('Data - Accounts'!$F$5:$F$2358,'Data - Accounts'!$C$5:$C$2358,$A8)</f>
        <v/>
      </c>
      <c r="H8" s="34">
        <f>IFERROR(G8/F8-1,"")</f>
        <v/>
      </c>
      <c r="I8" s="45">
        <f>IFERROR(SUMIFS('Data - Accounts'!$J$5:$J$2358,'Data - Accounts'!$C$5:$C$2358,$A8)/SUMIFS('Data - Accounts'!$I$5:$I$2358,'Data - Accounts'!$C$5:$C$2358,$A8)-1,"")</f>
        <v/>
      </c>
      <c r="J8" s="35">
        <f>IFERROR(H8-I8,"")</f>
        <v/>
      </c>
      <c r="K8" s="53" t="n">
        <v>56</v>
      </c>
      <c r="L8" s="53" t="n">
        <v>59</v>
      </c>
      <c r="M8" s="45">
        <f>IFERROR(L8/K8-1,"")</f>
        <v/>
      </c>
    </row>
    <row r="9">
      <c r="A9" s="43" t="inlineStr">
        <is>
          <t>Mike Ast</t>
        </is>
      </c>
      <c r="B9" s="2" t="inlineStr">
        <is>
          <t>Paul Deady</t>
        </is>
      </c>
      <c r="C9" s="55" t="n">
        <v>2500</v>
      </c>
      <c r="D9" s="55" t="n">
        <v>928.5</v>
      </c>
      <c r="E9" s="48">
        <f>C9+D9</f>
        <v/>
      </c>
      <c r="F9" s="33">
        <f>SUMIFS('Data - Accounts'!$E$5:$E$2358,'Data - Accounts'!$C$5:$C$2358,$A9)</f>
        <v/>
      </c>
      <c r="G9" s="33">
        <f>SUMIFS('Data - Accounts'!$F$5:$F$2358,'Data - Accounts'!$C$5:$C$2358,$A9)</f>
        <v/>
      </c>
      <c r="H9" s="34">
        <f>IFERROR(G9/F9-1,"")</f>
        <v/>
      </c>
      <c r="I9" s="45">
        <f>IFERROR(SUMIFS('Data - Accounts'!$J$5:$J$2358,'Data - Accounts'!$C$5:$C$2358,$A9)/SUMIFS('Data - Accounts'!$I$5:$I$2358,'Data - Accounts'!$C$5:$C$2358,$A9)-1,"")</f>
        <v/>
      </c>
      <c r="J9" s="35">
        <f>IFERROR(H9-I9,"")</f>
        <v/>
      </c>
      <c r="K9" s="53" t="n">
        <v>43</v>
      </c>
      <c r="L9" s="53" t="n">
        <v>44</v>
      </c>
      <c r="M9" s="45">
        <f>IFERROR(L9/K9-1,"")</f>
        <v/>
      </c>
    </row>
    <row r="10">
      <c r="A10" s="43" t="inlineStr">
        <is>
          <t>Dan Lagala</t>
        </is>
      </c>
      <c r="B10" s="2" t="inlineStr">
        <is>
          <t>Mike Engel</t>
        </is>
      </c>
      <c r="C10" s="55" t="n">
        <v>1250</v>
      </c>
      <c r="D10" s="55" t="n">
        <v>1823</v>
      </c>
      <c r="E10" s="48">
        <f>C10+D10</f>
        <v/>
      </c>
      <c r="F10" s="33">
        <f>SUMIFS('Data - Accounts'!$E$5:$E$2358,'Data - Accounts'!$C$5:$C$2358,$A10)</f>
        <v/>
      </c>
      <c r="G10" s="33">
        <f>SUMIFS('Data - Accounts'!$F$5:$F$2358,'Data - Accounts'!$C$5:$C$2358,$A10)</f>
        <v/>
      </c>
      <c r="H10" s="34">
        <f>IFERROR(G10/F10-1,"")</f>
        <v/>
      </c>
      <c r="I10" s="45">
        <f>IFERROR(SUMIFS('Data - Accounts'!$J$5:$J$2358,'Data - Accounts'!$C$5:$C$2358,$A10)/SUMIFS('Data - Accounts'!$I$5:$I$2358,'Data - Accounts'!$C$5:$C$2358,$A10)-1,"")</f>
        <v/>
      </c>
      <c r="J10" s="35">
        <f>IFERROR(H10-I10,"")</f>
        <v/>
      </c>
      <c r="K10" s="53" t="n">
        <v>104</v>
      </c>
      <c r="L10" s="53" t="n">
        <v>95</v>
      </c>
      <c r="M10" s="45">
        <f>IFERROR(L10/K10-1,"")</f>
        <v/>
      </c>
    </row>
    <row r="11">
      <c r="A11" s="43" t="inlineStr">
        <is>
          <t>Phil Ernst</t>
        </is>
      </c>
      <c r="B11" s="2" t="inlineStr">
        <is>
          <t>Mike Engel</t>
        </is>
      </c>
      <c r="C11" s="55" t="n">
        <v>1500</v>
      </c>
      <c r="D11" s="55" t="n">
        <v>1443</v>
      </c>
      <c r="E11" s="48">
        <f>C11+D11</f>
        <v/>
      </c>
      <c r="F11" s="33">
        <f>SUMIFS('Data - Accounts'!$E$5:$E$2358,'Data - Accounts'!$C$5:$C$2358,$A11)</f>
        <v/>
      </c>
      <c r="G11" s="33">
        <f>SUMIFS('Data - Accounts'!$F$5:$F$2358,'Data - Accounts'!$C$5:$C$2358,$A11)</f>
        <v/>
      </c>
      <c r="H11" s="34">
        <f>IFERROR(G11/F11-1,"")</f>
        <v/>
      </c>
      <c r="I11" s="45">
        <f>IFERROR(SUMIFS('Data - Accounts'!$J$5:$J$2358,'Data - Accounts'!$C$5:$C$2358,$A11)/SUMIFS('Data - Accounts'!$I$5:$I$2358,'Data - Accounts'!$C$5:$C$2358,$A11)-1,"")</f>
        <v/>
      </c>
      <c r="J11" s="35">
        <f>IFERROR(H11-I11,"")</f>
        <v/>
      </c>
      <c r="K11" s="53" t="n">
        <v>27</v>
      </c>
      <c r="L11" s="53" t="n">
        <v>26</v>
      </c>
      <c r="M11" s="45">
        <f>IFERROR(L11/K11-1,"")</f>
        <v/>
      </c>
    </row>
    <row r="12">
      <c r="A12" s="43" t="inlineStr">
        <is>
          <t>Nick Melissari</t>
        </is>
      </c>
      <c r="B12" s="2" t="inlineStr">
        <is>
          <t>Chris McCrohan</t>
        </is>
      </c>
      <c r="C12" s="55" t="n">
        <v>1750</v>
      </c>
      <c r="D12" s="55" t="n">
        <v>1129</v>
      </c>
      <c r="E12" s="48">
        <f>C12+D12</f>
        <v/>
      </c>
      <c r="F12" s="33">
        <f>SUMIFS('Data - Accounts'!$E$5:$E$2358,'Data - Accounts'!$C$5:$C$2358,$A12)</f>
        <v/>
      </c>
      <c r="G12" s="33">
        <f>SUMIFS('Data - Accounts'!$F$5:$F$2358,'Data - Accounts'!$C$5:$C$2358,$A12)</f>
        <v/>
      </c>
      <c r="H12" s="34">
        <f>IFERROR(G12/F12-1,"")</f>
        <v/>
      </c>
      <c r="I12" s="45">
        <f>IFERROR(SUMIFS('Data - Accounts'!$J$5:$J$2358,'Data - Accounts'!$C$5:$C$2358,$A12)/SUMIFS('Data - Accounts'!$I$5:$I$2358,'Data - Accounts'!$C$5:$C$2358,$A12)-1,"")</f>
        <v/>
      </c>
      <c r="J12" s="35">
        <f>IFERROR(H12-I12,"")</f>
        <v/>
      </c>
      <c r="K12" s="53" t="n">
        <v>170</v>
      </c>
      <c r="L12" s="53" t="n">
        <v>173</v>
      </c>
      <c r="M12" s="45">
        <f>IFERROR(L12/K12-1,"")</f>
        <v/>
      </c>
    </row>
    <row r="13">
      <c r="A13" s="43" t="inlineStr">
        <is>
          <t>Allison Scott</t>
        </is>
      </c>
      <c r="B13" s="2" t="inlineStr">
        <is>
          <t>Chris McCrohan</t>
        </is>
      </c>
      <c r="C13" s="55" t="n">
        <v>1750</v>
      </c>
      <c r="D13" s="55" t="n">
        <v>816</v>
      </c>
      <c r="E13" s="48">
        <f>C13+D13</f>
        <v/>
      </c>
      <c r="F13" s="33">
        <f>SUMIFS('Data - Accounts'!$E$5:$E$2358,'Data - Accounts'!$C$5:$C$2358,$A13)</f>
        <v/>
      </c>
      <c r="G13" s="33">
        <f>SUMIFS('Data - Accounts'!$F$5:$F$2358,'Data - Accounts'!$C$5:$C$2358,$A13)</f>
        <v/>
      </c>
      <c r="H13" s="34">
        <f>IFERROR(G13/F13-1,"")</f>
        <v/>
      </c>
      <c r="I13" s="45">
        <f>IFERROR(SUMIFS('Data - Accounts'!$J$5:$J$2358,'Data - Accounts'!$C$5:$C$2358,$A13)/SUMIFS('Data - Accounts'!$I$5:$I$2358,'Data - Accounts'!$C$5:$C$2358,$A13)-1,"")</f>
        <v/>
      </c>
      <c r="J13" s="35">
        <f>IFERROR(H13-I13,"")</f>
        <v/>
      </c>
      <c r="K13" s="53" t="n">
        <v>117</v>
      </c>
      <c r="L13" s="53" t="n">
        <v>117</v>
      </c>
      <c r="M13" s="45">
        <f>IFERROR(L13/K13-1,"")</f>
        <v/>
      </c>
    </row>
    <row r="14">
      <c r="A14" s="43" t="inlineStr">
        <is>
          <t>Klejdi Lamo</t>
        </is>
      </c>
      <c r="B14" s="2" t="inlineStr">
        <is>
          <t>Paul Deady</t>
        </is>
      </c>
      <c r="C14" s="55" t="n">
        <v>1500</v>
      </c>
      <c r="D14" s="55" t="n">
        <v>909.5</v>
      </c>
      <c r="E14" s="48">
        <f>C14+D14</f>
        <v/>
      </c>
      <c r="F14" s="33">
        <f>SUMIFS('Data - Accounts'!$E$5:$E$2358,'Data - Accounts'!$C$5:$C$2358,$A14)</f>
        <v/>
      </c>
      <c r="G14" s="33">
        <f>SUMIFS('Data - Accounts'!$F$5:$F$2358,'Data - Accounts'!$C$5:$C$2358,$A14)</f>
        <v/>
      </c>
      <c r="H14" s="34">
        <f>IFERROR(G14/F14-1,"")</f>
        <v/>
      </c>
      <c r="I14" s="45">
        <f>IFERROR(SUMIFS('Data - Accounts'!$J$5:$J$2358,'Data - Accounts'!$C$5:$C$2358,$A14)/SUMIFS('Data - Accounts'!$I$5:$I$2358,'Data - Accounts'!$C$5:$C$2358,$A14)-1,"")</f>
        <v/>
      </c>
      <c r="J14" s="35">
        <f>IFERROR(H14-I14,"")</f>
        <v/>
      </c>
      <c r="K14" s="53" t="n">
        <v>28</v>
      </c>
      <c r="L14" s="53" t="n">
        <v>28</v>
      </c>
      <c r="M14" s="45">
        <f>IFERROR(L14/K14-1,"")</f>
        <v/>
      </c>
    </row>
    <row r="15">
      <c r="A15" s="43" t="inlineStr">
        <is>
          <t>John Neukum</t>
        </is>
      </c>
      <c r="B15" s="2" t="inlineStr"/>
      <c r="C15" s="55" t="n">
        <v>0</v>
      </c>
      <c r="D15" s="55" t="n">
        <v>2373.5</v>
      </c>
      <c r="E15" s="48">
        <f>C15+D15</f>
        <v/>
      </c>
      <c r="F15" s="33">
        <f>SUMIFS('Data - Accounts'!$E$5:$E$2358,'Data - Accounts'!$C$5:$C$2358,$A15)</f>
        <v/>
      </c>
      <c r="G15" s="33">
        <f>SUMIFS('Data - Accounts'!$F$5:$F$2358,'Data - Accounts'!$C$5:$C$2358,$A15)</f>
        <v/>
      </c>
      <c r="H15" s="34">
        <f>IFERROR(G15/F15-1,"")</f>
        <v/>
      </c>
      <c r="I15" s="45">
        <f>IFERROR(SUMIFS('Data - Accounts'!$J$5:$J$2358,'Data - Accounts'!$C$5:$C$2358,$A15)/SUMIFS('Data - Accounts'!$I$5:$I$2358,'Data - Accounts'!$C$5:$C$2358,$A15)-1,"")</f>
        <v/>
      </c>
      <c r="J15" s="35">
        <f>IFERROR(H15-I15,"")</f>
        <v/>
      </c>
      <c r="K15" s="53" t="n">
        <v>4</v>
      </c>
      <c r="L15" s="53" t="n">
        <v>5</v>
      </c>
      <c r="M15" s="45">
        <f>IFERROR(L15/K15-1,"")</f>
        <v/>
      </c>
    </row>
    <row r="16">
      <c r="A16" s="43" t="inlineStr">
        <is>
          <t>Anthony Palmisano</t>
        </is>
      </c>
      <c r="B16" s="2" t="inlineStr">
        <is>
          <t>Chris McCrohan</t>
        </is>
      </c>
      <c r="C16" s="55" t="n">
        <v>1250</v>
      </c>
      <c r="D16" s="55" t="n">
        <v>941</v>
      </c>
      <c r="E16" s="48">
        <f>C16+D16</f>
        <v/>
      </c>
      <c r="F16" s="33">
        <f>SUMIFS('Data - Accounts'!$E$5:$E$2358,'Data - Accounts'!$C$5:$C$2358,$A16)</f>
        <v/>
      </c>
      <c r="G16" s="33">
        <f>SUMIFS('Data - Accounts'!$F$5:$F$2358,'Data - Accounts'!$C$5:$C$2358,$A16)</f>
        <v/>
      </c>
      <c r="H16" s="34">
        <f>IFERROR(G16/F16-1,"")</f>
        <v/>
      </c>
      <c r="I16" s="45">
        <f>IFERROR(SUMIFS('Data - Accounts'!$J$5:$J$2358,'Data - Accounts'!$C$5:$C$2358,$A16)/SUMIFS('Data - Accounts'!$I$5:$I$2358,'Data - Accounts'!$C$5:$C$2358,$A16)-1,"")</f>
        <v/>
      </c>
      <c r="J16" s="35">
        <f>IFERROR(H16-I16,"")</f>
        <v/>
      </c>
      <c r="K16" s="53" t="n">
        <v>71</v>
      </c>
      <c r="L16" s="53" t="n">
        <v>77</v>
      </c>
      <c r="M16" s="45">
        <f>IFERROR(L16/K16-1,"")</f>
        <v/>
      </c>
    </row>
    <row r="17">
      <c r="A17" s="43" t="inlineStr">
        <is>
          <t>Chris Payton</t>
        </is>
      </c>
      <c r="B17" s="2" t="inlineStr">
        <is>
          <t>Mike Engel</t>
        </is>
      </c>
      <c r="C17" s="55" t="n">
        <v>1250</v>
      </c>
      <c r="D17" s="55" t="n">
        <v>910.5</v>
      </c>
      <c r="E17" s="48">
        <f>C17+D17</f>
        <v/>
      </c>
      <c r="F17" s="33">
        <f>SUMIFS('Data - Accounts'!$E$5:$E$2358,'Data - Accounts'!$C$5:$C$2358,$A17)</f>
        <v/>
      </c>
      <c r="G17" s="33">
        <f>SUMIFS('Data - Accounts'!$F$5:$F$2358,'Data - Accounts'!$C$5:$C$2358,$A17)</f>
        <v/>
      </c>
      <c r="H17" s="34">
        <f>IFERROR(G17/F17-1,"")</f>
        <v/>
      </c>
      <c r="I17" s="45">
        <f>IFERROR(SUMIFS('Data - Accounts'!$J$5:$J$2358,'Data - Accounts'!$C$5:$C$2358,$A17)/SUMIFS('Data - Accounts'!$I$5:$I$2358,'Data - Accounts'!$C$5:$C$2358,$A17)-1,"")</f>
        <v/>
      </c>
      <c r="J17" s="35">
        <f>IFERROR(H17-I17,"")</f>
        <v/>
      </c>
      <c r="K17" s="53" t="n">
        <v>59</v>
      </c>
      <c r="L17" s="53" t="n">
        <v>60</v>
      </c>
      <c r="M17" s="45">
        <f>IFERROR(L17/K17-1,"")</f>
        <v/>
      </c>
    </row>
    <row r="18">
      <c r="A18" s="43" t="inlineStr">
        <is>
          <t>Derrick Laws</t>
        </is>
      </c>
      <c r="B18" s="2" t="inlineStr">
        <is>
          <t>Denise Montes</t>
        </is>
      </c>
      <c r="C18" s="55" t="n">
        <v>500</v>
      </c>
      <c r="D18" s="55" t="n">
        <v>844.5</v>
      </c>
      <c r="E18" s="48">
        <f>C18+D18</f>
        <v/>
      </c>
      <c r="F18" s="33">
        <f>SUMIFS('Data - Accounts'!$E$5:$E$2358,'Data - Accounts'!$C$5:$C$2358,$A18)</f>
        <v/>
      </c>
      <c r="G18" s="33">
        <f>SUMIFS('Data - Accounts'!$F$5:$F$2358,'Data - Accounts'!$C$5:$C$2358,$A18)</f>
        <v/>
      </c>
      <c r="H18" s="34">
        <f>IFERROR(G18/F18-1,"")</f>
        <v/>
      </c>
      <c r="I18" s="45">
        <f>IFERROR(SUMIFS('Data - Accounts'!$J$5:$J$2358,'Data - Accounts'!$C$5:$C$2358,$A18)/SUMIFS('Data - Accounts'!$I$5:$I$2358,'Data - Accounts'!$C$5:$C$2358,$A18)-1,"")</f>
        <v/>
      </c>
      <c r="J18" s="35">
        <f>IFERROR(H18-I18,"")</f>
        <v/>
      </c>
      <c r="K18" s="53" t="n">
        <v>42</v>
      </c>
      <c r="L18" s="53" t="n">
        <v>44</v>
      </c>
      <c r="M18" s="45">
        <f>IFERROR(L18/K18-1,"")</f>
        <v/>
      </c>
    </row>
    <row r="19">
      <c r="A19" s="43" t="inlineStr">
        <is>
          <t>Jayson Romine</t>
        </is>
      </c>
      <c r="B19" s="2" t="inlineStr">
        <is>
          <t>Paul Deady</t>
        </is>
      </c>
      <c r="C19" s="55" t="n">
        <v>500</v>
      </c>
      <c r="D19" s="55" t="n">
        <v>767</v>
      </c>
      <c r="E19" s="48">
        <f>C19+D19</f>
        <v/>
      </c>
      <c r="F19" s="33">
        <f>SUMIFS('Data - Accounts'!$E$5:$E$2358,'Data - Accounts'!$C$5:$C$2358,$A19)</f>
        <v/>
      </c>
      <c r="G19" s="33">
        <f>SUMIFS('Data - Accounts'!$F$5:$F$2358,'Data - Accounts'!$C$5:$C$2358,$A19)</f>
        <v/>
      </c>
      <c r="H19" s="34">
        <f>IFERROR(G19/F19-1,"")</f>
        <v/>
      </c>
      <c r="I19" s="45">
        <f>IFERROR(SUMIFS('Data - Accounts'!$J$5:$J$2358,'Data - Accounts'!$C$5:$C$2358,$A19)/SUMIFS('Data - Accounts'!$I$5:$I$2358,'Data - Accounts'!$C$5:$C$2358,$A19)-1,"")</f>
        <v/>
      </c>
      <c r="J19" s="35">
        <f>IFERROR(H19-I19,"")</f>
        <v/>
      </c>
      <c r="K19" s="53" t="n">
        <v>33</v>
      </c>
      <c r="L19" s="53" t="n">
        <v>35</v>
      </c>
      <c r="M19" s="45">
        <f>IFERROR(L19/K19-1,"")</f>
        <v/>
      </c>
    </row>
    <row r="20">
      <c r="A20" s="43" t="inlineStr">
        <is>
          <t>Pablo Lopez</t>
        </is>
      </c>
      <c r="B20" s="2" t="inlineStr">
        <is>
          <t>Denise Montes</t>
        </is>
      </c>
      <c r="C20" s="55" t="n">
        <v>500</v>
      </c>
      <c r="D20" s="55" t="n">
        <v>756.5</v>
      </c>
      <c r="E20" s="48">
        <f>C20+D20</f>
        <v/>
      </c>
      <c r="F20" s="33">
        <f>SUMIFS('Data - Accounts'!$E$5:$E$2358,'Data - Accounts'!$C$5:$C$2358,$A20)</f>
        <v/>
      </c>
      <c r="G20" s="33">
        <f>SUMIFS('Data - Accounts'!$F$5:$F$2358,'Data - Accounts'!$C$5:$C$2358,$A20)</f>
        <v/>
      </c>
      <c r="H20" s="34">
        <f>IFERROR(G20/F20-1,"")</f>
        <v/>
      </c>
      <c r="I20" s="45">
        <f>IFERROR(SUMIFS('Data - Accounts'!$J$5:$J$2358,'Data - Accounts'!$C$5:$C$2358,$A20)/SUMIFS('Data - Accounts'!$I$5:$I$2358,'Data - Accounts'!$C$5:$C$2358,$A20)-1,"")</f>
        <v/>
      </c>
      <c r="J20" s="35">
        <f>IFERROR(H20-I20,"")</f>
        <v/>
      </c>
      <c r="K20" s="53" t="n">
        <v>77</v>
      </c>
      <c r="L20" s="53" t="n">
        <v>78</v>
      </c>
      <c r="M20" s="45">
        <f>IFERROR(L20/K20-1,"")</f>
        <v/>
      </c>
    </row>
    <row r="21">
      <c r="A21" s="43" t="inlineStr">
        <is>
          <t>Robin Feldman</t>
        </is>
      </c>
      <c r="B21" s="2" t="inlineStr">
        <is>
          <t>Chris McCrohan</t>
        </is>
      </c>
      <c r="C21" s="55" t="n">
        <v>500</v>
      </c>
      <c r="D21" s="55" t="n">
        <v>374.5</v>
      </c>
      <c r="E21" s="48">
        <f>C21+D21</f>
        <v/>
      </c>
      <c r="F21" s="33">
        <f>SUMIFS('Data - Accounts'!$E$5:$E$2358,'Data - Accounts'!$C$5:$C$2358,$A21)</f>
        <v/>
      </c>
      <c r="G21" s="33">
        <f>SUMIFS('Data - Accounts'!$F$5:$F$2358,'Data - Accounts'!$C$5:$C$2358,$A21)</f>
        <v/>
      </c>
      <c r="H21" s="34">
        <f>IFERROR(G21/F21-1,"")</f>
        <v/>
      </c>
      <c r="I21" s="45">
        <f>IFERROR(SUMIFS('Data - Accounts'!$J$5:$J$2358,'Data - Accounts'!$C$5:$C$2358,$A21)/SUMIFS('Data - Accounts'!$I$5:$I$2358,'Data - Accounts'!$C$5:$C$2358,$A21)-1,"")</f>
        <v/>
      </c>
      <c r="J21" s="35">
        <f>IFERROR(H21-I21,"")</f>
        <v/>
      </c>
      <c r="K21" s="53" t="n">
        <v>191</v>
      </c>
      <c r="L21" s="53" t="n">
        <v>191</v>
      </c>
      <c r="M21" s="45">
        <f>IFERROR(L21/K21-1,"")</f>
        <v/>
      </c>
    </row>
    <row r="22">
      <c r="A22" s="43" t="inlineStr">
        <is>
          <t>Jim Heaney</t>
        </is>
      </c>
      <c r="B22" s="2" t="inlineStr">
        <is>
          <t>Denise Montes</t>
        </is>
      </c>
      <c r="C22" s="55" t="n">
        <v>0</v>
      </c>
      <c r="D22" s="55" t="n">
        <v>810.5</v>
      </c>
      <c r="E22" s="48">
        <f>C22+D22</f>
        <v/>
      </c>
      <c r="F22" s="33">
        <f>SUMIFS('Data - Accounts'!$E$5:$E$2358,'Data - Accounts'!$C$5:$C$2358,$A22)</f>
        <v/>
      </c>
      <c r="G22" s="33">
        <f>SUMIFS('Data - Accounts'!$F$5:$F$2358,'Data - Accounts'!$C$5:$C$2358,$A22)</f>
        <v/>
      </c>
      <c r="H22" s="34">
        <f>IFERROR(G22/F22-1,"")</f>
        <v/>
      </c>
      <c r="I22" s="45">
        <f>IFERROR(SUMIFS('Data - Accounts'!$J$5:$J$2358,'Data - Accounts'!$C$5:$C$2358,$A22)/SUMIFS('Data - Accounts'!$I$5:$I$2358,'Data - Accounts'!$C$5:$C$2358,$A22)-1,"")</f>
        <v/>
      </c>
      <c r="J22" s="35">
        <f>IFERROR(H22-I22,"")</f>
        <v/>
      </c>
      <c r="K22" s="53" t="n">
        <v>44</v>
      </c>
      <c r="L22" s="53" t="n">
        <v>42</v>
      </c>
      <c r="M22" s="45">
        <f>IFERROR(L22/K22-1,"")</f>
        <v/>
      </c>
    </row>
    <row r="23">
      <c r="A23" s="43" t="inlineStr">
        <is>
          <t>Paul Mclaughlin</t>
        </is>
      </c>
      <c r="B23" s="2" t="inlineStr">
        <is>
          <t>Chris McCrohan</t>
        </is>
      </c>
      <c r="C23" s="55" t="n">
        <v>500</v>
      </c>
      <c r="D23" s="55" t="n">
        <v>267.5</v>
      </c>
      <c r="E23" s="48">
        <f>C23+D23</f>
        <v/>
      </c>
      <c r="F23" s="33">
        <f>SUMIFS('Data - Accounts'!$E$5:$E$2358,'Data - Accounts'!$C$5:$C$2358,$A23)</f>
        <v/>
      </c>
      <c r="G23" s="33">
        <f>SUMIFS('Data - Accounts'!$F$5:$F$2358,'Data - Accounts'!$C$5:$C$2358,$A23)</f>
        <v/>
      </c>
      <c r="H23" s="34">
        <f>IFERROR(G23/F23-1,"")</f>
        <v/>
      </c>
      <c r="I23" s="45">
        <f>IFERROR(SUMIFS('Data - Accounts'!$J$5:$J$2358,'Data - Accounts'!$C$5:$C$2358,$A23)/SUMIFS('Data - Accounts'!$I$5:$I$2358,'Data - Accounts'!$C$5:$C$2358,$A23)-1,"")</f>
        <v/>
      </c>
      <c r="J23" s="35">
        <f>IFERROR(H23-I23,"")</f>
        <v/>
      </c>
      <c r="K23" s="53" t="n">
        <v>122</v>
      </c>
      <c r="L23" s="53" t="n">
        <v>123</v>
      </c>
      <c r="M23" s="45">
        <f>IFERROR(L23/K23-1,"")</f>
        <v/>
      </c>
    </row>
    <row r="24">
      <c r="A24" s="43" t="inlineStr">
        <is>
          <t>Dylan Rubino</t>
        </is>
      </c>
      <c r="B24" s="2" t="inlineStr">
        <is>
          <t>Mike Kennedy</t>
        </is>
      </c>
      <c r="C24" s="55" t="n">
        <v>0</v>
      </c>
      <c r="D24" s="55" t="n">
        <v>698</v>
      </c>
      <c r="E24" s="48">
        <f>C24+D24</f>
        <v/>
      </c>
      <c r="F24" s="33">
        <f>SUMIFS('Data - Accounts'!$E$5:$E$2358,'Data - Accounts'!$C$5:$C$2358,$A24)</f>
        <v/>
      </c>
      <c r="G24" s="33">
        <f>SUMIFS('Data - Accounts'!$F$5:$F$2358,'Data - Accounts'!$C$5:$C$2358,$A24)</f>
        <v/>
      </c>
      <c r="H24" s="34">
        <f>IFERROR(G24/F24-1,"")</f>
        <v/>
      </c>
      <c r="I24" s="45">
        <f>IFERROR(SUMIFS('Data - Accounts'!$J$5:$J$2358,'Data - Accounts'!$C$5:$C$2358,$A24)/SUMIFS('Data - Accounts'!$I$5:$I$2358,'Data - Accounts'!$C$5:$C$2358,$A24)-1,"")</f>
        <v/>
      </c>
      <c r="J24" s="35">
        <f>IFERROR(H24-I24,"")</f>
        <v/>
      </c>
      <c r="K24" s="53" t="n">
        <v>119</v>
      </c>
      <c r="L24" s="53" t="n">
        <v>126</v>
      </c>
      <c r="M24" s="45">
        <f>IFERROR(L24/K24-1,"")</f>
        <v/>
      </c>
    </row>
    <row r="25">
      <c r="A25" s="43" t="inlineStr">
        <is>
          <t>Michael Harboy</t>
        </is>
      </c>
      <c r="B25" s="2" t="inlineStr">
        <is>
          <t>Mike Kennedy</t>
        </is>
      </c>
      <c r="C25" s="55" t="n">
        <v>0</v>
      </c>
      <c r="D25" s="55" t="n">
        <v>372.5</v>
      </c>
      <c r="E25" s="48">
        <f>C25+D25</f>
        <v/>
      </c>
      <c r="F25" s="33">
        <f>SUMIFS('Data - Accounts'!$E$5:$E$2358,'Data - Accounts'!$C$5:$C$2358,$A25)</f>
        <v/>
      </c>
      <c r="G25" s="33">
        <f>SUMIFS('Data - Accounts'!$F$5:$F$2358,'Data - Accounts'!$C$5:$C$2358,$A25)</f>
        <v/>
      </c>
      <c r="H25" s="34">
        <f>IFERROR(G25/F25-1,"")</f>
        <v/>
      </c>
      <c r="I25" s="45">
        <f>IFERROR(SUMIFS('Data - Accounts'!$J$5:$J$2358,'Data - Accounts'!$C$5:$C$2358,$A25)/SUMIFS('Data - Accounts'!$I$5:$I$2358,'Data - Accounts'!$C$5:$C$2358,$A25)-1,"")</f>
        <v/>
      </c>
      <c r="J25" s="35">
        <f>IFERROR(H25-I25,"")</f>
        <v/>
      </c>
      <c r="K25" s="53" t="n">
        <v>25</v>
      </c>
      <c r="L25" s="53" t="n">
        <v>32</v>
      </c>
      <c r="M25" s="45">
        <f>IFERROR(L25/K25-1,"")</f>
        <v/>
      </c>
    </row>
    <row r="26">
      <c r="A26" s="43" t="inlineStr">
        <is>
          <t>Alex Rodriguez</t>
        </is>
      </c>
      <c r="B26" s="2" t="inlineStr">
        <is>
          <t>Mike Kennedy</t>
        </is>
      </c>
      <c r="C26" s="55" t="n">
        <v>0</v>
      </c>
      <c r="D26" s="55" t="n">
        <v>297</v>
      </c>
      <c r="E26" s="48">
        <f>C26+D26</f>
        <v/>
      </c>
      <c r="F26" s="33">
        <f>SUMIFS('Data - Accounts'!$E$5:$E$2358,'Data - Accounts'!$C$5:$C$2358,$A26)</f>
        <v/>
      </c>
      <c r="G26" s="33">
        <f>SUMIFS('Data - Accounts'!$F$5:$F$2358,'Data - Accounts'!$C$5:$C$2358,$A26)</f>
        <v/>
      </c>
      <c r="H26" s="34">
        <f>IFERROR(G26/F26-1,"")</f>
        <v/>
      </c>
      <c r="I26" s="45">
        <f>IFERROR(SUMIFS('Data - Accounts'!$J$5:$J$2358,'Data - Accounts'!$C$5:$C$2358,$A26)/SUMIFS('Data - Accounts'!$I$5:$I$2358,'Data - Accounts'!$C$5:$C$2358,$A26)-1,"")</f>
        <v/>
      </c>
      <c r="J26" s="35">
        <f>IFERROR(H26-I26,"")</f>
        <v/>
      </c>
      <c r="K26" s="53" t="n">
        <v>31</v>
      </c>
      <c r="L26" s="53" t="n">
        <v>38</v>
      </c>
      <c r="M26" s="45">
        <f>IFERROR(L26/K26-1,"")</f>
        <v/>
      </c>
    </row>
    <row r="27">
      <c r="A27" s="43" t="inlineStr">
        <is>
          <t>Brian Sengebush</t>
        </is>
      </c>
      <c r="B27" s="2" t="inlineStr">
        <is>
          <t>Chris McCrohan</t>
        </is>
      </c>
      <c r="C27" s="55" t="n">
        <v>0</v>
      </c>
      <c r="D27" s="55" t="n">
        <v>252</v>
      </c>
      <c r="E27" s="48">
        <f>C27+D27</f>
        <v/>
      </c>
      <c r="F27" s="33">
        <f>SUMIFS('Data - Accounts'!$E$5:$E$2358,'Data - Accounts'!$C$5:$C$2358,$A27)</f>
        <v/>
      </c>
      <c r="G27" s="33">
        <f>SUMIFS('Data - Accounts'!$F$5:$F$2358,'Data - Accounts'!$C$5:$C$2358,$A27)</f>
        <v/>
      </c>
      <c r="H27" s="34">
        <f>IFERROR(G27/F27-1,"")</f>
        <v/>
      </c>
      <c r="I27" s="45">
        <f>IFERROR(SUMIFS('Data - Accounts'!$J$5:$J$2358,'Data - Accounts'!$C$5:$C$2358,$A27)/SUMIFS('Data - Accounts'!$I$5:$I$2358,'Data - Accounts'!$C$5:$C$2358,$A27)-1,"")</f>
        <v/>
      </c>
      <c r="J27" s="35">
        <f>IFERROR(H27-I27,"")</f>
        <v/>
      </c>
      <c r="K27" s="53" t="n">
        <v>123</v>
      </c>
      <c r="L27" s="53" t="n">
        <v>117</v>
      </c>
      <c r="M27" s="45">
        <f>IFERROR(L27/K27-1,"")</f>
        <v/>
      </c>
    </row>
    <row r="28">
      <c r="A28" s="43" t="inlineStr">
        <is>
          <t>John O'Donoghue</t>
        </is>
      </c>
      <c r="B28" s="2" t="inlineStr">
        <is>
          <t>Mike Kennedy</t>
        </is>
      </c>
      <c r="C28" s="55" t="n">
        <v>0</v>
      </c>
      <c r="D28" s="55" t="n">
        <v>123</v>
      </c>
      <c r="E28" s="48">
        <f>C28+D28</f>
        <v/>
      </c>
      <c r="F28" s="33">
        <f>SUMIFS('Data - Accounts'!$E$5:$E$2358,'Data - Accounts'!$C$5:$C$2358,$A28)</f>
        <v/>
      </c>
      <c r="G28" s="33">
        <f>SUMIFS('Data - Accounts'!$F$5:$F$2358,'Data - Accounts'!$C$5:$C$2358,$A28)</f>
        <v/>
      </c>
      <c r="H28" s="34">
        <f>IFERROR(G28/F28-1,"")</f>
        <v/>
      </c>
      <c r="I28" s="45">
        <f>IFERROR(SUMIFS('Data - Accounts'!$J$5:$J$2358,'Data - Accounts'!$C$5:$C$2358,$A28)/SUMIFS('Data - Accounts'!$I$5:$I$2358,'Data - Accounts'!$C$5:$C$2358,$A28)-1,"")</f>
        <v/>
      </c>
      <c r="J28" s="35">
        <f>IFERROR(H28-I28,"")</f>
        <v/>
      </c>
      <c r="K28" s="53" t="n">
        <v>48</v>
      </c>
      <c r="L28" s="53" t="n">
        <v>47</v>
      </c>
      <c r="M28" s="45">
        <f>IFERROR(L28/K28-1,"")</f>
        <v/>
      </c>
    </row>
    <row r="29">
      <c r="A29" s="43" t="inlineStr">
        <is>
          <t>Jaime Colonna</t>
        </is>
      </c>
      <c r="B29" s="2" t="inlineStr">
        <is>
          <t>Mike Kennedy</t>
        </is>
      </c>
      <c r="C29" s="55" t="n">
        <v>0</v>
      </c>
      <c r="D29" s="55" t="n">
        <v>115</v>
      </c>
      <c r="E29" s="48">
        <f>C29+D29</f>
        <v/>
      </c>
      <c r="F29" s="33">
        <f>SUMIFS('Data - Accounts'!$E$5:$E$2358,'Data - Accounts'!$C$5:$C$2358,$A29)</f>
        <v/>
      </c>
      <c r="G29" s="33">
        <f>SUMIFS('Data - Accounts'!$F$5:$F$2358,'Data - Accounts'!$C$5:$C$2358,$A29)</f>
        <v/>
      </c>
      <c r="H29" s="34">
        <f>IFERROR(G29/F29-1,"")</f>
        <v/>
      </c>
      <c r="I29" s="45">
        <f>IFERROR(SUMIFS('Data - Accounts'!$J$5:$J$2358,'Data - Accounts'!$C$5:$C$2358,$A29)/SUMIFS('Data - Accounts'!$I$5:$I$2358,'Data - Accounts'!$C$5:$C$2358,$A29)-1,"")</f>
        <v/>
      </c>
      <c r="J29" s="35">
        <f>IFERROR(H29-I29,"")</f>
        <v/>
      </c>
      <c r="K29" s="53" t="n">
        <v>39</v>
      </c>
      <c r="L29" s="53" t="n">
        <v>42</v>
      </c>
      <c r="M29" s="45">
        <f>IFERROR(L29/K29-1,"")</f>
        <v/>
      </c>
    </row>
    <row r="30">
      <c r="A30" s="43" t="inlineStr">
        <is>
          <t>Andrew Lundy</t>
        </is>
      </c>
      <c r="B30" s="2" t="inlineStr">
        <is>
          <t>Mike Kennedy</t>
        </is>
      </c>
      <c r="C30" s="55" t="n">
        <v>0</v>
      </c>
      <c r="D30" s="55" t="n">
        <v>107</v>
      </c>
      <c r="E30" s="48">
        <f>C30+D30</f>
        <v/>
      </c>
      <c r="F30" s="33">
        <f>SUMIFS('Data - Accounts'!$E$5:$E$2358,'Data - Accounts'!$C$5:$C$2358,$A30)</f>
        <v/>
      </c>
      <c r="G30" s="33">
        <f>SUMIFS('Data - Accounts'!$F$5:$F$2358,'Data - Accounts'!$C$5:$C$2358,$A30)</f>
        <v/>
      </c>
      <c r="H30" s="34">
        <f>IFERROR(G30/F30-1,"")</f>
        <v/>
      </c>
      <c r="I30" s="45">
        <f>IFERROR(SUMIFS('Data - Accounts'!$J$5:$J$2358,'Data - Accounts'!$C$5:$C$2358,$A30)/SUMIFS('Data - Accounts'!$I$5:$I$2358,'Data - Accounts'!$C$5:$C$2358,$A30)-1,"")</f>
        <v/>
      </c>
      <c r="J30" s="35">
        <f>IFERROR(H30-I30,"")</f>
        <v/>
      </c>
      <c r="K30" s="53" t="n">
        <v>58</v>
      </c>
      <c r="L30" s="53" t="n">
        <v>59</v>
      </c>
      <c r="M30" s="45">
        <f>IFERROR(L30/K30-1,"")</f>
        <v/>
      </c>
    </row>
    <row r="31">
      <c r="A31" s="43" t="inlineStr">
        <is>
          <t>Alisa Acciardi</t>
        </is>
      </c>
      <c r="B31" s="2" t="inlineStr">
        <is>
          <t>Mike Kennedy</t>
        </is>
      </c>
      <c r="C31" s="55" t="n">
        <v>0</v>
      </c>
      <c r="D31" s="55" t="n">
        <v>5</v>
      </c>
      <c r="E31" s="48">
        <f>C31+D31</f>
        <v/>
      </c>
      <c r="F31" s="33">
        <f>SUMIFS('Data - Accounts'!$E$5:$E$2358,'Data - Accounts'!$C$5:$C$2358,$A31)</f>
        <v/>
      </c>
      <c r="G31" s="33">
        <f>SUMIFS('Data - Accounts'!$F$5:$F$2358,'Data - Accounts'!$C$5:$C$2358,$A31)</f>
        <v/>
      </c>
      <c r="H31" s="34">
        <f>IFERROR(G31/F31-1,"")</f>
        <v/>
      </c>
      <c r="I31" s="45">
        <f>IFERROR(SUMIFS('Data - Accounts'!$J$5:$J$2358,'Data - Accounts'!$C$5:$C$2358,$A31)/SUMIFS('Data - Accounts'!$I$5:$I$2358,'Data - Accounts'!$C$5:$C$2358,$A31)-1,"")</f>
        <v/>
      </c>
      <c r="J31" s="35">
        <f>IFERROR(H31-I31,"")</f>
        <v/>
      </c>
      <c r="K31" s="53" t="n">
        <v>59</v>
      </c>
      <c r="L31" s="53" t="n">
        <v>57</v>
      </c>
      <c r="M31" s="45">
        <f>IFERROR(L31/K31-1,"")</f>
        <v/>
      </c>
    </row>
    <row r="32">
      <c r="A32" s="43" t="inlineStr">
        <is>
          <t>Hakan Sadik</t>
        </is>
      </c>
      <c r="B32" s="2" t="inlineStr">
        <is>
          <t>Mike Kennedy</t>
        </is>
      </c>
      <c r="C32" s="55" t="n">
        <v>0</v>
      </c>
      <c r="D32" s="55" t="n">
        <v>0</v>
      </c>
      <c r="E32" s="48">
        <f>C32+D32</f>
        <v/>
      </c>
      <c r="F32" s="33">
        <f>SUMIFS('Data - Accounts'!$E$5:$E$2358,'Data - Accounts'!$C$5:$C$2358,$A32)</f>
        <v/>
      </c>
      <c r="G32" s="33">
        <f>SUMIFS('Data - Accounts'!$F$5:$F$2358,'Data - Accounts'!$C$5:$C$2358,$A32)</f>
        <v/>
      </c>
      <c r="H32" s="34">
        <f>IFERROR(G32/F32-1,"")</f>
        <v/>
      </c>
      <c r="I32" s="45">
        <f>IFERROR(SUMIFS('Data - Accounts'!$J$5:$J$2358,'Data - Accounts'!$C$5:$C$2358,$A32)/SUMIFS('Data - Accounts'!$I$5:$I$2358,'Data - Accounts'!$C$5:$C$2358,$A32)-1,"")</f>
        <v/>
      </c>
      <c r="J32" s="35">
        <f>IFERROR(H32-I32,"")</f>
        <v/>
      </c>
      <c r="K32" s="53" t="n">
        <v>46</v>
      </c>
      <c r="L32" s="53" t="n">
        <v>42</v>
      </c>
      <c r="M32" s="45">
        <f>IFERROR(L32/K32-1,"")</f>
        <v/>
      </c>
    </row>
    <row r="33">
      <c r="A33" s="17" t="inlineStr">
        <is>
          <t>TOTAL</t>
        </is>
      </c>
      <c r="C33" s="48">
        <f>SUM(C5:C32)</f>
        <v/>
      </c>
      <c r="D33" s="48">
        <f>SUM(D5:D32)</f>
        <v/>
      </c>
      <c r="E33" s="48">
        <f>SUM(E5:E32)</f>
        <v/>
      </c>
      <c r="F33" s="44">
        <f>SUM(F5:F32)</f>
        <v/>
      </c>
      <c r="G33" s="44">
        <f>SUM(G5:G32)</f>
        <v/>
      </c>
      <c r="H33" s="34">
        <f>IFERROR(G33/F33-1,"")</f>
        <v/>
      </c>
      <c r="K33" s="44">
        <f>SUM(K5:K32)</f>
        <v/>
      </c>
      <c r="L33" s="44">
        <f>SUM(L5:L32)</f>
        <v/>
      </c>
    </row>
    <row r="35">
      <c r="A35" s="5" t="inlineStr">
        <is>
          <t>DOES PAYOUT TRACK PERFORMANCE?</t>
        </is>
      </c>
    </row>
    <row r="36">
      <c r="A36" s="17" t="inlineStr">
        <is>
          <t>Correlation: payout earned vs program volume growth</t>
        </is>
      </c>
      <c r="B36" s="56">
        <f>IFERROR(CORREL($E$5:$E$32,$H$5:$H$32),"")</f>
        <v/>
      </c>
    </row>
    <row r="37">
      <c r="A37" s="17" t="inlineStr">
        <is>
          <t>Correlation: payout earned vs gap over that rep's own control</t>
        </is>
      </c>
      <c r="B37" s="56">
        <f>IFERROR(CORREL($E$5:$E$32,$J$5:$J$32),"")</f>
        <v/>
      </c>
    </row>
    <row r="39">
      <c r="A39" s="2" t="inlineStr">
        <is>
          <t>Both correlations sit at roughly zero. The reps who earned the most were not the reps who grew the most, and were not the reps who beat their own non-incented book.</t>
        </is>
      </c>
    </row>
    <row r="40">
      <c r="A40" s="2" t="inlineStr">
        <is>
          <t>That is what you would expect when payout is driven by how each rep's goal was set rather than by what they delivered — see the Goal Design tab.</t>
        </is>
      </c>
    </row>
    <row r="41">
      <c r="A41" s="2" t="inlineStr">
        <is>
          <t>It is not a criticism of the sales team. It says the program did not reward the behaviour it was meant to reward.</t>
        </is>
      </c>
    </row>
  </sheetData>
  <autoFilter ref="A4:M3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38"/>
  <sheetViews>
    <sheetView showGridLines="0" workbookViewId="0">
      <pane ySplit="5" topLeftCell="A6" activePane="bottomLeft" state="frozen"/>
      <selection pane="bottomLeft" activeCell="A1" sqref="A1"/>
    </sheetView>
  </sheetViews>
  <sheetFormatPr baseColWidth="8" defaultRowHeight="15"/>
  <cols>
    <col width="11" customWidth="1" min="1" max="1"/>
    <col width="28" customWidth="1" min="2" max="2"/>
    <col width="24"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4" customWidth="1" min="18" max="18"/>
    <col width="12" customWidth="1" min="19" max="19"/>
    <col width="13" customWidth="1" min="20" max="20"/>
    <col width="13" customWidth="1" min="21" max="21"/>
    <col width="11" customWidth="1" min="22" max="22"/>
  </cols>
  <sheetData>
    <row r="1">
      <c r="A1" s="24" t="inlineStr">
        <is>
          <t>Program brands — both periods, brand level</t>
        </is>
      </c>
    </row>
    <row r="2">
      <c r="A2" s="2" t="inlineStr">
        <is>
          <t>SUMIFS off Data - Season and Data - Pre. Feeds the Acceleration Test, Counterfactual, Distribution and GP Bridge tabs.</t>
        </is>
      </c>
    </row>
    <row r="4">
      <c r="D4" s="51" t="inlineStr">
        <is>
          <t>JUN–AUG (program period)</t>
        </is>
      </c>
      <c r="J4" s="51" t="inlineStr">
        <is>
          <t>JAN–MAY (pre-program)</t>
        </is>
      </c>
      <c r="N4" s="51" t="inlineStr">
        <is>
          <t>PER-CASE ECONOMICS, JUN–AUG</t>
        </is>
      </c>
      <c r="R4" s="51" t="inlineStr">
        <is>
          <t>GP BRIDGE INPUTS</t>
        </is>
      </c>
      <c r="T4" s="51" t="inlineStr">
        <is>
          <t>ACCELERATION</t>
        </is>
      </c>
    </row>
    <row r="5" ht="32" customHeight="1">
      <c r="A5" s="6" t="inlineStr">
        <is>
          <t>Segment</t>
        </is>
      </c>
      <c r="B5" s="6" t="inlineStr">
        <is>
          <t>Supplier</t>
        </is>
      </c>
      <c r="C5" s="6" t="inlineStr">
        <is>
          <t>Brand Family</t>
        </is>
      </c>
      <c r="D5" s="6" t="inlineStr">
        <is>
          <t>CE 2025</t>
        </is>
      </c>
      <c r="E5" s="6" t="inlineStr">
        <is>
          <t>CE 2026</t>
        </is>
      </c>
      <c r="F5" s="6" t="inlineStr">
        <is>
          <t>Rev 2025</t>
        </is>
      </c>
      <c r="G5" s="6" t="inlineStr">
        <is>
          <t>Rev 2026</t>
        </is>
      </c>
      <c r="H5" s="6" t="inlineStr">
        <is>
          <t>GP 2025</t>
        </is>
      </c>
      <c r="I5" s="6" t="inlineStr">
        <is>
          <t>GP 2026</t>
        </is>
      </c>
      <c r="J5" s="6" t="inlineStr">
        <is>
          <t>CE 2025</t>
        </is>
      </c>
      <c r="K5" s="6" t="inlineStr">
        <is>
          <t>CE 2026</t>
        </is>
      </c>
      <c r="L5" s="6" t="inlineStr">
        <is>
          <t>GP 2025</t>
        </is>
      </c>
      <c r="M5" s="6" t="inlineStr">
        <is>
          <t>GP 2026</t>
        </is>
      </c>
      <c r="N5" s="6" t="inlineStr">
        <is>
          <t>GP/CE 2025</t>
        </is>
      </c>
      <c r="O5" s="6" t="inlineStr">
        <is>
          <t>GP/CE 2026</t>
        </is>
      </c>
      <c r="P5" s="6" t="inlineStr">
        <is>
          <t>Rev/CE 2025</t>
        </is>
      </c>
      <c r="Q5" s="6" t="inlineStr">
        <is>
          <t>Rev/CE 2026</t>
        </is>
      </c>
      <c r="R5" s="6" t="inlineStr">
        <is>
          <t>GP26 at LY rate</t>
        </is>
      </c>
      <c r="S5" s="6" t="inlineStr">
        <is>
          <t>Rate effect</t>
        </is>
      </c>
      <c r="T5" s="6" t="inlineStr">
        <is>
          <t>Cases % Jun–Aug</t>
        </is>
      </c>
      <c r="U5" s="6" t="inlineStr">
        <is>
          <t>Cases % Jan–May</t>
        </is>
      </c>
      <c r="V5" s="6" t="inlineStr">
        <is>
          <t>Swing</t>
        </is>
      </c>
    </row>
    <row r="6">
      <c r="A6" s="43" t="inlineStr">
        <is>
          <t>Amplify</t>
        </is>
      </c>
      <c r="B6" s="43" t="inlineStr">
        <is>
          <t>Bell's</t>
        </is>
      </c>
      <c r="C6" s="43" t="inlineStr">
        <is>
          <t>Bell's</t>
        </is>
      </c>
      <c r="D6" s="33">
        <f>SUMIFS('Data - Season'!$E$5:$E$743,'Data - Season'!$B$5:$B$743,$A6,'Data - Season'!$C$5:$C$743,$B6,'Data - Season'!$D$5:$D$743,$C6)</f>
        <v/>
      </c>
      <c r="E6" s="33">
        <f>SUMIFS('Data - Season'!$F$5:$F$743,'Data - Season'!$B$5:$B$743,$A6,'Data - Season'!$C$5:$C$743,$B6,'Data - Season'!$D$5:$D$743,$C6)</f>
        <v/>
      </c>
      <c r="F6" s="36">
        <f>SUMIFS('Data - Season'!$G$5:$G$743,'Data - Season'!$B$5:$B$743,$A6,'Data - Season'!$C$5:$C$743,$B6,'Data - Season'!$D$5:$D$743,$C6)</f>
        <v/>
      </c>
      <c r="G6" s="36">
        <f>SUMIFS('Data - Season'!$H$5:$H$743,'Data - Season'!$B$5:$B$743,$A6,'Data - Season'!$C$5:$C$743,$B6,'Data - Season'!$D$5:$D$743,$C6)</f>
        <v/>
      </c>
      <c r="H6" s="36">
        <f>SUMIFS('Data - Season'!$I$5:$I$743,'Data - Season'!$B$5:$B$743,$A6,'Data - Season'!$C$5:$C$743,$B6,'Data - Season'!$D$5:$D$743,$C6)</f>
        <v/>
      </c>
      <c r="I6" s="36">
        <f>SUMIFS('Data - Season'!$J$5:$J$743,'Data - Season'!$B$5:$B$743,$A6,'Data - Season'!$C$5:$C$743,$B6,'Data - Season'!$D$5:$D$743,$C6)</f>
        <v/>
      </c>
      <c r="J6" s="33">
        <f>SUMIFS('Data - Pre'!$D$5:$D$36,'Data - Pre'!$A$5:$A$36,$A6,'Data - Pre'!$B$5:$B$36,$B6,'Data - Pre'!$C$5:$C$36,$C6)</f>
        <v/>
      </c>
      <c r="K6" s="33">
        <f>SUMIFS('Data - Pre'!$E$5:$E$36,'Data - Pre'!$A$5:$A$36,$A6,'Data - Pre'!$B$5:$B$36,$B6,'Data - Pre'!$C$5:$C$36,$C6)</f>
        <v/>
      </c>
      <c r="L6" s="36">
        <f>SUMIFS('Data - Pre'!$H$5:$H$36,'Data - Pre'!$A$5:$A$36,$A6,'Data - Pre'!$B$5:$B$36,$B6,'Data - Pre'!$C$5:$C$36,$C6)</f>
        <v/>
      </c>
      <c r="M6" s="36">
        <f>SUMIFS('Data - Pre'!$I$5:$I$36,'Data - Pre'!$A$5:$A$36,$A6,'Data - Pre'!$B$5:$B$36,$B6,'Data - Pre'!$C$5:$C$36,$C6)</f>
        <v/>
      </c>
      <c r="N6" s="57">
        <f>IFERROR($H6/$D6,0)</f>
        <v/>
      </c>
      <c r="O6" s="57">
        <f>IFERROR($I6/$E6,0)</f>
        <v/>
      </c>
      <c r="P6" s="57">
        <f>IFERROR($F6/$D6,0)</f>
        <v/>
      </c>
      <c r="Q6" s="57">
        <f>IFERROR($G6/$E6,0)</f>
        <v/>
      </c>
      <c r="R6" s="36">
        <f>$E6*$N6</f>
        <v/>
      </c>
      <c r="S6" s="36">
        <f>$E6*($O6-$N6)</f>
        <v/>
      </c>
      <c r="T6" s="45">
        <f>IFERROR($E6/$D6-1,"")</f>
        <v/>
      </c>
      <c r="U6" s="45">
        <f>IFERROR($K6/$J6-1,"")</f>
        <v/>
      </c>
      <c r="V6" s="45">
        <f>IFERROR($T6-$U6,"")</f>
        <v/>
      </c>
    </row>
    <row r="7">
      <c r="A7" s="43" t="inlineStr">
        <is>
          <t>Amplify</t>
        </is>
      </c>
      <c r="B7" s="43" t="inlineStr">
        <is>
          <t>Boston Beer Company</t>
        </is>
      </c>
      <c r="C7" s="43" t="inlineStr">
        <is>
          <t>Dogfish Head Beer</t>
        </is>
      </c>
      <c r="D7" s="33">
        <f>SUMIFS('Data - Season'!$E$5:$E$743,'Data - Season'!$B$5:$B$743,$A7,'Data - Season'!$C$5:$C$743,$B7,'Data - Season'!$D$5:$D$743,$C7)</f>
        <v/>
      </c>
      <c r="E7" s="33">
        <f>SUMIFS('Data - Season'!$F$5:$F$743,'Data - Season'!$B$5:$B$743,$A7,'Data - Season'!$C$5:$C$743,$B7,'Data - Season'!$D$5:$D$743,$C7)</f>
        <v/>
      </c>
      <c r="F7" s="36">
        <f>SUMIFS('Data - Season'!$G$5:$G$743,'Data - Season'!$B$5:$B$743,$A7,'Data - Season'!$C$5:$C$743,$B7,'Data - Season'!$D$5:$D$743,$C7)</f>
        <v/>
      </c>
      <c r="G7" s="36">
        <f>SUMIFS('Data - Season'!$H$5:$H$743,'Data - Season'!$B$5:$B$743,$A7,'Data - Season'!$C$5:$C$743,$B7,'Data - Season'!$D$5:$D$743,$C7)</f>
        <v/>
      </c>
      <c r="H7" s="36">
        <f>SUMIFS('Data - Season'!$I$5:$I$743,'Data - Season'!$B$5:$B$743,$A7,'Data - Season'!$C$5:$C$743,$B7,'Data - Season'!$D$5:$D$743,$C7)</f>
        <v/>
      </c>
      <c r="I7" s="36">
        <f>SUMIFS('Data - Season'!$J$5:$J$743,'Data - Season'!$B$5:$B$743,$A7,'Data - Season'!$C$5:$C$743,$B7,'Data - Season'!$D$5:$D$743,$C7)</f>
        <v/>
      </c>
      <c r="J7" s="33">
        <f>SUMIFS('Data - Pre'!$D$5:$D$36,'Data - Pre'!$A$5:$A$36,$A7,'Data - Pre'!$B$5:$B$36,$B7,'Data - Pre'!$C$5:$C$36,$C7)</f>
        <v/>
      </c>
      <c r="K7" s="33">
        <f>SUMIFS('Data - Pre'!$E$5:$E$36,'Data - Pre'!$A$5:$A$36,$A7,'Data - Pre'!$B$5:$B$36,$B7,'Data - Pre'!$C$5:$C$36,$C7)</f>
        <v/>
      </c>
      <c r="L7" s="36">
        <f>SUMIFS('Data - Pre'!$H$5:$H$36,'Data - Pre'!$A$5:$A$36,$A7,'Data - Pre'!$B$5:$B$36,$B7,'Data - Pre'!$C$5:$C$36,$C7)</f>
        <v/>
      </c>
      <c r="M7" s="36">
        <f>SUMIFS('Data - Pre'!$I$5:$I$36,'Data - Pre'!$A$5:$A$36,$A7,'Data - Pre'!$B$5:$B$36,$B7,'Data - Pre'!$C$5:$C$36,$C7)</f>
        <v/>
      </c>
      <c r="N7" s="57">
        <f>IFERROR($H7/$D7,0)</f>
        <v/>
      </c>
      <c r="O7" s="57">
        <f>IFERROR($I7/$E7,0)</f>
        <v/>
      </c>
      <c r="P7" s="57">
        <f>IFERROR($F7/$D7,0)</f>
        <v/>
      </c>
      <c r="Q7" s="57">
        <f>IFERROR($G7/$E7,0)</f>
        <v/>
      </c>
      <c r="R7" s="36">
        <f>$E7*$N7</f>
        <v/>
      </c>
      <c r="S7" s="36">
        <f>$E7*($O7-$N7)</f>
        <v/>
      </c>
      <c r="T7" s="45">
        <f>IFERROR($E7/$D7-1,"")</f>
        <v/>
      </c>
      <c r="U7" s="45">
        <f>IFERROR($K7/$J7-1,"")</f>
        <v/>
      </c>
      <c r="V7" s="45">
        <f>IFERROR($T7-$U7,"")</f>
        <v/>
      </c>
    </row>
    <row r="8">
      <c r="A8" s="43" t="inlineStr">
        <is>
          <t>Amplify</t>
        </is>
      </c>
      <c r="B8" s="43" t="inlineStr">
        <is>
          <t>Boston Beer Company</t>
        </is>
      </c>
      <c r="C8" s="43" t="inlineStr">
        <is>
          <t>Dogfish Head Spirits</t>
        </is>
      </c>
      <c r="D8" s="33">
        <f>SUMIFS('Data - Season'!$E$5:$E$743,'Data - Season'!$B$5:$B$743,$A8,'Data - Season'!$C$5:$C$743,$B8,'Data - Season'!$D$5:$D$743,$C8)</f>
        <v/>
      </c>
      <c r="E8" s="33">
        <f>SUMIFS('Data - Season'!$F$5:$F$743,'Data - Season'!$B$5:$B$743,$A8,'Data - Season'!$C$5:$C$743,$B8,'Data - Season'!$D$5:$D$743,$C8)</f>
        <v/>
      </c>
      <c r="F8" s="36">
        <f>SUMIFS('Data - Season'!$G$5:$G$743,'Data - Season'!$B$5:$B$743,$A8,'Data - Season'!$C$5:$C$743,$B8,'Data - Season'!$D$5:$D$743,$C8)</f>
        <v/>
      </c>
      <c r="G8" s="36">
        <f>SUMIFS('Data - Season'!$H$5:$H$743,'Data - Season'!$B$5:$B$743,$A8,'Data - Season'!$C$5:$C$743,$B8,'Data - Season'!$D$5:$D$743,$C8)</f>
        <v/>
      </c>
      <c r="H8" s="36">
        <f>SUMIFS('Data - Season'!$I$5:$I$743,'Data - Season'!$B$5:$B$743,$A8,'Data - Season'!$C$5:$C$743,$B8,'Data - Season'!$D$5:$D$743,$C8)</f>
        <v/>
      </c>
      <c r="I8" s="36">
        <f>SUMIFS('Data - Season'!$J$5:$J$743,'Data - Season'!$B$5:$B$743,$A8,'Data - Season'!$C$5:$C$743,$B8,'Data - Season'!$D$5:$D$743,$C8)</f>
        <v/>
      </c>
      <c r="J8" s="33">
        <f>SUMIFS('Data - Pre'!$D$5:$D$36,'Data - Pre'!$A$5:$A$36,$A8,'Data - Pre'!$B$5:$B$36,$B8,'Data - Pre'!$C$5:$C$36,$C8)</f>
        <v/>
      </c>
      <c r="K8" s="33">
        <f>SUMIFS('Data - Pre'!$E$5:$E$36,'Data - Pre'!$A$5:$A$36,$A8,'Data - Pre'!$B$5:$B$36,$B8,'Data - Pre'!$C$5:$C$36,$C8)</f>
        <v/>
      </c>
      <c r="L8" s="36">
        <f>SUMIFS('Data - Pre'!$H$5:$H$36,'Data - Pre'!$A$5:$A$36,$A8,'Data - Pre'!$B$5:$B$36,$B8,'Data - Pre'!$C$5:$C$36,$C8)</f>
        <v/>
      </c>
      <c r="M8" s="36">
        <f>SUMIFS('Data - Pre'!$I$5:$I$36,'Data - Pre'!$A$5:$A$36,$A8,'Data - Pre'!$B$5:$B$36,$B8,'Data - Pre'!$C$5:$C$36,$C8)</f>
        <v/>
      </c>
      <c r="N8" s="57">
        <f>IFERROR($H8/$D8,0)</f>
        <v/>
      </c>
      <c r="O8" s="57">
        <f>IFERROR($I8/$E8,0)</f>
        <v/>
      </c>
      <c r="P8" s="57">
        <f>IFERROR($F8/$D8,0)</f>
        <v/>
      </c>
      <c r="Q8" s="57">
        <f>IFERROR($G8/$E8,0)</f>
        <v/>
      </c>
      <c r="R8" s="36">
        <f>$E8*$N8</f>
        <v/>
      </c>
      <c r="S8" s="36">
        <f>$E8*($O8-$N8)</f>
        <v/>
      </c>
      <c r="T8" s="45">
        <f>IFERROR($E8/$D8-1,"")</f>
        <v/>
      </c>
      <c r="U8" s="45">
        <f>IFERROR($K8/$J8-1,"")</f>
        <v/>
      </c>
      <c r="V8" s="45">
        <f>IFERROR($T8-$U8,"")</f>
        <v/>
      </c>
    </row>
    <row r="9">
      <c r="A9" s="43" t="inlineStr">
        <is>
          <t>Amplify</t>
        </is>
      </c>
      <c r="B9" s="43" t="inlineStr">
        <is>
          <t>Cape May</t>
        </is>
      </c>
      <c r="C9" s="43" t="inlineStr">
        <is>
          <t>Cape May</t>
        </is>
      </c>
      <c r="D9" s="33">
        <f>SUMIFS('Data - Season'!$E$5:$E$743,'Data - Season'!$B$5:$B$743,$A9,'Data - Season'!$C$5:$C$743,$B9,'Data - Season'!$D$5:$D$743,$C9)</f>
        <v/>
      </c>
      <c r="E9" s="33">
        <f>SUMIFS('Data - Season'!$F$5:$F$743,'Data - Season'!$B$5:$B$743,$A9,'Data - Season'!$C$5:$C$743,$B9,'Data - Season'!$D$5:$D$743,$C9)</f>
        <v/>
      </c>
      <c r="F9" s="36">
        <f>SUMIFS('Data - Season'!$G$5:$G$743,'Data - Season'!$B$5:$B$743,$A9,'Data - Season'!$C$5:$C$743,$B9,'Data - Season'!$D$5:$D$743,$C9)</f>
        <v/>
      </c>
      <c r="G9" s="36">
        <f>SUMIFS('Data - Season'!$H$5:$H$743,'Data - Season'!$B$5:$B$743,$A9,'Data - Season'!$C$5:$C$743,$B9,'Data - Season'!$D$5:$D$743,$C9)</f>
        <v/>
      </c>
      <c r="H9" s="36">
        <f>SUMIFS('Data - Season'!$I$5:$I$743,'Data - Season'!$B$5:$B$743,$A9,'Data - Season'!$C$5:$C$743,$B9,'Data - Season'!$D$5:$D$743,$C9)</f>
        <v/>
      </c>
      <c r="I9" s="36">
        <f>SUMIFS('Data - Season'!$J$5:$J$743,'Data - Season'!$B$5:$B$743,$A9,'Data - Season'!$C$5:$C$743,$B9,'Data - Season'!$D$5:$D$743,$C9)</f>
        <v/>
      </c>
      <c r="J9" s="33">
        <f>SUMIFS('Data - Pre'!$D$5:$D$36,'Data - Pre'!$A$5:$A$36,$A9,'Data - Pre'!$B$5:$B$36,$B9,'Data - Pre'!$C$5:$C$36,$C9)</f>
        <v/>
      </c>
      <c r="K9" s="33">
        <f>SUMIFS('Data - Pre'!$E$5:$E$36,'Data - Pre'!$A$5:$A$36,$A9,'Data - Pre'!$B$5:$B$36,$B9,'Data - Pre'!$C$5:$C$36,$C9)</f>
        <v/>
      </c>
      <c r="L9" s="36">
        <f>SUMIFS('Data - Pre'!$H$5:$H$36,'Data - Pre'!$A$5:$A$36,$A9,'Data - Pre'!$B$5:$B$36,$B9,'Data - Pre'!$C$5:$C$36,$C9)</f>
        <v/>
      </c>
      <c r="M9" s="36">
        <f>SUMIFS('Data - Pre'!$I$5:$I$36,'Data - Pre'!$A$5:$A$36,$A9,'Data - Pre'!$B$5:$B$36,$B9,'Data - Pre'!$C$5:$C$36,$C9)</f>
        <v/>
      </c>
      <c r="N9" s="57">
        <f>IFERROR($H9/$D9,0)</f>
        <v/>
      </c>
      <c r="O9" s="57">
        <f>IFERROR($I9/$E9,0)</f>
        <v/>
      </c>
      <c r="P9" s="57">
        <f>IFERROR($F9/$D9,0)</f>
        <v/>
      </c>
      <c r="Q9" s="57">
        <f>IFERROR($G9/$E9,0)</f>
        <v/>
      </c>
      <c r="R9" s="36">
        <f>$E9*$N9</f>
        <v/>
      </c>
      <c r="S9" s="36">
        <f>$E9*($O9-$N9)</f>
        <v/>
      </c>
      <c r="T9" s="45">
        <f>IFERROR($E9/$D9-1,"")</f>
        <v/>
      </c>
      <c r="U9" s="45">
        <f>IFERROR($K9/$J9-1,"")</f>
        <v/>
      </c>
      <c r="V9" s="45">
        <f>IFERROR($T9-$U9,"")</f>
        <v/>
      </c>
    </row>
    <row r="10">
      <c r="A10" s="43" t="inlineStr">
        <is>
          <t>Amplify</t>
        </is>
      </c>
      <c r="B10" s="43" t="inlineStr">
        <is>
          <t>Constellation Brands</t>
        </is>
      </c>
      <c r="C10" s="43" t="inlineStr">
        <is>
          <t>Corona Premier</t>
        </is>
      </c>
      <c r="D10" s="33">
        <f>SUMIFS('Data - Season'!$E$5:$E$743,'Data - Season'!$B$5:$B$743,$A10,'Data - Season'!$C$5:$C$743,$B10,'Data - Season'!$D$5:$D$743,$C10)</f>
        <v/>
      </c>
      <c r="E10" s="33">
        <f>SUMIFS('Data - Season'!$F$5:$F$743,'Data - Season'!$B$5:$B$743,$A10,'Data - Season'!$C$5:$C$743,$B10,'Data - Season'!$D$5:$D$743,$C10)</f>
        <v/>
      </c>
      <c r="F10" s="36">
        <f>SUMIFS('Data - Season'!$G$5:$G$743,'Data - Season'!$B$5:$B$743,$A10,'Data - Season'!$C$5:$C$743,$B10,'Data - Season'!$D$5:$D$743,$C10)</f>
        <v/>
      </c>
      <c r="G10" s="36">
        <f>SUMIFS('Data - Season'!$H$5:$H$743,'Data - Season'!$B$5:$B$743,$A10,'Data - Season'!$C$5:$C$743,$B10,'Data - Season'!$D$5:$D$743,$C10)</f>
        <v/>
      </c>
      <c r="H10" s="36">
        <f>SUMIFS('Data - Season'!$I$5:$I$743,'Data - Season'!$B$5:$B$743,$A10,'Data - Season'!$C$5:$C$743,$B10,'Data - Season'!$D$5:$D$743,$C10)</f>
        <v/>
      </c>
      <c r="I10" s="36">
        <f>SUMIFS('Data - Season'!$J$5:$J$743,'Data - Season'!$B$5:$B$743,$A10,'Data - Season'!$C$5:$C$743,$B10,'Data - Season'!$D$5:$D$743,$C10)</f>
        <v/>
      </c>
      <c r="J10" s="33">
        <f>SUMIFS('Data - Pre'!$D$5:$D$36,'Data - Pre'!$A$5:$A$36,$A10,'Data - Pre'!$B$5:$B$36,$B10,'Data - Pre'!$C$5:$C$36,$C10)</f>
        <v/>
      </c>
      <c r="K10" s="33">
        <f>SUMIFS('Data - Pre'!$E$5:$E$36,'Data - Pre'!$A$5:$A$36,$A10,'Data - Pre'!$B$5:$B$36,$B10,'Data - Pre'!$C$5:$C$36,$C10)</f>
        <v/>
      </c>
      <c r="L10" s="36">
        <f>SUMIFS('Data - Pre'!$H$5:$H$36,'Data - Pre'!$A$5:$A$36,$A10,'Data - Pre'!$B$5:$B$36,$B10,'Data - Pre'!$C$5:$C$36,$C10)</f>
        <v/>
      </c>
      <c r="M10" s="36">
        <f>SUMIFS('Data - Pre'!$I$5:$I$36,'Data - Pre'!$A$5:$A$36,$A10,'Data - Pre'!$B$5:$B$36,$B10,'Data - Pre'!$C$5:$C$36,$C10)</f>
        <v/>
      </c>
      <c r="N10" s="57">
        <f>IFERROR($H10/$D10,0)</f>
        <v/>
      </c>
      <c r="O10" s="57">
        <f>IFERROR($I10/$E10,0)</f>
        <v/>
      </c>
      <c r="P10" s="57">
        <f>IFERROR($F10/$D10,0)</f>
        <v/>
      </c>
      <c r="Q10" s="57">
        <f>IFERROR($G10/$E10,0)</f>
        <v/>
      </c>
      <c r="R10" s="36">
        <f>$E10*$N10</f>
        <v/>
      </c>
      <c r="S10" s="36">
        <f>$E10*($O10-$N10)</f>
        <v/>
      </c>
      <c r="T10" s="45">
        <f>IFERROR($E10/$D10-1,"")</f>
        <v/>
      </c>
      <c r="U10" s="45">
        <f>IFERROR($K10/$J10-1,"")</f>
        <v/>
      </c>
      <c r="V10" s="45">
        <f>IFERROR($T10-$U10,"")</f>
        <v/>
      </c>
    </row>
    <row r="11">
      <c r="A11" s="43" t="inlineStr">
        <is>
          <t>Amplify</t>
        </is>
      </c>
      <c r="B11" s="43" t="inlineStr">
        <is>
          <t>Constellation Brands</t>
        </is>
      </c>
      <c r="C11" s="43" t="inlineStr">
        <is>
          <t>Modelo Chelada</t>
        </is>
      </c>
      <c r="D11" s="33">
        <f>SUMIFS('Data - Season'!$E$5:$E$743,'Data - Season'!$B$5:$B$743,$A11,'Data - Season'!$C$5:$C$743,$B11,'Data - Season'!$D$5:$D$743,$C11)</f>
        <v/>
      </c>
      <c r="E11" s="33">
        <f>SUMIFS('Data - Season'!$F$5:$F$743,'Data - Season'!$B$5:$B$743,$A11,'Data - Season'!$C$5:$C$743,$B11,'Data - Season'!$D$5:$D$743,$C11)</f>
        <v/>
      </c>
      <c r="F11" s="36">
        <f>SUMIFS('Data - Season'!$G$5:$G$743,'Data - Season'!$B$5:$B$743,$A11,'Data - Season'!$C$5:$C$743,$B11,'Data - Season'!$D$5:$D$743,$C11)</f>
        <v/>
      </c>
      <c r="G11" s="36">
        <f>SUMIFS('Data - Season'!$H$5:$H$743,'Data - Season'!$B$5:$B$743,$A11,'Data - Season'!$C$5:$C$743,$B11,'Data - Season'!$D$5:$D$743,$C11)</f>
        <v/>
      </c>
      <c r="H11" s="36">
        <f>SUMIFS('Data - Season'!$I$5:$I$743,'Data - Season'!$B$5:$B$743,$A11,'Data - Season'!$C$5:$C$743,$B11,'Data - Season'!$D$5:$D$743,$C11)</f>
        <v/>
      </c>
      <c r="I11" s="36">
        <f>SUMIFS('Data - Season'!$J$5:$J$743,'Data - Season'!$B$5:$B$743,$A11,'Data - Season'!$C$5:$C$743,$B11,'Data - Season'!$D$5:$D$743,$C11)</f>
        <v/>
      </c>
      <c r="J11" s="33">
        <f>SUMIFS('Data - Pre'!$D$5:$D$36,'Data - Pre'!$A$5:$A$36,$A11,'Data - Pre'!$B$5:$B$36,$B11,'Data - Pre'!$C$5:$C$36,$C11)</f>
        <v/>
      </c>
      <c r="K11" s="33">
        <f>SUMIFS('Data - Pre'!$E$5:$E$36,'Data - Pre'!$A$5:$A$36,$A11,'Data - Pre'!$B$5:$B$36,$B11,'Data - Pre'!$C$5:$C$36,$C11)</f>
        <v/>
      </c>
      <c r="L11" s="36">
        <f>SUMIFS('Data - Pre'!$H$5:$H$36,'Data - Pre'!$A$5:$A$36,$A11,'Data - Pre'!$B$5:$B$36,$B11,'Data - Pre'!$C$5:$C$36,$C11)</f>
        <v/>
      </c>
      <c r="M11" s="36">
        <f>SUMIFS('Data - Pre'!$I$5:$I$36,'Data - Pre'!$A$5:$A$36,$A11,'Data - Pre'!$B$5:$B$36,$B11,'Data - Pre'!$C$5:$C$36,$C11)</f>
        <v/>
      </c>
      <c r="N11" s="57">
        <f>IFERROR($H11/$D11,0)</f>
        <v/>
      </c>
      <c r="O11" s="57">
        <f>IFERROR($I11/$E11,0)</f>
        <v/>
      </c>
      <c r="P11" s="57">
        <f>IFERROR($F11/$D11,0)</f>
        <v/>
      </c>
      <c r="Q11" s="57">
        <f>IFERROR($G11/$E11,0)</f>
        <v/>
      </c>
      <c r="R11" s="36">
        <f>$E11*$N11</f>
        <v/>
      </c>
      <c r="S11" s="36">
        <f>$E11*($O11-$N11)</f>
        <v/>
      </c>
      <c r="T11" s="45">
        <f>IFERROR($E11/$D11-1,"")</f>
        <v/>
      </c>
      <c r="U11" s="45">
        <f>IFERROR($K11/$J11-1,"")</f>
        <v/>
      </c>
      <c r="V11" s="45">
        <f>IFERROR($T11-$U11,"")</f>
        <v/>
      </c>
    </row>
    <row r="12">
      <c r="A12" s="43" t="inlineStr">
        <is>
          <t>Amplify</t>
        </is>
      </c>
      <c r="B12" s="43" t="inlineStr">
        <is>
          <t>Constellation Brands</t>
        </is>
      </c>
      <c r="C12" s="43" t="inlineStr">
        <is>
          <t>Pacifico</t>
        </is>
      </c>
      <c r="D12" s="33">
        <f>SUMIFS('Data - Season'!$E$5:$E$743,'Data - Season'!$B$5:$B$743,$A12,'Data - Season'!$C$5:$C$743,$B12,'Data - Season'!$D$5:$D$743,$C12)</f>
        <v/>
      </c>
      <c r="E12" s="33">
        <f>SUMIFS('Data - Season'!$F$5:$F$743,'Data - Season'!$B$5:$B$743,$A12,'Data - Season'!$C$5:$C$743,$B12,'Data - Season'!$D$5:$D$743,$C12)</f>
        <v/>
      </c>
      <c r="F12" s="36">
        <f>SUMIFS('Data - Season'!$G$5:$G$743,'Data - Season'!$B$5:$B$743,$A12,'Data - Season'!$C$5:$C$743,$B12,'Data - Season'!$D$5:$D$743,$C12)</f>
        <v/>
      </c>
      <c r="G12" s="36">
        <f>SUMIFS('Data - Season'!$H$5:$H$743,'Data - Season'!$B$5:$B$743,$A12,'Data - Season'!$C$5:$C$743,$B12,'Data - Season'!$D$5:$D$743,$C12)</f>
        <v/>
      </c>
      <c r="H12" s="36">
        <f>SUMIFS('Data - Season'!$I$5:$I$743,'Data - Season'!$B$5:$B$743,$A12,'Data - Season'!$C$5:$C$743,$B12,'Data - Season'!$D$5:$D$743,$C12)</f>
        <v/>
      </c>
      <c r="I12" s="36">
        <f>SUMIFS('Data - Season'!$J$5:$J$743,'Data - Season'!$B$5:$B$743,$A12,'Data - Season'!$C$5:$C$743,$B12,'Data - Season'!$D$5:$D$743,$C12)</f>
        <v/>
      </c>
      <c r="J12" s="33">
        <f>SUMIFS('Data - Pre'!$D$5:$D$36,'Data - Pre'!$A$5:$A$36,$A12,'Data - Pre'!$B$5:$B$36,$B12,'Data - Pre'!$C$5:$C$36,$C12)</f>
        <v/>
      </c>
      <c r="K12" s="33">
        <f>SUMIFS('Data - Pre'!$E$5:$E$36,'Data - Pre'!$A$5:$A$36,$A12,'Data - Pre'!$B$5:$B$36,$B12,'Data - Pre'!$C$5:$C$36,$C12)</f>
        <v/>
      </c>
      <c r="L12" s="36">
        <f>SUMIFS('Data - Pre'!$H$5:$H$36,'Data - Pre'!$A$5:$A$36,$A12,'Data - Pre'!$B$5:$B$36,$B12,'Data - Pre'!$C$5:$C$36,$C12)</f>
        <v/>
      </c>
      <c r="M12" s="36">
        <f>SUMIFS('Data - Pre'!$I$5:$I$36,'Data - Pre'!$A$5:$A$36,$A12,'Data - Pre'!$B$5:$B$36,$B12,'Data - Pre'!$C$5:$C$36,$C12)</f>
        <v/>
      </c>
      <c r="N12" s="57">
        <f>IFERROR($H12/$D12,0)</f>
        <v/>
      </c>
      <c r="O12" s="57">
        <f>IFERROR($I12/$E12,0)</f>
        <v/>
      </c>
      <c r="P12" s="57">
        <f>IFERROR($F12/$D12,0)</f>
        <v/>
      </c>
      <c r="Q12" s="57">
        <f>IFERROR($G12/$E12,0)</f>
        <v/>
      </c>
      <c r="R12" s="36">
        <f>$E12*$N12</f>
        <v/>
      </c>
      <c r="S12" s="36">
        <f>$E12*($O12-$N12)</f>
        <v/>
      </c>
      <c r="T12" s="45">
        <f>IFERROR($E12/$D12-1,"")</f>
        <v/>
      </c>
      <c r="U12" s="45">
        <f>IFERROR($K12/$J12-1,"")</f>
        <v/>
      </c>
      <c r="V12" s="45">
        <f>IFERROR($T12-$U12,"")</f>
        <v/>
      </c>
    </row>
    <row r="13">
      <c r="A13" s="43" t="inlineStr">
        <is>
          <t>Amplify</t>
        </is>
      </c>
      <c r="B13" s="43" t="inlineStr">
        <is>
          <t>Constellation Brands</t>
        </is>
      </c>
      <c r="C13" s="43" t="inlineStr">
        <is>
          <t>Victoria</t>
        </is>
      </c>
      <c r="D13" s="33">
        <f>SUMIFS('Data - Season'!$E$5:$E$743,'Data - Season'!$B$5:$B$743,$A13,'Data - Season'!$C$5:$C$743,$B13,'Data - Season'!$D$5:$D$743,$C13)</f>
        <v/>
      </c>
      <c r="E13" s="33">
        <f>SUMIFS('Data - Season'!$F$5:$F$743,'Data - Season'!$B$5:$B$743,$A13,'Data - Season'!$C$5:$C$743,$B13,'Data - Season'!$D$5:$D$743,$C13)</f>
        <v/>
      </c>
      <c r="F13" s="36">
        <f>SUMIFS('Data - Season'!$G$5:$G$743,'Data - Season'!$B$5:$B$743,$A13,'Data - Season'!$C$5:$C$743,$B13,'Data - Season'!$D$5:$D$743,$C13)</f>
        <v/>
      </c>
      <c r="G13" s="36">
        <f>SUMIFS('Data - Season'!$H$5:$H$743,'Data - Season'!$B$5:$B$743,$A13,'Data - Season'!$C$5:$C$743,$B13,'Data - Season'!$D$5:$D$743,$C13)</f>
        <v/>
      </c>
      <c r="H13" s="36">
        <f>SUMIFS('Data - Season'!$I$5:$I$743,'Data - Season'!$B$5:$B$743,$A13,'Data - Season'!$C$5:$C$743,$B13,'Data - Season'!$D$5:$D$743,$C13)</f>
        <v/>
      </c>
      <c r="I13" s="36">
        <f>SUMIFS('Data - Season'!$J$5:$J$743,'Data - Season'!$B$5:$B$743,$A13,'Data - Season'!$C$5:$C$743,$B13,'Data - Season'!$D$5:$D$743,$C13)</f>
        <v/>
      </c>
      <c r="J13" s="33">
        <f>SUMIFS('Data - Pre'!$D$5:$D$36,'Data - Pre'!$A$5:$A$36,$A13,'Data - Pre'!$B$5:$B$36,$B13,'Data - Pre'!$C$5:$C$36,$C13)</f>
        <v/>
      </c>
      <c r="K13" s="33">
        <f>SUMIFS('Data - Pre'!$E$5:$E$36,'Data - Pre'!$A$5:$A$36,$A13,'Data - Pre'!$B$5:$B$36,$B13,'Data - Pre'!$C$5:$C$36,$C13)</f>
        <v/>
      </c>
      <c r="L13" s="36">
        <f>SUMIFS('Data - Pre'!$H$5:$H$36,'Data - Pre'!$A$5:$A$36,$A13,'Data - Pre'!$B$5:$B$36,$B13,'Data - Pre'!$C$5:$C$36,$C13)</f>
        <v/>
      </c>
      <c r="M13" s="36">
        <f>SUMIFS('Data - Pre'!$I$5:$I$36,'Data - Pre'!$A$5:$A$36,$A13,'Data - Pre'!$B$5:$B$36,$B13,'Data - Pre'!$C$5:$C$36,$C13)</f>
        <v/>
      </c>
      <c r="N13" s="57">
        <f>IFERROR($H13/$D13,0)</f>
        <v/>
      </c>
      <c r="O13" s="57">
        <f>IFERROR($I13/$E13,0)</f>
        <v/>
      </c>
      <c r="P13" s="57">
        <f>IFERROR($F13/$D13,0)</f>
        <v/>
      </c>
      <c r="Q13" s="57">
        <f>IFERROR($G13/$E13,0)</f>
        <v/>
      </c>
      <c r="R13" s="36">
        <f>$E13*$N13</f>
        <v/>
      </c>
      <c r="S13" s="36">
        <f>$E13*($O13-$N13)</f>
        <v/>
      </c>
      <c r="T13" s="45">
        <f>IFERROR($E13/$D13-1,"")</f>
        <v/>
      </c>
      <c r="U13" s="45">
        <f>IFERROR($K13/$J13-1,"")</f>
        <v/>
      </c>
      <c r="V13" s="45">
        <f>IFERROR($T13-$U13,"")</f>
        <v/>
      </c>
    </row>
    <row r="14">
      <c r="A14" s="43" t="inlineStr">
        <is>
          <t>Amplify</t>
        </is>
      </c>
      <c r="B14" s="43" t="inlineStr">
        <is>
          <t>DG Yuengling Inc</t>
        </is>
      </c>
      <c r="C14" s="43" t="inlineStr">
        <is>
          <t>Yuengling Flight</t>
        </is>
      </c>
      <c r="D14" s="33">
        <f>SUMIFS('Data - Season'!$E$5:$E$743,'Data - Season'!$B$5:$B$743,$A14,'Data - Season'!$C$5:$C$743,$B14,'Data - Season'!$D$5:$D$743,$C14)</f>
        <v/>
      </c>
      <c r="E14" s="33">
        <f>SUMIFS('Data - Season'!$F$5:$F$743,'Data - Season'!$B$5:$B$743,$A14,'Data - Season'!$C$5:$C$743,$B14,'Data - Season'!$D$5:$D$743,$C14)</f>
        <v/>
      </c>
      <c r="F14" s="36">
        <f>SUMIFS('Data - Season'!$G$5:$G$743,'Data - Season'!$B$5:$B$743,$A14,'Data - Season'!$C$5:$C$743,$B14,'Data - Season'!$D$5:$D$743,$C14)</f>
        <v/>
      </c>
      <c r="G14" s="36">
        <f>SUMIFS('Data - Season'!$H$5:$H$743,'Data - Season'!$B$5:$B$743,$A14,'Data - Season'!$C$5:$C$743,$B14,'Data - Season'!$D$5:$D$743,$C14)</f>
        <v/>
      </c>
      <c r="H14" s="36">
        <f>SUMIFS('Data - Season'!$I$5:$I$743,'Data - Season'!$B$5:$B$743,$A14,'Data - Season'!$C$5:$C$743,$B14,'Data - Season'!$D$5:$D$743,$C14)</f>
        <v/>
      </c>
      <c r="I14" s="36">
        <f>SUMIFS('Data - Season'!$J$5:$J$743,'Data - Season'!$B$5:$B$743,$A14,'Data - Season'!$C$5:$C$743,$B14,'Data - Season'!$D$5:$D$743,$C14)</f>
        <v/>
      </c>
      <c r="J14" s="33">
        <f>SUMIFS('Data - Pre'!$D$5:$D$36,'Data - Pre'!$A$5:$A$36,$A14,'Data - Pre'!$B$5:$B$36,$B14,'Data - Pre'!$C$5:$C$36,$C14)</f>
        <v/>
      </c>
      <c r="K14" s="33">
        <f>SUMIFS('Data - Pre'!$E$5:$E$36,'Data - Pre'!$A$5:$A$36,$A14,'Data - Pre'!$B$5:$B$36,$B14,'Data - Pre'!$C$5:$C$36,$C14)</f>
        <v/>
      </c>
      <c r="L14" s="36">
        <f>SUMIFS('Data - Pre'!$H$5:$H$36,'Data - Pre'!$A$5:$A$36,$A14,'Data - Pre'!$B$5:$B$36,$B14,'Data - Pre'!$C$5:$C$36,$C14)</f>
        <v/>
      </c>
      <c r="M14" s="36">
        <f>SUMIFS('Data - Pre'!$I$5:$I$36,'Data - Pre'!$A$5:$A$36,$A14,'Data - Pre'!$B$5:$B$36,$B14,'Data - Pre'!$C$5:$C$36,$C14)</f>
        <v/>
      </c>
      <c r="N14" s="57">
        <f>IFERROR($H14/$D14,0)</f>
        <v/>
      </c>
      <c r="O14" s="57">
        <f>IFERROR($I14/$E14,0)</f>
        <v/>
      </c>
      <c r="P14" s="57">
        <f>IFERROR($F14/$D14,0)</f>
        <v/>
      </c>
      <c r="Q14" s="57">
        <f>IFERROR($G14/$E14,0)</f>
        <v/>
      </c>
      <c r="R14" s="36">
        <f>$E14*$N14</f>
        <v/>
      </c>
      <c r="S14" s="36">
        <f>$E14*($O14-$N14)</f>
        <v/>
      </c>
      <c r="T14" s="45">
        <f>IFERROR($E14/$D14-1,"")</f>
        <v/>
      </c>
      <c r="U14" s="45">
        <f>IFERROR($K14/$J14-1,"")</f>
        <v/>
      </c>
      <c r="V14" s="45">
        <f>IFERROR($T14-$U14,"")</f>
        <v/>
      </c>
    </row>
    <row r="15">
      <c r="A15" s="43" t="inlineStr">
        <is>
          <t>Amplify</t>
        </is>
      </c>
      <c r="B15" s="43" t="inlineStr">
        <is>
          <t>DG Yuengling Inc</t>
        </is>
      </c>
      <c r="C15" s="43" t="inlineStr">
        <is>
          <t>Yuengling Light Lager</t>
        </is>
      </c>
      <c r="D15" s="33">
        <f>SUMIFS('Data - Season'!$E$5:$E$743,'Data - Season'!$B$5:$B$743,$A15,'Data - Season'!$C$5:$C$743,$B15,'Data - Season'!$D$5:$D$743,$C15)</f>
        <v/>
      </c>
      <c r="E15" s="33">
        <f>SUMIFS('Data - Season'!$F$5:$F$743,'Data - Season'!$B$5:$B$743,$A15,'Data - Season'!$C$5:$C$743,$B15,'Data - Season'!$D$5:$D$743,$C15)</f>
        <v/>
      </c>
      <c r="F15" s="36">
        <f>SUMIFS('Data - Season'!$G$5:$G$743,'Data - Season'!$B$5:$B$743,$A15,'Data - Season'!$C$5:$C$743,$B15,'Data - Season'!$D$5:$D$743,$C15)</f>
        <v/>
      </c>
      <c r="G15" s="36">
        <f>SUMIFS('Data - Season'!$H$5:$H$743,'Data - Season'!$B$5:$B$743,$A15,'Data - Season'!$C$5:$C$743,$B15,'Data - Season'!$D$5:$D$743,$C15)</f>
        <v/>
      </c>
      <c r="H15" s="36">
        <f>SUMIFS('Data - Season'!$I$5:$I$743,'Data - Season'!$B$5:$B$743,$A15,'Data - Season'!$C$5:$C$743,$B15,'Data - Season'!$D$5:$D$743,$C15)</f>
        <v/>
      </c>
      <c r="I15" s="36">
        <f>SUMIFS('Data - Season'!$J$5:$J$743,'Data - Season'!$B$5:$B$743,$A15,'Data - Season'!$C$5:$C$743,$B15,'Data - Season'!$D$5:$D$743,$C15)</f>
        <v/>
      </c>
      <c r="J15" s="33">
        <f>SUMIFS('Data - Pre'!$D$5:$D$36,'Data - Pre'!$A$5:$A$36,$A15,'Data - Pre'!$B$5:$B$36,$B15,'Data - Pre'!$C$5:$C$36,$C15)</f>
        <v/>
      </c>
      <c r="K15" s="33">
        <f>SUMIFS('Data - Pre'!$E$5:$E$36,'Data - Pre'!$A$5:$A$36,$A15,'Data - Pre'!$B$5:$B$36,$B15,'Data - Pre'!$C$5:$C$36,$C15)</f>
        <v/>
      </c>
      <c r="L15" s="36">
        <f>SUMIFS('Data - Pre'!$H$5:$H$36,'Data - Pre'!$A$5:$A$36,$A15,'Data - Pre'!$B$5:$B$36,$B15,'Data - Pre'!$C$5:$C$36,$C15)</f>
        <v/>
      </c>
      <c r="M15" s="36">
        <f>SUMIFS('Data - Pre'!$I$5:$I$36,'Data - Pre'!$A$5:$A$36,$A15,'Data - Pre'!$B$5:$B$36,$B15,'Data - Pre'!$C$5:$C$36,$C15)</f>
        <v/>
      </c>
      <c r="N15" s="57">
        <f>IFERROR($H15/$D15,0)</f>
        <v/>
      </c>
      <c r="O15" s="57">
        <f>IFERROR($I15/$E15,0)</f>
        <v/>
      </c>
      <c r="P15" s="57">
        <f>IFERROR($F15/$D15,0)</f>
        <v/>
      </c>
      <c r="Q15" s="57">
        <f>IFERROR($G15/$E15,0)</f>
        <v/>
      </c>
      <c r="R15" s="36">
        <f>$E15*$N15</f>
        <v/>
      </c>
      <c r="S15" s="36">
        <f>$E15*($O15-$N15)</f>
        <v/>
      </c>
      <c r="T15" s="45">
        <f>IFERROR($E15/$D15-1,"")</f>
        <v/>
      </c>
      <c r="U15" s="45">
        <f>IFERROR($K15/$J15-1,"")</f>
        <v/>
      </c>
      <c r="V15" s="45">
        <f>IFERROR($T15-$U15,"")</f>
        <v/>
      </c>
    </row>
    <row r="16">
      <c r="A16" s="43" t="inlineStr">
        <is>
          <t>Amplify</t>
        </is>
      </c>
      <c r="B16" s="43" t="inlineStr">
        <is>
          <t>Heineken USA</t>
        </is>
      </c>
      <c r="C16" s="43" t="inlineStr">
        <is>
          <t>Heineken 0.0</t>
        </is>
      </c>
      <c r="D16" s="33">
        <f>SUMIFS('Data - Season'!$E$5:$E$743,'Data - Season'!$B$5:$B$743,$A16,'Data - Season'!$C$5:$C$743,$B16,'Data - Season'!$D$5:$D$743,$C16)</f>
        <v/>
      </c>
      <c r="E16" s="33">
        <f>SUMIFS('Data - Season'!$F$5:$F$743,'Data - Season'!$B$5:$B$743,$A16,'Data - Season'!$C$5:$C$743,$B16,'Data - Season'!$D$5:$D$743,$C16)</f>
        <v/>
      </c>
      <c r="F16" s="36">
        <f>SUMIFS('Data - Season'!$G$5:$G$743,'Data - Season'!$B$5:$B$743,$A16,'Data - Season'!$C$5:$C$743,$B16,'Data - Season'!$D$5:$D$743,$C16)</f>
        <v/>
      </c>
      <c r="G16" s="36">
        <f>SUMIFS('Data - Season'!$H$5:$H$743,'Data - Season'!$B$5:$B$743,$A16,'Data - Season'!$C$5:$C$743,$B16,'Data - Season'!$D$5:$D$743,$C16)</f>
        <v/>
      </c>
      <c r="H16" s="36">
        <f>SUMIFS('Data - Season'!$I$5:$I$743,'Data - Season'!$B$5:$B$743,$A16,'Data - Season'!$C$5:$C$743,$B16,'Data - Season'!$D$5:$D$743,$C16)</f>
        <v/>
      </c>
      <c r="I16" s="36">
        <f>SUMIFS('Data - Season'!$J$5:$J$743,'Data - Season'!$B$5:$B$743,$A16,'Data - Season'!$C$5:$C$743,$B16,'Data - Season'!$D$5:$D$743,$C16)</f>
        <v/>
      </c>
      <c r="J16" s="33">
        <f>SUMIFS('Data - Pre'!$D$5:$D$36,'Data - Pre'!$A$5:$A$36,$A16,'Data - Pre'!$B$5:$B$36,$B16,'Data - Pre'!$C$5:$C$36,$C16)</f>
        <v/>
      </c>
      <c r="K16" s="33">
        <f>SUMIFS('Data - Pre'!$E$5:$E$36,'Data - Pre'!$A$5:$A$36,$A16,'Data - Pre'!$B$5:$B$36,$B16,'Data - Pre'!$C$5:$C$36,$C16)</f>
        <v/>
      </c>
      <c r="L16" s="36">
        <f>SUMIFS('Data - Pre'!$H$5:$H$36,'Data - Pre'!$A$5:$A$36,$A16,'Data - Pre'!$B$5:$B$36,$B16,'Data - Pre'!$C$5:$C$36,$C16)</f>
        <v/>
      </c>
      <c r="M16" s="36">
        <f>SUMIFS('Data - Pre'!$I$5:$I$36,'Data - Pre'!$A$5:$A$36,$A16,'Data - Pre'!$B$5:$B$36,$B16,'Data - Pre'!$C$5:$C$36,$C16)</f>
        <v/>
      </c>
      <c r="N16" s="57">
        <f>IFERROR($H16/$D16,0)</f>
        <v/>
      </c>
      <c r="O16" s="57">
        <f>IFERROR($I16/$E16,0)</f>
        <v/>
      </c>
      <c r="P16" s="57">
        <f>IFERROR($F16/$D16,0)</f>
        <v/>
      </c>
      <c r="Q16" s="57">
        <f>IFERROR($G16/$E16,0)</f>
        <v/>
      </c>
      <c r="R16" s="36">
        <f>$E16*$N16</f>
        <v/>
      </c>
      <c r="S16" s="36">
        <f>$E16*($O16-$N16)</f>
        <v/>
      </c>
      <c r="T16" s="45">
        <f>IFERROR($E16/$D16-1,"")</f>
        <v/>
      </c>
      <c r="U16" s="45">
        <f>IFERROR($K16/$J16-1,"")</f>
        <v/>
      </c>
      <c r="V16" s="45">
        <f>IFERROR($T16-$U16,"")</f>
        <v/>
      </c>
    </row>
    <row r="17">
      <c r="A17" s="43" t="inlineStr">
        <is>
          <t>Amplify</t>
        </is>
      </c>
      <c r="B17" s="43" t="inlineStr">
        <is>
          <t>Heineken USA</t>
        </is>
      </c>
      <c r="C17" s="43" t="inlineStr">
        <is>
          <t>Heineken Light</t>
        </is>
      </c>
      <c r="D17" s="33">
        <f>SUMIFS('Data - Season'!$E$5:$E$743,'Data - Season'!$B$5:$B$743,$A17,'Data - Season'!$C$5:$C$743,$B17,'Data - Season'!$D$5:$D$743,$C17)</f>
        <v/>
      </c>
      <c r="E17" s="33">
        <f>SUMIFS('Data - Season'!$F$5:$F$743,'Data - Season'!$B$5:$B$743,$A17,'Data - Season'!$C$5:$C$743,$B17,'Data - Season'!$D$5:$D$743,$C17)</f>
        <v/>
      </c>
      <c r="F17" s="36">
        <f>SUMIFS('Data - Season'!$G$5:$G$743,'Data - Season'!$B$5:$B$743,$A17,'Data - Season'!$C$5:$C$743,$B17,'Data - Season'!$D$5:$D$743,$C17)</f>
        <v/>
      </c>
      <c r="G17" s="36">
        <f>SUMIFS('Data - Season'!$H$5:$H$743,'Data - Season'!$B$5:$B$743,$A17,'Data - Season'!$C$5:$C$743,$B17,'Data - Season'!$D$5:$D$743,$C17)</f>
        <v/>
      </c>
      <c r="H17" s="36">
        <f>SUMIFS('Data - Season'!$I$5:$I$743,'Data - Season'!$B$5:$B$743,$A17,'Data - Season'!$C$5:$C$743,$B17,'Data - Season'!$D$5:$D$743,$C17)</f>
        <v/>
      </c>
      <c r="I17" s="36">
        <f>SUMIFS('Data - Season'!$J$5:$J$743,'Data - Season'!$B$5:$B$743,$A17,'Data - Season'!$C$5:$C$743,$B17,'Data - Season'!$D$5:$D$743,$C17)</f>
        <v/>
      </c>
      <c r="J17" s="33">
        <f>SUMIFS('Data - Pre'!$D$5:$D$36,'Data - Pre'!$A$5:$A$36,$A17,'Data - Pre'!$B$5:$B$36,$B17,'Data - Pre'!$C$5:$C$36,$C17)</f>
        <v/>
      </c>
      <c r="K17" s="33">
        <f>SUMIFS('Data - Pre'!$E$5:$E$36,'Data - Pre'!$A$5:$A$36,$A17,'Data - Pre'!$B$5:$B$36,$B17,'Data - Pre'!$C$5:$C$36,$C17)</f>
        <v/>
      </c>
      <c r="L17" s="36">
        <f>SUMIFS('Data - Pre'!$H$5:$H$36,'Data - Pre'!$A$5:$A$36,$A17,'Data - Pre'!$B$5:$B$36,$B17,'Data - Pre'!$C$5:$C$36,$C17)</f>
        <v/>
      </c>
      <c r="M17" s="36">
        <f>SUMIFS('Data - Pre'!$I$5:$I$36,'Data - Pre'!$A$5:$A$36,$A17,'Data - Pre'!$B$5:$B$36,$B17,'Data - Pre'!$C$5:$C$36,$C17)</f>
        <v/>
      </c>
      <c r="N17" s="57">
        <f>IFERROR($H17/$D17,0)</f>
        <v/>
      </c>
      <c r="O17" s="57">
        <f>IFERROR($I17/$E17,0)</f>
        <v/>
      </c>
      <c r="P17" s="57">
        <f>IFERROR($F17/$D17,0)</f>
        <v/>
      </c>
      <c r="Q17" s="57">
        <f>IFERROR($G17/$E17,0)</f>
        <v/>
      </c>
      <c r="R17" s="36">
        <f>$E17*$N17</f>
        <v/>
      </c>
      <c r="S17" s="36">
        <f>$E17*($O17-$N17)</f>
        <v/>
      </c>
      <c r="T17" s="45">
        <f>IFERROR($E17/$D17-1,"")</f>
        <v/>
      </c>
      <c r="U17" s="45">
        <f>IFERROR($K17/$J17-1,"")</f>
        <v/>
      </c>
      <c r="V17" s="45">
        <f>IFERROR($T17-$U17,"")</f>
        <v/>
      </c>
    </row>
    <row r="18">
      <c r="A18" s="43" t="inlineStr">
        <is>
          <t>Amplify</t>
        </is>
      </c>
      <c r="B18" s="43" t="inlineStr">
        <is>
          <t>Mark Anthony</t>
        </is>
      </c>
      <c r="C18" s="43" t="inlineStr">
        <is>
          <t>Cayman Jack</t>
        </is>
      </c>
      <c r="D18" s="33">
        <f>SUMIFS('Data - Season'!$E$5:$E$743,'Data - Season'!$B$5:$B$743,$A18,'Data - Season'!$C$5:$C$743,$B18,'Data - Season'!$D$5:$D$743,$C18)</f>
        <v/>
      </c>
      <c r="E18" s="33">
        <f>SUMIFS('Data - Season'!$F$5:$F$743,'Data - Season'!$B$5:$B$743,$A18,'Data - Season'!$C$5:$C$743,$B18,'Data - Season'!$D$5:$D$743,$C18)</f>
        <v/>
      </c>
      <c r="F18" s="36">
        <f>SUMIFS('Data - Season'!$G$5:$G$743,'Data - Season'!$B$5:$B$743,$A18,'Data - Season'!$C$5:$C$743,$B18,'Data - Season'!$D$5:$D$743,$C18)</f>
        <v/>
      </c>
      <c r="G18" s="36">
        <f>SUMIFS('Data - Season'!$H$5:$H$743,'Data - Season'!$B$5:$B$743,$A18,'Data - Season'!$C$5:$C$743,$B18,'Data - Season'!$D$5:$D$743,$C18)</f>
        <v/>
      </c>
      <c r="H18" s="36">
        <f>SUMIFS('Data - Season'!$I$5:$I$743,'Data - Season'!$B$5:$B$743,$A18,'Data - Season'!$C$5:$C$743,$B18,'Data - Season'!$D$5:$D$743,$C18)</f>
        <v/>
      </c>
      <c r="I18" s="36">
        <f>SUMIFS('Data - Season'!$J$5:$J$743,'Data - Season'!$B$5:$B$743,$A18,'Data - Season'!$C$5:$C$743,$B18,'Data - Season'!$D$5:$D$743,$C18)</f>
        <v/>
      </c>
      <c r="J18" s="33">
        <f>SUMIFS('Data - Pre'!$D$5:$D$36,'Data - Pre'!$A$5:$A$36,$A18,'Data - Pre'!$B$5:$B$36,$B18,'Data - Pre'!$C$5:$C$36,$C18)</f>
        <v/>
      </c>
      <c r="K18" s="33">
        <f>SUMIFS('Data - Pre'!$E$5:$E$36,'Data - Pre'!$A$5:$A$36,$A18,'Data - Pre'!$B$5:$B$36,$B18,'Data - Pre'!$C$5:$C$36,$C18)</f>
        <v/>
      </c>
      <c r="L18" s="36">
        <f>SUMIFS('Data - Pre'!$H$5:$H$36,'Data - Pre'!$A$5:$A$36,$A18,'Data - Pre'!$B$5:$B$36,$B18,'Data - Pre'!$C$5:$C$36,$C18)</f>
        <v/>
      </c>
      <c r="M18" s="36">
        <f>SUMIFS('Data - Pre'!$I$5:$I$36,'Data - Pre'!$A$5:$A$36,$A18,'Data - Pre'!$B$5:$B$36,$B18,'Data - Pre'!$C$5:$C$36,$C18)</f>
        <v/>
      </c>
      <c r="N18" s="57">
        <f>IFERROR($H18/$D18,0)</f>
        <v/>
      </c>
      <c r="O18" s="57">
        <f>IFERROR($I18/$E18,0)</f>
        <v/>
      </c>
      <c r="P18" s="57">
        <f>IFERROR($F18/$D18,0)</f>
        <v/>
      </c>
      <c r="Q18" s="57">
        <f>IFERROR($G18/$E18,0)</f>
        <v/>
      </c>
      <c r="R18" s="36">
        <f>$E18*$N18</f>
        <v/>
      </c>
      <c r="S18" s="36">
        <f>$E18*($O18-$N18)</f>
        <v/>
      </c>
      <c r="T18" s="45">
        <f>IFERROR($E18/$D18-1,"")</f>
        <v/>
      </c>
      <c r="U18" s="45">
        <f>IFERROR($K18/$J18-1,"")</f>
        <v/>
      </c>
      <c r="V18" s="45">
        <f>IFERROR($T18-$U18,"")</f>
        <v/>
      </c>
    </row>
    <row r="19">
      <c r="A19" s="43" t="inlineStr">
        <is>
          <t>Amplify</t>
        </is>
      </c>
      <c r="B19" s="43" t="inlineStr">
        <is>
          <t>Mark Anthony</t>
        </is>
      </c>
      <c r="C19" s="43" t="inlineStr">
        <is>
          <t>Mike's Harder</t>
        </is>
      </c>
      <c r="D19" s="33">
        <f>SUMIFS('Data - Season'!$E$5:$E$743,'Data - Season'!$B$5:$B$743,$A19,'Data - Season'!$C$5:$C$743,$B19,'Data - Season'!$D$5:$D$743,$C19)</f>
        <v/>
      </c>
      <c r="E19" s="33">
        <f>SUMIFS('Data - Season'!$F$5:$F$743,'Data - Season'!$B$5:$B$743,$A19,'Data - Season'!$C$5:$C$743,$B19,'Data - Season'!$D$5:$D$743,$C19)</f>
        <v/>
      </c>
      <c r="F19" s="36">
        <f>SUMIFS('Data - Season'!$G$5:$G$743,'Data - Season'!$B$5:$B$743,$A19,'Data - Season'!$C$5:$C$743,$B19,'Data - Season'!$D$5:$D$743,$C19)</f>
        <v/>
      </c>
      <c r="G19" s="36">
        <f>SUMIFS('Data - Season'!$H$5:$H$743,'Data - Season'!$B$5:$B$743,$A19,'Data - Season'!$C$5:$C$743,$B19,'Data - Season'!$D$5:$D$743,$C19)</f>
        <v/>
      </c>
      <c r="H19" s="36">
        <f>SUMIFS('Data - Season'!$I$5:$I$743,'Data - Season'!$B$5:$B$743,$A19,'Data - Season'!$C$5:$C$743,$B19,'Data - Season'!$D$5:$D$743,$C19)</f>
        <v/>
      </c>
      <c r="I19" s="36">
        <f>SUMIFS('Data - Season'!$J$5:$J$743,'Data - Season'!$B$5:$B$743,$A19,'Data - Season'!$C$5:$C$743,$B19,'Data - Season'!$D$5:$D$743,$C19)</f>
        <v/>
      </c>
      <c r="J19" s="33">
        <f>SUMIFS('Data - Pre'!$D$5:$D$36,'Data - Pre'!$A$5:$A$36,$A19,'Data - Pre'!$B$5:$B$36,$B19,'Data - Pre'!$C$5:$C$36,$C19)</f>
        <v/>
      </c>
      <c r="K19" s="33">
        <f>SUMIFS('Data - Pre'!$E$5:$E$36,'Data - Pre'!$A$5:$A$36,$A19,'Data - Pre'!$B$5:$B$36,$B19,'Data - Pre'!$C$5:$C$36,$C19)</f>
        <v/>
      </c>
      <c r="L19" s="36">
        <f>SUMIFS('Data - Pre'!$H$5:$H$36,'Data - Pre'!$A$5:$A$36,$A19,'Data - Pre'!$B$5:$B$36,$B19,'Data - Pre'!$C$5:$C$36,$C19)</f>
        <v/>
      </c>
      <c r="M19" s="36">
        <f>SUMIFS('Data - Pre'!$I$5:$I$36,'Data - Pre'!$A$5:$A$36,$A19,'Data - Pre'!$B$5:$B$36,$B19,'Data - Pre'!$C$5:$C$36,$C19)</f>
        <v/>
      </c>
      <c r="N19" s="57">
        <f>IFERROR($H19/$D19,0)</f>
        <v/>
      </c>
      <c r="O19" s="57">
        <f>IFERROR($I19/$E19,0)</f>
        <v/>
      </c>
      <c r="P19" s="57">
        <f>IFERROR($F19/$D19,0)</f>
        <v/>
      </c>
      <c r="Q19" s="57">
        <f>IFERROR($G19/$E19,0)</f>
        <v/>
      </c>
      <c r="R19" s="36">
        <f>$E19*$N19</f>
        <v/>
      </c>
      <c r="S19" s="36">
        <f>$E19*($O19-$N19)</f>
        <v/>
      </c>
      <c r="T19" s="45">
        <f>IFERROR($E19/$D19-1,"")</f>
        <v/>
      </c>
      <c r="U19" s="45">
        <f>IFERROR($K19/$J19-1,"")</f>
        <v/>
      </c>
      <c r="V19" s="45">
        <f>IFERROR($T19-$U19,"")</f>
        <v/>
      </c>
    </row>
    <row r="20">
      <c r="A20" s="43" t="inlineStr">
        <is>
          <t>Amplify</t>
        </is>
      </c>
      <c r="B20" s="43" t="inlineStr">
        <is>
          <t>Mark Anthony</t>
        </is>
      </c>
      <c r="C20" s="43" t="inlineStr">
        <is>
          <t>Mxd Cocktails</t>
        </is>
      </c>
      <c r="D20" s="33">
        <f>SUMIFS('Data - Season'!$E$5:$E$743,'Data - Season'!$B$5:$B$743,$A20,'Data - Season'!$C$5:$C$743,$B20,'Data - Season'!$D$5:$D$743,$C20)</f>
        <v/>
      </c>
      <c r="E20" s="33">
        <f>SUMIFS('Data - Season'!$F$5:$F$743,'Data - Season'!$B$5:$B$743,$A20,'Data - Season'!$C$5:$C$743,$B20,'Data - Season'!$D$5:$D$743,$C20)</f>
        <v/>
      </c>
      <c r="F20" s="36">
        <f>SUMIFS('Data - Season'!$G$5:$G$743,'Data - Season'!$B$5:$B$743,$A20,'Data - Season'!$C$5:$C$743,$B20,'Data - Season'!$D$5:$D$743,$C20)</f>
        <v/>
      </c>
      <c r="G20" s="36">
        <f>SUMIFS('Data - Season'!$H$5:$H$743,'Data - Season'!$B$5:$B$743,$A20,'Data - Season'!$C$5:$C$743,$B20,'Data - Season'!$D$5:$D$743,$C20)</f>
        <v/>
      </c>
      <c r="H20" s="36">
        <f>SUMIFS('Data - Season'!$I$5:$I$743,'Data - Season'!$B$5:$B$743,$A20,'Data - Season'!$C$5:$C$743,$B20,'Data - Season'!$D$5:$D$743,$C20)</f>
        <v/>
      </c>
      <c r="I20" s="36">
        <f>SUMIFS('Data - Season'!$J$5:$J$743,'Data - Season'!$B$5:$B$743,$A20,'Data - Season'!$C$5:$C$743,$B20,'Data - Season'!$D$5:$D$743,$C20)</f>
        <v/>
      </c>
      <c r="J20" s="33">
        <f>SUMIFS('Data - Pre'!$D$5:$D$36,'Data - Pre'!$A$5:$A$36,$A20,'Data - Pre'!$B$5:$B$36,$B20,'Data - Pre'!$C$5:$C$36,$C20)</f>
        <v/>
      </c>
      <c r="K20" s="33">
        <f>SUMIFS('Data - Pre'!$E$5:$E$36,'Data - Pre'!$A$5:$A$36,$A20,'Data - Pre'!$B$5:$B$36,$B20,'Data - Pre'!$C$5:$C$36,$C20)</f>
        <v/>
      </c>
      <c r="L20" s="36">
        <f>SUMIFS('Data - Pre'!$H$5:$H$36,'Data - Pre'!$A$5:$A$36,$A20,'Data - Pre'!$B$5:$B$36,$B20,'Data - Pre'!$C$5:$C$36,$C20)</f>
        <v/>
      </c>
      <c r="M20" s="36">
        <f>SUMIFS('Data - Pre'!$I$5:$I$36,'Data - Pre'!$A$5:$A$36,$A20,'Data - Pre'!$B$5:$B$36,$B20,'Data - Pre'!$C$5:$C$36,$C20)</f>
        <v/>
      </c>
      <c r="N20" s="57">
        <f>IFERROR($H20/$D20,0)</f>
        <v/>
      </c>
      <c r="O20" s="57">
        <f>IFERROR($I20/$E20,0)</f>
        <v/>
      </c>
      <c r="P20" s="57">
        <f>IFERROR($F20/$D20,0)</f>
        <v/>
      </c>
      <c r="Q20" s="57">
        <f>IFERROR($G20/$E20,0)</f>
        <v/>
      </c>
      <c r="R20" s="36">
        <f>$E20*$N20</f>
        <v/>
      </c>
      <c r="S20" s="36">
        <f>$E20*($O20-$N20)</f>
        <v/>
      </c>
      <c r="T20" s="45">
        <f>IFERROR($E20/$D20-1,"")</f>
        <v/>
      </c>
      <c r="U20" s="45">
        <f>IFERROR($K20/$J20-1,"")</f>
        <v/>
      </c>
      <c r="V20" s="45">
        <f>IFERROR($T20-$U20,"")</f>
        <v/>
      </c>
    </row>
    <row r="21">
      <c r="A21" s="43" t="inlineStr">
        <is>
          <t>Amplify</t>
        </is>
      </c>
      <c r="B21" s="43" t="inlineStr">
        <is>
          <t>MolsonCoors Beverage Company</t>
        </is>
      </c>
      <c r="C21" s="43" t="inlineStr">
        <is>
          <t>Coors</t>
        </is>
      </c>
      <c r="D21" s="33">
        <f>SUMIFS('Data - Season'!$E$5:$E$743,'Data - Season'!$B$5:$B$743,$A21,'Data - Season'!$C$5:$C$743,$B21,'Data - Season'!$D$5:$D$743,$C21)</f>
        <v/>
      </c>
      <c r="E21" s="33">
        <f>SUMIFS('Data - Season'!$F$5:$F$743,'Data - Season'!$B$5:$B$743,$A21,'Data - Season'!$C$5:$C$743,$B21,'Data - Season'!$D$5:$D$743,$C21)</f>
        <v/>
      </c>
      <c r="F21" s="36">
        <f>SUMIFS('Data - Season'!$G$5:$G$743,'Data - Season'!$B$5:$B$743,$A21,'Data - Season'!$C$5:$C$743,$B21,'Data - Season'!$D$5:$D$743,$C21)</f>
        <v/>
      </c>
      <c r="G21" s="36">
        <f>SUMIFS('Data - Season'!$H$5:$H$743,'Data - Season'!$B$5:$B$743,$A21,'Data - Season'!$C$5:$C$743,$B21,'Data - Season'!$D$5:$D$743,$C21)</f>
        <v/>
      </c>
      <c r="H21" s="36">
        <f>SUMIFS('Data - Season'!$I$5:$I$743,'Data - Season'!$B$5:$B$743,$A21,'Data - Season'!$C$5:$C$743,$B21,'Data - Season'!$D$5:$D$743,$C21)</f>
        <v/>
      </c>
      <c r="I21" s="36">
        <f>SUMIFS('Data - Season'!$J$5:$J$743,'Data - Season'!$B$5:$B$743,$A21,'Data - Season'!$C$5:$C$743,$B21,'Data - Season'!$D$5:$D$743,$C21)</f>
        <v/>
      </c>
      <c r="J21" s="33">
        <f>SUMIFS('Data - Pre'!$D$5:$D$36,'Data - Pre'!$A$5:$A$36,$A21,'Data - Pre'!$B$5:$B$36,$B21,'Data - Pre'!$C$5:$C$36,$C21)</f>
        <v/>
      </c>
      <c r="K21" s="33">
        <f>SUMIFS('Data - Pre'!$E$5:$E$36,'Data - Pre'!$A$5:$A$36,$A21,'Data - Pre'!$B$5:$B$36,$B21,'Data - Pre'!$C$5:$C$36,$C21)</f>
        <v/>
      </c>
      <c r="L21" s="36">
        <f>SUMIFS('Data - Pre'!$H$5:$H$36,'Data - Pre'!$A$5:$A$36,$A21,'Data - Pre'!$B$5:$B$36,$B21,'Data - Pre'!$C$5:$C$36,$C21)</f>
        <v/>
      </c>
      <c r="M21" s="36">
        <f>SUMIFS('Data - Pre'!$I$5:$I$36,'Data - Pre'!$A$5:$A$36,$A21,'Data - Pre'!$B$5:$B$36,$B21,'Data - Pre'!$C$5:$C$36,$C21)</f>
        <v/>
      </c>
      <c r="N21" s="57">
        <f>IFERROR($H21/$D21,0)</f>
        <v/>
      </c>
      <c r="O21" s="57">
        <f>IFERROR($I21/$E21,0)</f>
        <v/>
      </c>
      <c r="P21" s="57">
        <f>IFERROR($F21/$D21,0)</f>
        <v/>
      </c>
      <c r="Q21" s="57">
        <f>IFERROR($G21/$E21,0)</f>
        <v/>
      </c>
      <c r="R21" s="36">
        <f>$E21*$N21</f>
        <v/>
      </c>
      <c r="S21" s="36">
        <f>$E21*($O21-$N21)</f>
        <v/>
      </c>
      <c r="T21" s="45">
        <f>IFERROR($E21/$D21-1,"")</f>
        <v/>
      </c>
      <c r="U21" s="45">
        <f>IFERROR($K21/$J21-1,"")</f>
        <v/>
      </c>
      <c r="V21" s="45">
        <f>IFERROR($T21-$U21,"")</f>
        <v/>
      </c>
    </row>
    <row r="22">
      <c r="A22" s="43" t="inlineStr">
        <is>
          <t>Amplify</t>
        </is>
      </c>
      <c r="B22" s="43" t="inlineStr">
        <is>
          <t>MolsonCoors Beverage Company</t>
        </is>
      </c>
      <c r="C22" s="43" t="inlineStr">
        <is>
          <t>Fever Tree</t>
        </is>
      </c>
      <c r="D22" s="33">
        <f>SUMIFS('Data - Season'!$E$5:$E$743,'Data - Season'!$B$5:$B$743,$A22,'Data - Season'!$C$5:$C$743,$B22,'Data - Season'!$D$5:$D$743,$C22)</f>
        <v/>
      </c>
      <c r="E22" s="33">
        <f>SUMIFS('Data - Season'!$F$5:$F$743,'Data - Season'!$B$5:$B$743,$A22,'Data - Season'!$C$5:$C$743,$B22,'Data - Season'!$D$5:$D$743,$C22)</f>
        <v/>
      </c>
      <c r="F22" s="36">
        <f>SUMIFS('Data - Season'!$G$5:$G$743,'Data - Season'!$B$5:$B$743,$A22,'Data - Season'!$C$5:$C$743,$B22,'Data - Season'!$D$5:$D$743,$C22)</f>
        <v/>
      </c>
      <c r="G22" s="36">
        <f>SUMIFS('Data - Season'!$H$5:$H$743,'Data - Season'!$B$5:$B$743,$A22,'Data - Season'!$C$5:$C$743,$B22,'Data - Season'!$D$5:$D$743,$C22)</f>
        <v/>
      </c>
      <c r="H22" s="36">
        <f>SUMIFS('Data - Season'!$I$5:$I$743,'Data - Season'!$B$5:$B$743,$A22,'Data - Season'!$C$5:$C$743,$B22,'Data - Season'!$D$5:$D$743,$C22)</f>
        <v/>
      </c>
      <c r="I22" s="36">
        <f>SUMIFS('Data - Season'!$J$5:$J$743,'Data - Season'!$B$5:$B$743,$A22,'Data - Season'!$C$5:$C$743,$B22,'Data - Season'!$D$5:$D$743,$C22)</f>
        <v/>
      </c>
      <c r="J22" s="33">
        <f>SUMIFS('Data - Pre'!$D$5:$D$36,'Data - Pre'!$A$5:$A$36,$A22,'Data - Pre'!$B$5:$B$36,$B22,'Data - Pre'!$C$5:$C$36,$C22)</f>
        <v/>
      </c>
      <c r="K22" s="33">
        <f>SUMIFS('Data - Pre'!$E$5:$E$36,'Data - Pre'!$A$5:$A$36,$A22,'Data - Pre'!$B$5:$B$36,$B22,'Data - Pre'!$C$5:$C$36,$C22)</f>
        <v/>
      </c>
      <c r="L22" s="36">
        <f>SUMIFS('Data - Pre'!$H$5:$H$36,'Data - Pre'!$A$5:$A$36,$A22,'Data - Pre'!$B$5:$B$36,$B22,'Data - Pre'!$C$5:$C$36,$C22)</f>
        <v/>
      </c>
      <c r="M22" s="36">
        <f>SUMIFS('Data - Pre'!$I$5:$I$36,'Data - Pre'!$A$5:$A$36,$A22,'Data - Pre'!$B$5:$B$36,$B22,'Data - Pre'!$C$5:$C$36,$C22)</f>
        <v/>
      </c>
      <c r="N22" s="57">
        <f>IFERROR($H22/$D22,0)</f>
        <v/>
      </c>
      <c r="O22" s="57">
        <f>IFERROR($I22/$E22,0)</f>
        <v/>
      </c>
      <c r="P22" s="57">
        <f>IFERROR($F22/$D22,0)</f>
        <v/>
      </c>
      <c r="Q22" s="57">
        <f>IFERROR($G22/$E22,0)</f>
        <v/>
      </c>
      <c r="R22" s="36">
        <f>$E22*$N22</f>
        <v/>
      </c>
      <c r="S22" s="36">
        <f>$E22*($O22-$N22)</f>
        <v/>
      </c>
      <c r="T22" s="45">
        <f>IFERROR($E22/$D22-1,"")</f>
        <v/>
      </c>
      <c r="U22" s="45">
        <f>IFERROR($K22/$J22-1,"")</f>
        <v/>
      </c>
      <c r="V22" s="45">
        <f>IFERROR($T22-$U22,"")</f>
        <v/>
      </c>
    </row>
    <row r="23">
      <c r="A23" s="43" t="inlineStr">
        <is>
          <t>Amplify</t>
        </is>
      </c>
      <c r="B23" s="43" t="inlineStr">
        <is>
          <t>MolsonCoors Beverage Company</t>
        </is>
      </c>
      <c r="C23" s="43" t="inlineStr">
        <is>
          <t>Peroni</t>
        </is>
      </c>
      <c r="D23" s="33">
        <f>SUMIFS('Data - Season'!$E$5:$E$743,'Data - Season'!$B$5:$B$743,$A23,'Data - Season'!$C$5:$C$743,$B23,'Data - Season'!$D$5:$D$743,$C23)</f>
        <v/>
      </c>
      <c r="E23" s="33">
        <f>SUMIFS('Data - Season'!$F$5:$F$743,'Data - Season'!$B$5:$B$743,$A23,'Data - Season'!$C$5:$C$743,$B23,'Data - Season'!$D$5:$D$743,$C23)</f>
        <v/>
      </c>
      <c r="F23" s="36">
        <f>SUMIFS('Data - Season'!$G$5:$G$743,'Data - Season'!$B$5:$B$743,$A23,'Data - Season'!$C$5:$C$743,$B23,'Data - Season'!$D$5:$D$743,$C23)</f>
        <v/>
      </c>
      <c r="G23" s="36">
        <f>SUMIFS('Data - Season'!$H$5:$H$743,'Data - Season'!$B$5:$B$743,$A23,'Data - Season'!$C$5:$C$743,$B23,'Data - Season'!$D$5:$D$743,$C23)</f>
        <v/>
      </c>
      <c r="H23" s="36">
        <f>SUMIFS('Data - Season'!$I$5:$I$743,'Data - Season'!$B$5:$B$743,$A23,'Data - Season'!$C$5:$C$743,$B23,'Data - Season'!$D$5:$D$743,$C23)</f>
        <v/>
      </c>
      <c r="I23" s="36">
        <f>SUMIFS('Data - Season'!$J$5:$J$743,'Data - Season'!$B$5:$B$743,$A23,'Data - Season'!$C$5:$C$743,$B23,'Data - Season'!$D$5:$D$743,$C23)</f>
        <v/>
      </c>
      <c r="J23" s="33">
        <f>SUMIFS('Data - Pre'!$D$5:$D$36,'Data - Pre'!$A$5:$A$36,$A23,'Data - Pre'!$B$5:$B$36,$B23,'Data - Pre'!$C$5:$C$36,$C23)</f>
        <v/>
      </c>
      <c r="K23" s="33">
        <f>SUMIFS('Data - Pre'!$E$5:$E$36,'Data - Pre'!$A$5:$A$36,$A23,'Data - Pre'!$B$5:$B$36,$B23,'Data - Pre'!$C$5:$C$36,$C23)</f>
        <v/>
      </c>
      <c r="L23" s="36">
        <f>SUMIFS('Data - Pre'!$H$5:$H$36,'Data - Pre'!$A$5:$A$36,$A23,'Data - Pre'!$B$5:$B$36,$B23,'Data - Pre'!$C$5:$C$36,$C23)</f>
        <v/>
      </c>
      <c r="M23" s="36">
        <f>SUMIFS('Data - Pre'!$I$5:$I$36,'Data - Pre'!$A$5:$A$36,$A23,'Data - Pre'!$B$5:$B$36,$B23,'Data - Pre'!$C$5:$C$36,$C23)</f>
        <v/>
      </c>
      <c r="N23" s="57">
        <f>IFERROR($H23/$D23,0)</f>
        <v/>
      </c>
      <c r="O23" s="57">
        <f>IFERROR($I23/$E23,0)</f>
        <v/>
      </c>
      <c r="P23" s="57">
        <f>IFERROR($F23/$D23,0)</f>
        <v/>
      </c>
      <c r="Q23" s="57">
        <f>IFERROR($G23/$E23,0)</f>
        <v/>
      </c>
      <c r="R23" s="36">
        <f>$E23*$N23</f>
        <v/>
      </c>
      <c r="S23" s="36">
        <f>$E23*($O23-$N23)</f>
        <v/>
      </c>
      <c r="T23" s="45">
        <f>IFERROR($E23/$D23-1,"")</f>
        <v/>
      </c>
      <c r="U23" s="45">
        <f>IFERROR($K23/$J23-1,"")</f>
        <v/>
      </c>
      <c r="V23" s="45">
        <f>IFERROR($T23-$U23,"")</f>
        <v/>
      </c>
    </row>
    <row r="24">
      <c r="A24" s="43" t="inlineStr">
        <is>
          <t>Amplify</t>
        </is>
      </c>
      <c r="B24" s="43" t="inlineStr">
        <is>
          <t>New Belgium Brewing Company</t>
        </is>
      </c>
      <c r="C24" s="43" t="inlineStr">
        <is>
          <t>Fat Tire Family</t>
        </is>
      </c>
      <c r="D24" s="33">
        <f>SUMIFS('Data - Season'!$E$5:$E$743,'Data - Season'!$B$5:$B$743,$A24,'Data - Season'!$C$5:$C$743,$B24,'Data - Season'!$D$5:$D$743,$C24)</f>
        <v/>
      </c>
      <c r="E24" s="33">
        <f>SUMIFS('Data - Season'!$F$5:$F$743,'Data - Season'!$B$5:$B$743,$A24,'Data - Season'!$C$5:$C$743,$B24,'Data - Season'!$D$5:$D$743,$C24)</f>
        <v/>
      </c>
      <c r="F24" s="36">
        <f>SUMIFS('Data - Season'!$G$5:$G$743,'Data - Season'!$B$5:$B$743,$A24,'Data - Season'!$C$5:$C$743,$B24,'Data - Season'!$D$5:$D$743,$C24)</f>
        <v/>
      </c>
      <c r="G24" s="36">
        <f>SUMIFS('Data - Season'!$H$5:$H$743,'Data - Season'!$B$5:$B$743,$A24,'Data - Season'!$C$5:$C$743,$B24,'Data - Season'!$D$5:$D$743,$C24)</f>
        <v/>
      </c>
      <c r="H24" s="36">
        <f>SUMIFS('Data - Season'!$I$5:$I$743,'Data - Season'!$B$5:$B$743,$A24,'Data - Season'!$C$5:$C$743,$B24,'Data - Season'!$D$5:$D$743,$C24)</f>
        <v/>
      </c>
      <c r="I24" s="36">
        <f>SUMIFS('Data - Season'!$J$5:$J$743,'Data - Season'!$B$5:$B$743,$A24,'Data - Season'!$C$5:$C$743,$B24,'Data - Season'!$D$5:$D$743,$C24)</f>
        <v/>
      </c>
      <c r="J24" s="33">
        <f>SUMIFS('Data - Pre'!$D$5:$D$36,'Data - Pre'!$A$5:$A$36,$A24,'Data - Pre'!$B$5:$B$36,$B24,'Data - Pre'!$C$5:$C$36,$C24)</f>
        <v/>
      </c>
      <c r="K24" s="33">
        <f>SUMIFS('Data - Pre'!$E$5:$E$36,'Data - Pre'!$A$5:$A$36,$A24,'Data - Pre'!$B$5:$B$36,$B24,'Data - Pre'!$C$5:$C$36,$C24)</f>
        <v/>
      </c>
      <c r="L24" s="36">
        <f>SUMIFS('Data - Pre'!$H$5:$H$36,'Data - Pre'!$A$5:$A$36,$A24,'Data - Pre'!$B$5:$B$36,$B24,'Data - Pre'!$C$5:$C$36,$C24)</f>
        <v/>
      </c>
      <c r="M24" s="36">
        <f>SUMIFS('Data - Pre'!$I$5:$I$36,'Data - Pre'!$A$5:$A$36,$A24,'Data - Pre'!$B$5:$B$36,$B24,'Data - Pre'!$C$5:$C$36,$C24)</f>
        <v/>
      </c>
      <c r="N24" s="57">
        <f>IFERROR($H24/$D24,0)</f>
        <v/>
      </c>
      <c r="O24" s="57">
        <f>IFERROR($I24/$E24,0)</f>
        <v/>
      </c>
      <c r="P24" s="57">
        <f>IFERROR($F24/$D24,0)</f>
        <v/>
      </c>
      <c r="Q24" s="57">
        <f>IFERROR($G24/$E24,0)</f>
        <v/>
      </c>
      <c r="R24" s="36">
        <f>$E24*$N24</f>
        <v/>
      </c>
      <c r="S24" s="36">
        <f>$E24*($O24-$N24)</f>
        <v/>
      </c>
      <c r="T24" s="45">
        <f>IFERROR($E24/$D24-1,"")</f>
        <v/>
      </c>
      <c r="U24" s="45">
        <f>IFERROR($K24/$J24-1,"")</f>
        <v/>
      </c>
      <c r="V24" s="45">
        <f>IFERROR($T24-$U24,"")</f>
        <v/>
      </c>
    </row>
    <row r="25">
      <c r="A25" s="43" t="inlineStr">
        <is>
          <t>Amplify</t>
        </is>
      </c>
      <c r="B25" s="43" t="inlineStr">
        <is>
          <t>New Belgium Brewing Company</t>
        </is>
      </c>
      <c r="C25" s="43" t="inlineStr">
        <is>
          <t>Kirin Ichiban</t>
        </is>
      </c>
      <c r="D25" s="33">
        <f>SUMIFS('Data - Season'!$E$5:$E$743,'Data - Season'!$B$5:$B$743,$A25,'Data - Season'!$C$5:$C$743,$B25,'Data - Season'!$D$5:$D$743,$C25)</f>
        <v/>
      </c>
      <c r="E25" s="33">
        <f>SUMIFS('Data - Season'!$F$5:$F$743,'Data - Season'!$B$5:$B$743,$A25,'Data - Season'!$C$5:$C$743,$B25,'Data - Season'!$D$5:$D$743,$C25)</f>
        <v/>
      </c>
      <c r="F25" s="36">
        <f>SUMIFS('Data - Season'!$G$5:$G$743,'Data - Season'!$B$5:$B$743,$A25,'Data - Season'!$C$5:$C$743,$B25,'Data - Season'!$D$5:$D$743,$C25)</f>
        <v/>
      </c>
      <c r="G25" s="36">
        <f>SUMIFS('Data - Season'!$H$5:$H$743,'Data - Season'!$B$5:$B$743,$A25,'Data - Season'!$C$5:$C$743,$B25,'Data - Season'!$D$5:$D$743,$C25)</f>
        <v/>
      </c>
      <c r="H25" s="36">
        <f>SUMIFS('Data - Season'!$I$5:$I$743,'Data - Season'!$B$5:$B$743,$A25,'Data - Season'!$C$5:$C$743,$B25,'Data - Season'!$D$5:$D$743,$C25)</f>
        <v/>
      </c>
      <c r="I25" s="36">
        <f>SUMIFS('Data - Season'!$J$5:$J$743,'Data - Season'!$B$5:$B$743,$A25,'Data - Season'!$C$5:$C$743,$B25,'Data - Season'!$D$5:$D$743,$C25)</f>
        <v/>
      </c>
      <c r="J25" s="33">
        <f>SUMIFS('Data - Pre'!$D$5:$D$36,'Data - Pre'!$A$5:$A$36,$A25,'Data - Pre'!$B$5:$B$36,$B25,'Data - Pre'!$C$5:$C$36,$C25)</f>
        <v/>
      </c>
      <c r="K25" s="33">
        <f>SUMIFS('Data - Pre'!$E$5:$E$36,'Data - Pre'!$A$5:$A$36,$A25,'Data - Pre'!$B$5:$B$36,$B25,'Data - Pre'!$C$5:$C$36,$C25)</f>
        <v/>
      </c>
      <c r="L25" s="36">
        <f>SUMIFS('Data - Pre'!$H$5:$H$36,'Data - Pre'!$A$5:$A$36,$A25,'Data - Pre'!$B$5:$B$36,$B25,'Data - Pre'!$C$5:$C$36,$C25)</f>
        <v/>
      </c>
      <c r="M25" s="36">
        <f>SUMIFS('Data - Pre'!$I$5:$I$36,'Data - Pre'!$A$5:$A$36,$A25,'Data - Pre'!$B$5:$B$36,$B25,'Data - Pre'!$C$5:$C$36,$C25)</f>
        <v/>
      </c>
      <c r="N25" s="57">
        <f>IFERROR($H25/$D25,0)</f>
        <v/>
      </c>
      <c r="O25" s="57">
        <f>IFERROR($I25/$E25,0)</f>
        <v/>
      </c>
      <c r="P25" s="57">
        <f>IFERROR($F25/$D25,0)</f>
        <v/>
      </c>
      <c r="Q25" s="57">
        <f>IFERROR($G25/$E25,0)</f>
        <v/>
      </c>
      <c r="R25" s="36">
        <f>$E25*$N25</f>
        <v/>
      </c>
      <c r="S25" s="36">
        <f>$E25*($O25-$N25)</f>
        <v/>
      </c>
      <c r="T25" s="45">
        <f>IFERROR($E25/$D25-1,"")</f>
        <v/>
      </c>
      <c r="U25" s="45">
        <f>IFERROR($K25/$J25-1,"")</f>
        <v/>
      </c>
      <c r="V25" s="45">
        <f>IFERROR($T25-$U25,"")</f>
        <v/>
      </c>
    </row>
    <row r="26">
      <c r="A26" s="43" t="inlineStr">
        <is>
          <t>Amplify</t>
        </is>
      </c>
      <c r="B26" s="43" t="inlineStr">
        <is>
          <t>New Belgium Brewing Company</t>
        </is>
      </c>
      <c r="C26" s="43" t="inlineStr">
        <is>
          <t>Voodoo Family</t>
        </is>
      </c>
      <c r="D26" s="33">
        <f>SUMIFS('Data - Season'!$E$5:$E$743,'Data - Season'!$B$5:$B$743,$A26,'Data - Season'!$C$5:$C$743,$B26,'Data - Season'!$D$5:$D$743,$C26)</f>
        <v/>
      </c>
      <c r="E26" s="33">
        <f>SUMIFS('Data - Season'!$F$5:$F$743,'Data - Season'!$B$5:$B$743,$A26,'Data - Season'!$C$5:$C$743,$B26,'Data - Season'!$D$5:$D$743,$C26)</f>
        <v/>
      </c>
      <c r="F26" s="36">
        <f>SUMIFS('Data - Season'!$G$5:$G$743,'Data - Season'!$B$5:$B$743,$A26,'Data - Season'!$C$5:$C$743,$B26,'Data - Season'!$D$5:$D$743,$C26)</f>
        <v/>
      </c>
      <c r="G26" s="36">
        <f>SUMIFS('Data - Season'!$H$5:$H$743,'Data - Season'!$B$5:$B$743,$A26,'Data - Season'!$C$5:$C$743,$B26,'Data - Season'!$D$5:$D$743,$C26)</f>
        <v/>
      </c>
      <c r="H26" s="36">
        <f>SUMIFS('Data - Season'!$I$5:$I$743,'Data - Season'!$B$5:$B$743,$A26,'Data - Season'!$C$5:$C$743,$B26,'Data - Season'!$D$5:$D$743,$C26)</f>
        <v/>
      </c>
      <c r="I26" s="36">
        <f>SUMIFS('Data - Season'!$J$5:$J$743,'Data - Season'!$B$5:$B$743,$A26,'Data - Season'!$C$5:$C$743,$B26,'Data - Season'!$D$5:$D$743,$C26)</f>
        <v/>
      </c>
      <c r="J26" s="33">
        <f>SUMIFS('Data - Pre'!$D$5:$D$36,'Data - Pre'!$A$5:$A$36,$A26,'Data - Pre'!$B$5:$B$36,$B26,'Data - Pre'!$C$5:$C$36,$C26)</f>
        <v/>
      </c>
      <c r="K26" s="33">
        <f>SUMIFS('Data - Pre'!$E$5:$E$36,'Data - Pre'!$A$5:$A$36,$A26,'Data - Pre'!$B$5:$B$36,$B26,'Data - Pre'!$C$5:$C$36,$C26)</f>
        <v/>
      </c>
      <c r="L26" s="36">
        <f>SUMIFS('Data - Pre'!$H$5:$H$36,'Data - Pre'!$A$5:$A$36,$A26,'Data - Pre'!$B$5:$B$36,$B26,'Data - Pre'!$C$5:$C$36,$C26)</f>
        <v/>
      </c>
      <c r="M26" s="36">
        <f>SUMIFS('Data - Pre'!$I$5:$I$36,'Data - Pre'!$A$5:$A$36,$A26,'Data - Pre'!$B$5:$B$36,$B26,'Data - Pre'!$C$5:$C$36,$C26)</f>
        <v/>
      </c>
      <c r="N26" s="57">
        <f>IFERROR($H26/$D26,0)</f>
        <v/>
      </c>
      <c r="O26" s="57">
        <f>IFERROR($I26/$E26,0)</f>
        <v/>
      </c>
      <c r="P26" s="57">
        <f>IFERROR($F26/$D26,0)</f>
        <v/>
      </c>
      <c r="Q26" s="57">
        <f>IFERROR($G26/$E26,0)</f>
        <v/>
      </c>
      <c r="R26" s="36">
        <f>$E26*$N26</f>
        <v/>
      </c>
      <c r="S26" s="36">
        <f>$E26*($O26-$N26)</f>
        <v/>
      </c>
      <c r="T26" s="45">
        <f>IFERROR($E26/$D26-1,"")</f>
        <v/>
      </c>
      <c r="U26" s="45">
        <f>IFERROR($K26/$J26-1,"")</f>
        <v/>
      </c>
      <c r="V26" s="45">
        <f>IFERROR($T26-$U26,"")</f>
        <v/>
      </c>
    </row>
    <row r="27">
      <c r="A27" s="43" t="inlineStr">
        <is>
          <t>Amplify</t>
        </is>
      </c>
      <c r="B27" s="43" t="inlineStr">
        <is>
          <t>Sapporo</t>
        </is>
      </c>
      <c r="C27" s="43" t="inlineStr">
        <is>
          <t>Sapporo</t>
        </is>
      </c>
      <c r="D27" s="33">
        <f>SUMIFS('Data - Season'!$E$5:$E$743,'Data - Season'!$B$5:$B$743,$A27,'Data - Season'!$C$5:$C$743,$B27,'Data - Season'!$D$5:$D$743,$C27)</f>
        <v/>
      </c>
      <c r="E27" s="33">
        <f>SUMIFS('Data - Season'!$F$5:$F$743,'Data - Season'!$B$5:$B$743,$A27,'Data - Season'!$C$5:$C$743,$B27,'Data - Season'!$D$5:$D$743,$C27)</f>
        <v/>
      </c>
      <c r="F27" s="36">
        <f>SUMIFS('Data - Season'!$G$5:$G$743,'Data - Season'!$B$5:$B$743,$A27,'Data - Season'!$C$5:$C$743,$B27,'Data - Season'!$D$5:$D$743,$C27)</f>
        <v/>
      </c>
      <c r="G27" s="36">
        <f>SUMIFS('Data - Season'!$H$5:$H$743,'Data - Season'!$B$5:$B$743,$A27,'Data - Season'!$C$5:$C$743,$B27,'Data - Season'!$D$5:$D$743,$C27)</f>
        <v/>
      </c>
      <c r="H27" s="36">
        <f>SUMIFS('Data - Season'!$I$5:$I$743,'Data - Season'!$B$5:$B$743,$A27,'Data - Season'!$C$5:$C$743,$B27,'Data - Season'!$D$5:$D$743,$C27)</f>
        <v/>
      </c>
      <c r="I27" s="36">
        <f>SUMIFS('Data - Season'!$J$5:$J$743,'Data - Season'!$B$5:$B$743,$A27,'Data - Season'!$C$5:$C$743,$B27,'Data - Season'!$D$5:$D$743,$C27)</f>
        <v/>
      </c>
      <c r="J27" s="33">
        <f>SUMIFS('Data - Pre'!$D$5:$D$36,'Data - Pre'!$A$5:$A$36,$A27,'Data - Pre'!$B$5:$B$36,$B27,'Data - Pre'!$C$5:$C$36,$C27)</f>
        <v/>
      </c>
      <c r="K27" s="33">
        <f>SUMIFS('Data - Pre'!$E$5:$E$36,'Data - Pre'!$A$5:$A$36,$A27,'Data - Pre'!$B$5:$B$36,$B27,'Data - Pre'!$C$5:$C$36,$C27)</f>
        <v/>
      </c>
      <c r="L27" s="36">
        <f>SUMIFS('Data - Pre'!$H$5:$H$36,'Data - Pre'!$A$5:$A$36,$A27,'Data - Pre'!$B$5:$B$36,$B27,'Data - Pre'!$C$5:$C$36,$C27)</f>
        <v/>
      </c>
      <c r="M27" s="36">
        <f>SUMIFS('Data - Pre'!$I$5:$I$36,'Data - Pre'!$A$5:$A$36,$A27,'Data - Pre'!$B$5:$B$36,$B27,'Data - Pre'!$C$5:$C$36,$C27)</f>
        <v/>
      </c>
      <c r="N27" s="57">
        <f>IFERROR($H27/$D27,0)</f>
        <v/>
      </c>
      <c r="O27" s="57">
        <f>IFERROR($I27/$E27,0)</f>
        <v/>
      </c>
      <c r="P27" s="57">
        <f>IFERROR($F27/$D27,0)</f>
        <v/>
      </c>
      <c r="Q27" s="57">
        <f>IFERROR($G27/$E27,0)</f>
        <v/>
      </c>
      <c r="R27" s="36">
        <f>$E27*$N27</f>
        <v/>
      </c>
      <c r="S27" s="36">
        <f>$E27*($O27-$N27)</f>
        <v/>
      </c>
      <c r="T27" s="45">
        <f>IFERROR($E27/$D27-1,"")</f>
        <v/>
      </c>
      <c r="U27" s="45">
        <f>IFERROR($K27/$J27-1,"")</f>
        <v/>
      </c>
      <c r="V27" s="45">
        <f>IFERROR($T27-$U27,"")</f>
        <v/>
      </c>
    </row>
    <row r="28">
      <c r="A28" s="43" t="inlineStr">
        <is>
          <t>Qualifier</t>
        </is>
      </c>
      <c r="B28" s="43" t="inlineStr">
        <is>
          <t>Boston Beer Company</t>
        </is>
      </c>
      <c r="C28" s="43" t="inlineStr">
        <is>
          <t>Truly</t>
        </is>
      </c>
      <c r="D28" s="33">
        <f>SUMIFS('Data - Season'!$E$5:$E$743,'Data - Season'!$B$5:$B$743,$A28,'Data - Season'!$C$5:$C$743,$B28,'Data - Season'!$D$5:$D$743,$C28)</f>
        <v/>
      </c>
      <c r="E28" s="33">
        <f>SUMIFS('Data - Season'!$F$5:$F$743,'Data - Season'!$B$5:$B$743,$A28,'Data - Season'!$C$5:$C$743,$B28,'Data - Season'!$D$5:$D$743,$C28)</f>
        <v/>
      </c>
      <c r="F28" s="36">
        <f>SUMIFS('Data - Season'!$G$5:$G$743,'Data - Season'!$B$5:$B$743,$A28,'Data - Season'!$C$5:$C$743,$B28,'Data - Season'!$D$5:$D$743,$C28)</f>
        <v/>
      </c>
      <c r="G28" s="36">
        <f>SUMIFS('Data - Season'!$H$5:$H$743,'Data - Season'!$B$5:$B$743,$A28,'Data - Season'!$C$5:$C$743,$B28,'Data - Season'!$D$5:$D$743,$C28)</f>
        <v/>
      </c>
      <c r="H28" s="36">
        <f>SUMIFS('Data - Season'!$I$5:$I$743,'Data - Season'!$B$5:$B$743,$A28,'Data - Season'!$C$5:$C$743,$B28,'Data - Season'!$D$5:$D$743,$C28)</f>
        <v/>
      </c>
      <c r="I28" s="36">
        <f>SUMIFS('Data - Season'!$J$5:$J$743,'Data - Season'!$B$5:$B$743,$A28,'Data - Season'!$C$5:$C$743,$B28,'Data - Season'!$D$5:$D$743,$C28)</f>
        <v/>
      </c>
      <c r="J28" s="33">
        <f>SUMIFS('Data - Pre'!$D$5:$D$36,'Data - Pre'!$A$5:$A$36,$A28,'Data - Pre'!$B$5:$B$36,$B28,'Data - Pre'!$C$5:$C$36,$C28)</f>
        <v/>
      </c>
      <c r="K28" s="33">
        <f>SUMIFS('Data - Pre'!$E$5:$E$36,'Data - Pre'!$A$5:$A$36,$A28,'Data - Pre'!$B$5:$B$36,$B28,'Data - Pre'!$C$5:$C$36,$C28)</f>
        <v/>
      </c>
      <c r="L28" s="36">
        <f>SUMIFS('Data - Pre'!$H$5:$H$36,'Data - Pre'!$A$5:$A$36,$A28,'Data - Pre'!$B$5:$B$36,$B28,'Data - Pre'!$C$5:$C$36,$C28)</f>
        <v/>
      </c>
      <c r="M28" s="36">
        <f>SUMIFS('Data - Pre'!$I$5:$I$36,'Data - Pre'!$A$5:$A$36,$A28,'Data - Pre'!$B$5:$B$36,$B28,'Data - Pre'!$C$5:$C$36,$C28)</f>
        <v/>
      </c>
      <c r="N28" s="57">
        <f>IFERROR($H28/$D28,0)</f>
        <v/>
      </c>
      <c r="O28" s="57">
        <f>IFERROR($I28/$E28,0)</f>
        <v/>
      </c>
      <c r="P28" s="57">
        <f>IFERROR($F28/$D28,0)</f>
        <v/>
      </c>
      <c r="Q28" s="57">
        <f>IFERROR($G28/$E28,0)</f>
        <v/>
      </c>
      <c r="R28" s="36">
        <f>$E28*$N28</f>
        <v/>
      </c>
      <c r="S28" s="36">
        <f>$E28*($O28-$N28)</f>
        <v/>
      </c>
      <c r="T28" s="45">
        <f>IFERROR($E28/$D28-1,"")</f>
        <v/>
      </c>
      <c r="U28" s="45">
        <f>IFERROR($K28/$J28-1,"")</f>
        <v/>
      </c>
      <c r="V28" s="45">
        <f>IFERROR($T28-$U28,"")</f>
        <v/>
      </c>
    </row>
    <row r="29">
      <c r="A29" s="43" t="inlineStr">
        <is>
          <t>Qualifier</t>
        </is>
      </c>
      <c r="B29" s="43" t="inlineStr">
        <is>
          <t>Boston Beer Company</t>
        </is>
      </c>
      <c r="C29" s="43" t="inlineStr">
        <is>
          <t>Twisted Tea</t>
        </is>
      </c>
      <c r="D29" s="33">
        <f>SUMIFS('Data - Season'!$E$5:$E$743,'Data - Season'!$B$5:$B$743,$A29,'Data - Season'!$C$5:$C$743,$B29,'Data - Season'!$D$5:$D$743,$C29)</f>
        <v/>
      </c>
      <c r="E29" s="33">
        <f>SUMIFS('Data - Season'!$F$5:$F$743,'Data - Season'!$B$5:$B$743,$A29,'Data - Season'!$C$5:$C$743,$B29,'Data - Season'!$D$5:$D$743,$C29)</f>
        <v/>
      </c>
      <c r="F29" s="36">
        <f>SUMIFS('Data - Season'!$G$5:$G$743,'Data - Season'!$B$5:$B$743,$A29,'Data - Season'!$C$5:$C$743,$B29,'Data - Season'!$D$5:$D$743,$C29)</f>
        <v/>
      </c>
      <c r="G29" s="36">
        <f>SUMIFS('Data - Season'!$H$5:$H$743,'Data - Season'!$B$5:$B$743,$A29,'Data - Season'!$C$5:$C$743,$B29,'Data - Season'!$D$5:$D$743,$C29)</f>
        <v/>
      </c>
      <c r="H29" s="36">
        <f>SUMIFS('Data - Season'!$I$5:$I$743,'Data - Season'!$B$5:$B$743,$A29,'Data - Season'!$C$5:$C$743,$B29,'Data - Season'!$D$5:$D$743,$C29)</f>
        <v/>
      </c>
      <c r="I29" s="36">
        <f>SUMIFS('Data - Season'!$J$5:$J$743,'Data - Season'!$B$5:$B$743,$A29,'Data - Season'!$C$5:$C$743,$B29,'Data - Season'!$D$5:$D$743,$C29)</f>
        <v/>
      </c>
      <c r="J29" s="33">
        <f>SUMIFS('Data - Pre'!$D$5:$D$36,'Data - Pre'!$A$5:$A$36,$A29,'Data - Pre'!$B$5:$B$36,$B29,'Data - Pre'!$C$5:$C$36,$C29)</f>
        <v/>
      </c>
      <c r="K29" s="33">
        <f>SUMIFS('Data - Pre'!$E$5:$E$36,'Data - Pre'!$A$5:$A$36,$A29,'Data - Pre'!$B$5:$B$36,$B29,'Data - Pre'!$C$5:$C$36,$C29)</f>
        <v/>
      </c>
      <c r="L29" s="36">
        <f>SUMIFS('Data - Pre'!$H$5:$H$36,'Data - Pre'!$A$5:$A$36,$A29,'Data - Pre'!$B$5:$B$36,$B29,'Data - Pre'!$C$5:$C$36,$C29)</f>
        <v/>
      </c>
      <c r="M29" s="36">
        <f>SUMIFS('Data - Pre'!$I$5:$I$36,'Data - Pre'!$A$5:$A$36,$A29,'Data - Pre'!$B$5:$B$36,$B29,'Data - Pre'!$C$5:$C$36,$C29)</f>
        <v/>
      </c>
      <c r="N29" s="57">
        <f>IFERROR($H29/$D29,0)</f>
        <v/>
      </c>
      <c r="O29" s="57">
        <f>IFERROR($I29/$E29,0)</f>
        <v/>
      </c>
      <c r="P29" s="57">
        <f>IFERROR($F29/$D29,0)</f>
        <v/>
      </c>
      <c r="Q29" s="57">
        <f>IFERROR($G29/$E29,0)</f>
        <v/>
      </c>
      <c r="R29" s="36">
        <f>$E29*$N29</f>
        <v/>
      </c>
      <c r="S29" s="36">
        <f>$E29*($O29-$N29)</f>
        <v/>
      </c>
      <c r="T29" s="45">
        <f>IFERROR($E29/$D29-1,"")</f>
        <v/>
      </c>
      <c r="U29" s="45">
        <f>IFERROR($K29/$J29-1,"")</f>
        <v/>
      </c>
      <c r="V29" s="45">
        <f>IFERROR($T29-$U29,"")</f>
        <v/>
      </c>
    </row>
    <row r="30">
      <c r="A30" s="43" t="inlineStr">
        <is>
          <t>Qualifier</t>
        </is>
      </c>
      <c r="B30" s="43" t="inlineStr">
        <is>
          <t>Constellation Brands</t>
        </is>
      </c>
      <c r="C30" s="43" t="inlineStr">
        <is>
          <t>Corona Extra</t>
        </is>
      </c>
      <c r="D30" s="33">
        <f>SUMIFS('Data - Season'!$E$5:$E$743,'Data - Season'!$B$5:$B$743,$A30,'Data - Season'!$C$5:$C$743,$B30,'Data - Season'!$D$5:$D$743,$C30)</f>
        <v/>
      </c>
      <c r="E30" s="33">
        <f>SUMIFS('Data - Season'!$F$5:$F$743,'Data - Season'!$B$5:$B$743,$A30,'Data - Season'!$C$5:$C$743,$B30,'Data - Season'!$D$5:$D$743,$C30)</f>
        <v/>
      </c>
      <c r="F30" s="36">
        <f>SUMIFS('Data - Season'!$G$5:$G$743,'Data - Season'!$B$5:$B$743,$A30,'Data - Season'!$C$5:$C$743,$B30,'Data - Season'!$D$5:$D$743,$C30)</f>
        <v/>
      </c>
      <c r="G30" s="36">
        <f>SUMIFS('Data - Season'!$H$5:$H$743,'Data - Season'!$B$5:$B$743,$A30,'Data - Season'!$C$5:$C$743,$B30,'Data - Season'!$D$5:$D$743,$C30)</f>
        <v/>
      </c>
      <c r="H30" s="36">
        <f>SUMIFS('Data - Season'!$I$5:$I$743,'Data - Season'!$B$5:$B$743,$A30,'Data - Season'!$C$5:$C$743,$B30,'Data - Season'!$D$5:$D$743,$C30)</f>
        <v/>
      </c>
      <c r="I30" s="36">
        <f>SUMIFS('Data - Season'!$J$5:$J$743,'Data - Season'!$B$5:$B$743,$A30,'Data - Season'!$C$5:$C$743,$B30,'Data - Season'!$D$5:$D$743,$C30)</f>
        <v/>
      </c>
      <c r="J30" s="33">
        <f>SUMIFS('Data - Pre'!$D$5:$D$36,'Data - Pre'!$A$5:$A$36,$A30,'Data - Pre'!$B$5:$B$36,$B30,'Data - Pre'!$C$5:$C$36,$C30)</f>
        <v/>
      </c>
      <c r="K30" s="33">
        <f>SUMIFS('Data - Pre'!$E$5:$E$36,'Data - Pre'!$A$5:$A$36,$A30,'Data - Pre'!$B$5:$B$36,$B30,'Data - Pre'!$C$5:$C$36,$C30)</f>
        <v/>
      </c>
      <c r="L30" s="36">
        <f>SUMIFS('Data - Pre'!$H$5:$H$36,'Data - Pre'!$A$5:$A$36,$A30,'Data - Pre'!$B$5:$B$36,$B30,'Data - Pre'!$C$5:$C$36,$C30)</f>
        <v/>
      </c>
      <c r="M30" s="36">
        <f>SUMIFS('Data - Pre'!$I$5:$I$36,'Data - Pre'!$A$5:$A$36,$A30,'Data - Pre'!$B$5:$B$36,$B30,'Data - Pre'!$C$5:$C$36,$C30)</f>
        <v/>
      </c>
      <c r="N30" s="57">
        <f>IFERROR($H30/$D30,0)</f>
        <v/>
      </c>
      <c r="O30" s="57">
        <f>IFERROR($I30/$E30,0)</f>
        <v/>
      </c>
      <c r="P30" s="57">
        <f>IFERROR($F30/$D30,0)</f>
        <v/>
      </c>
      <c r="Q30" s="57">
        <f>IFERROR($G30/$E30,0)</f>
        <v/>
      </c>
      <c r="R30" s="36">
        <f>$E30*$N30</f>
        <v/>
      </c>
      <c r="S30" s="36">
        <f>$E30*($O30-$N30)</f>
        <v/>
      </c>
      <c r="T30" s="45">
        <f>IFERROR($E30/$D30-1,"")</f>
        <v/>
      </c>
      <c r="U30" s="45">
        <f>IFERROR($K30/$J30-1,"")</f>
        <v/>
      </c>
      <c r="V30" s="45">
        <f>IFERROR($T30-$U30,"")</f>
        <v/>
      </c>
    </row>
    <row r="31">
      <c r="A31" s="43" t="inlineStr">
        <is>
          <t>Qualifier</t>
        </is>
      </c>
      <c r="B31" s="43" t="inlineStr">
        <is>
          <t>Constellation Brands</t>
        </is>
      </c>
      <c r="C31" s="43" t="inlineStr">
        <is>
          <t>Modelo Especial</t>
        </is>
      </c>
      <c r="D31" s="33">
        <f>SUMIFS('Data - Season'!$E$5:$E$743,'Data - Season'!$B$5:$B$743,$A31,'Data - Season'!$C$5:$C$743,$B31,'Data - Season'!$D$5:$D$743,$C31)</f>
        <v/>
      </c>
      <c r="E31" s="33">
        <f>SUMIFS('Data - Season'!$F$5:$F$743,'Data - Season'!$B$5:$B$743,$A31,'Data - Season'!$C$5:$C$743,$B31,'Data - Season'!$D$5:$D$743,$C31)</f>
        <v/>
      </c>
      <c r="F31" s="36">
        <f>SUMIFS('Data - Season'!$G$5:$G$743,'Data - Season'!$B$5:$B$743,$A31,'Data - Season'!$C$5:$C$743,$B31,'Data - Season'!$D$5:$D$743,$C31)</f>
        <v/>
      </c>
      <c r="G31" s="36">
        <f>SUMIFS('Data - Season'!$H$5:$H$743,'Data - Season'!$B$5:$B$743,$A31,'Data - Season'!$C$5:$C$743,$B31,'Data - Season'!$D$5:$D$743,$C31)</f>
        <v/>
      </c>
      <c r="H31" s="36">
        <f>SUMIFS('Data - Season'!$I$5:$I$743,'Data - Season'!$B$5:$B$743,$A31,'Data - Season'!$C$5:$C$743,$B31,'Data - Season'!$D$5:$D$743,$C31)</f>
        <v/>
      </c>
      <c r="I31" s="36">
        <f>SUMIFS('Data - Season'!$J$5:$J$743,'Data - Season'!$B$5:$B$743,$A31,'Data - Season'!$C$5:$C$743,$B31,'Data - Season'!$D$5:$D$743,$C31)</f>
        <v/>
      </c>
      <c r="J31" s="33">
        <f>SUMIFS('Data - Pre'!$D$5:$D$36,'Data - Pre'!$A$5:$A$36,$A31,'Data - Pre'!$B$5:$B$36,$B31,'Data - Pre'!$C$5:$C$36,$C31)</f>
        <v/>
      </c>
      <c r="K31" s="33">
        <f>SUMIFS('Data - Pre'!$E$5:$E$36,'Data - Pre'!$A$5:$A$36,$A31,'Data - Pre'!$B$5:$B$36,$B31,'Data - Pre'!$C$5:$C$36,$C31)</f>
        <v/>
      </c>
      <c r="L31" s="36">
        <f>SUMIFS('Data - Pre'!$H$5:$H$36,'Data - Pre'!$A$5:$A$36,$A31,'Data - Pre'!$B$5:$B$36,$B31,'Data - Pre'!$C$5:$C$36,$C31)</f>
        <v/>
      </c>
      <c r="M31" s="36">
        <f>SUMIFS('Data - Pre'!$I$5:$I$36,'Data - Pre'!$A$5:$A$36,$A31,'Data - Pre'!$B$5:$B$36,$B31,'Data - Pre'!$C$5:$C$36,$C31)</f>
        <v/>
      </c>
      <c r="N31" s="57">
        <f>IFERROR($H31/$D31,0)</f>
        <v/>
      </c>
      <c r="O31" s="57">
        <f>IFERROR($I31/$E31,0)</f>
        <v/>
      </c>
      <c r="P31" s="57">
        <f>IFERROR($F31/$D31,0)</f>
        <v/>
      </c>
      <c r="Q31" s="57">
        <f>IFERROR($G31/$E31,0)</f>
        <v/>
      </c>
      <c r="R31" s="36">
        <f>$E31*$N31</f>
        <v/>
      </c>
      <c r="S31" s="36">
        <f>$E31*($O31-$N31)</f>
        <v/>
      </c>
      <c r="T31" s="45">
        <f>IFERROR($E31/$D31-1,"")</f>
        <v/>
      </c>
      <c r="U31" s="45">
        <f>IFERROR($K31/$J31-1,"")</f>
        <v/>
      </c>
      <c r="V31" s="45">
        <f>IFERROR($T31-$U31,"")</f>
        <v/>
      </c>
    </row>
    <row r="32">
      <c r="A32" s="43" t="inlineStr">
        <is>
          <t>Qualifier</t>
        </is>
      </c>
      <c r="B32" s="43" t="inlineStr">
        <is>
          <t>DG Yuengling Inc</t>
        </is>
      </c>
      <c r="C32" s="43" t="inlineStr">
        <is>
          <t>Yuengling Lager</t>
        </is>
      </c>
      <c r="D32" s="33">
        <f>SUMIFS('Data - Season'!$E$5:$E$743,'Data - Season'!$B$5:$B$743,$A32,'Data - Season'!$C$5:$C$743,$B32,'Data - Season'!$D$5:$D$743,$C32)</f>
        <v/>
      </c>
      <c r="E32" s="33">
        <f>SUMIFS('Data - Season'!$F$5:$F$743,'Data - Season'!$B$5:$B$743,$A32,'Data - Season'!$C$5:$C$743,$B32,'Data - Season'!$D$5:$D$743,$C32)</f>
        <v/>
      </c>
      <c r="F32" s="36">
        <f>SUMIFS('Data - Season'!$G$5:$G$743,'Data - Season'!$B$5:$B$743,$A32,'Data - Season'!$C$5:$C$743,$B32,'Data - Season'!$D$5:$D$743,$C32)</f>
        <v/>
      </c>
      <c r="G32" s="36">
        <f>SUMIFS('Data - Season'!$H$5:$H$743,'Data - Season'!$B$5:$B$743,$A32,'Data - Season'!$C$5:$C$743,$B32,'Data - Season'!$D$5:$D$743,$C32)</f>
        <v/>
      </c>
      <c r="H32" s="36">
        <f>SUMIFS('Data - Season'!$I$5:$I$743,'Data - Season'!$B$5:$B$743,$A32,'Data - Season'!$C$5:$C$743,$B32,'Data - Season'!$D$5:$D$743,$C32)</f>
        <v/>
      </c>
      <c r="I32" s="36">
        <f>SUMIFS('Data - Season'!$J$5:$J$743,'Data - Season'!$B$5:$B$743,$A32,'Data - Season'!$C$5:$C$743,$B32,'Data - Season'!$D$5:$D$743,$C32)</f>
        <v/>
      </c>
      <c r="J32" s="33">
        <f>SUMIFS('Data - Pre'!$D$5:$D$36,'Data - Pre'!$A$5:$A$36,$A32,'Data - Pre'!$B$5:$B$36,$B32,'Data - Pre'!$C$5:$C$36,$C32)</f>
        <v/>
      </c>
      <c r="K32" s="33">
        <f>SUMIFS('Data - Pre'!$E$5:$E$36,'Data - Pre'!$A$5:$A$36,$A32,'Data - Pre'!$B$5:$B$36,$B32,'Data - Pre'!$C$5:$C$36,$C32)</f>
        <v/>
      </c>
      <c r="L32" s="36">
        <f>SUMIFS('Data - Pre'!$H$5:$H$36,'Data - Pre'!$A$5:$A$36,$A32,'Data - Pre'!$B$5:$B$36,$B32,'Data - Pre'!$C$5:$C$36,$C32)</f>
        <v/>
      </c>
      <c r="M32" s="36">
        <f>SUMIFS('Data - Pre'!$I$5:$I$36,'Data - Pre'!$A$5:$A$36,$A32,'Data - Pre'!$B$5:$B$36,$B32,'Data - Pre'!$C$5:$C$36,$C32)</f>
        <v/>
      </c>
      <c r="N32" s="57">
        <f>IFERROR($H32/$D32,0)</f>
        <v/>
      </c>
      <c r="O32" s="57">
        <f>IFERROR($I32/$E32,0)</f>
        <v/>
      </c>
      <c r="P32" s="57">
        <f>IFERROR($F32/$D32,0)</f>
        <v/>
      </c>
      <c r="Q32" s="57">
        <f>IFERROR($G32/$E32,0)</f>
        <v/>
      </c>
      <c r="R32" s="36">
        <f>$E32*$N32</f>
        <v/>
      </c>
      <c r="S32" s="36">
        <f>$E32*($O32-$N32)</f>
        <v/>
      </c>
      <c r="T32" s="45">
        <f>IFERROR($E32/$D32-1,"")</f>
        <v/>
      </c>
      <c r="U32" s="45">
        <f>IFERROR($K32/$J32-1,"")</f>
        <v/>
      </c>
      <c r="V32" s="45">
        <f>IFERROR($T32-$U32,"")</f>
        <v/>
      </c>
    </row>
    <row r="33">
      <c r="A33" s="43" t="inlineStr">
        <is>
          <t>Qualifier</t>
        </is>
      </c>
      <c r="B33" s="43" t="inlineStr">
        <is>
          <t>Heineken USA</t>
        </is>
      </c>
      <c r="C33" s="43" t="inlineStr">
        <is>
          <t>Heineken USA</t>
        </is>
      </c>
      <c r="D33" s="33">
        <f>SUMIFS('Data - Season'!$E$5:$E$743,'Data - Season'!$B$5:$B$743,$A33,'Data - Season'!$C$5:$C$743,$B33,'Data - Season'!$D$5:$D$743,$C33)</f>
        <v/>
      </c>
      <c r="E33" s="33">
        <f>SUMIFS('Data - Season'!$F$5:$F$743,'Data - Season'!$B$5:$B$743,$A33,'Data - Season'!$C$5:$C$743,$B33,'Data - Season'!$D$5:$D$743,$C33)</f>
        <v/>
      </c>
      <c r="F33" s="36">
        <f>SUMIFS('Data - Season'!$G$5:$G$743,'Data - Season'!$B$5:$B$743,$A33,'Data - Season'!$C$5:$C$743,$B33,'Data - Season'!$D$5:$D$743,$C33)</f>
        <v/>
      </c>
      <c r="G33" s="36">
        <f>SUMIFS('Data - Season'!$H$5:$H$743,'Data - Season'!$B$5:$B$743,$A33,'Data - Season'!$C$5:$C$743,$B33,'Data - Season'!$D$5:$D$743,$C33)</f>
        <v/>
      </c>
      <c r="H33" s="36">
        <f>SUMIFS('Data - Season'!$I$5:$I$743,'Data - Season'!$B$5:$B$743,$A33,'Data - Season'!$C$5:$C$743,$B33,'Data - Season'!$D$5:$D$743,$C33)</f>
        <v/>
      </c>
      <c r="I33" s="36">
        <f>SUMIFS('Data - Season'!$J$5:$J$743,'Data - Season'!$B$5:$B$743,$A33,'Data - Season'!$C$5:$C$743,$B33,'Data - Season'!$D$5:$D$743,$C33)</f>
        <v/>
      </c>
      <c r="J33" s="33">
        <f>SUMIFS('Data - Pre'!$D$5:$D$36,'Data - Pre'!$A$5:$A$36,$A33,'Data - Pre'!$B$5:$B$36,$B33,'Data - Pre'!$C$5:$C$36,$C33)</f>
        <v/>
      </c>
      <c r="K33" s="33">
        <f>SUMIFS('Data - Pre'!$E$5:$E$36,'Data - Pre'!$A$5:$A$36,$A33,'Data - Pre'!$B$5:$B$36,$B33,'Data - Pre'!$C$5:$C$36,$C33)</f>
        <v/>
      </c>
      <c r="L33" s="36">
        <f>SUMIFS('Data - Pre'!$H$5:$H$36,'Data - Pre'!$A$5:$A$36,$A33,'Data - Pre'!$B$5:$B$36,$B33,'Data - Pre'!$C$5:$C$36,$C33)</f>
        <v/>
      </c>
      <c r="M33" s="36">
        <f>SUMIFS('Data - Pre'!$I$5:$I$36,'Data - Pre'!$A$5:$A$36,$A33,'Data - Pre'!$B$5:$B$36,$B33,'Data - Pre'!$C$5:$C$36,$C33)</f>
        <v/>
      </c>
      <c r="N33" s="57">
        <f>IFERROR($H33/$D33,0)</f>
        <v/>
      </c>
      <c r="O33" s="57">
        <f>IFERROR($I33/$E33,0)</f>
        <v/>
      </c>
      <c r="P33" s="57">
        <f>IFERROR($F33/$D33,0)</f>
        <v/>
      </c>
      <c r="Q33" s="57">
        <f>IFERROR($G33/$E33,0)</f>
        <v/>
      </c>
      <c r="R33" s="36">
        <f>$E33*$N33</f>
        <v/>
      </c>
      <c r="S33" s="36">
        <f>$E33*($O33-$N33)</f>
        <v/>
      </c>
      <c r="T33" s="45">
        <f>IFERROR($E33/$D33-1,"")</f>
        <v/>
      </c>
      <c r="U33" s="45">
        <f>IFERROR($K33/$J33-1,"")</f>
        <v/>
      </c>
      <c r="V33" s="45">
        <f>IFERROR($T33-$U33,"")</f>
        <v/>
      </c>
    </row>
    <row r="34">
      <c r="A34" s="43" t="inlineStr">
        <is>
          <t>Qualifier</t>
        </is>
      </c>
      <c r="B34" s="43" t="inlineStr">
        <is>
          <t>Mark Anthony</t>
        </is>
      </c>
      <c r="C34" s="43" t="inlineStr">
        <is>
          <t>White Claw</t>
        </is>
      </c>
      <c r="D34" s="33">
        <f>SUMIFS('Data - Season'!$E$5:$E$743,'Data - Season'!$B$5:$B$743,$A34,'Data - Season'!$C$5:$C$743,$B34,'Data - Season'!$D$5:$D$743,$C34)</f>
        <v/>
      </c>
      <c r="E34" s="33">
        <f>SUMIFS('Data - Season'!$F$5:$F$743,'Data - Season'!$B$5:$B$743,$A34,'Data - Season'!$C$5:$C$743,$B34,'Data - Season'!$D$5:$D$743,$C34)</f>
        <v/>
      </c>
      <c r="F34" s="36">
        <f>SUMIFS('Data - Season'!$G$5:$G$743,'Data - Season'!$B$5:$B$743,$A34,'Data - Season'!$C$5:$C$743,$B34,'Data - Season'!$D$5:$D$743,$C34)</f>
        <v/>
      </c>
      <c r="G34" s="36">
        <f>SUMIFS('Data - Season'!$H$5:$H$743,'Data - Season'!$B$5:$B$743,$A34,'Data - Season'!$C$5:$C$743,$B34,'Data - Season'!$D$5:$D$743,$C34)</f>
        <v/>
      </c>
      <c r="H34" s="36">
        <f>SUMIFS('Data - Season'!$I$5:$I$743,'Data - Season'!$B$5:$B$743,$A34,'Data - Season'!$C$5:$C$743,$B34,'Data - Season'!$D$5:$D$743,$C34)</f>
        <v/>
      </c>
      <c r="I34" s="36">
        <f>SUMIFS('Data - Season'!$J$5:$J$743,'Data - Season'!$B$5:$B$743,$A34,'Data - Season'!$C$5:$C$743,$B34,'Data - Season'!$D$5:$D$743,$C34)</f>
        <v/>
      </c>
      <c r="J34" s="33">
        <f>SUMIFS('Data - Pre'!$D$5:$D$36,'Data - Pre'!$A$5:$A$36,$A34,'Data - Pre'!$B$5:$B$36,$B34,'Data - Pre'!$C$5:$C$36,$C34)</f>
        <v/>
      </c>
      <c r="K34" s="33">
        <f>SUMIFS('Data - Pre'!$E$5:$E$36,'Data - Pre'!$A$5:$A$36,$A34,'Data - Pre'!$B$5:$B$36,$B34,'Data - Pre'!$C$5:$C$36,$C34)</f>
        <v/>
      </c>
      <c r="L34" s="36">
        <f>SUMIFS('Data - Pre'!$H$5:$H$36,'Data - Pre'!$A$5:$A$36,$A34,'Data - Pre'!$B$5:$B$36,$B34,'Data - Pre'!$C$5:$C$36,$C34)</f>
        <v/>
      </c>
      <c r="M34" s="36">
        <f>SUMIFS('Data - Pre'!$I$5:$I$36,'Data - Pre'!$A$5:$A$36,$A34,'Data - Pre'!$B$5:$B$36,$B34,'Data - Pre'!$C$5:$C$36,$C34)</f>
        <v/>
      </c>
      <c r="N34" s="57">
        <f>IFERROR($H34/$D34,0)</f>
        <v/>
      </c>
      <c r="O34" s="57">
        <f>IFERROR($I34/$E34,0)</f>
        <v/>
      </c>
      <c r="P34" s="57">
        <f>IFERROR($F34/$D34,0)</f>
        <v/>
      </c>
      <c r="Q34" s="57">
        <f>IFERROR($G34/$E34,0)</f>
        <v/>
      </c>
      <c r="R34" s="36">
        <f>$E34*$N34</f>
        <v/>
      </c>
      <c r="S34" s="36">
        <f>$E34*($O34-$N34)</f>
        <v/>
      </c>
      <c r="T34" s="45">
        <f>IFERROR($E34/$D34-1,"")</f>
        <v/>
      </c>
      <c r="U34" s="45">
        <f>IFERROR($K34/$J34-1,"")</f>
        <v/>
      </c>
      <c r="V34" s="45">
        <f>IFERROR($T34-$U34,"")</f>
        <v/>
      </c>
    </row>
    <row r="35">
      <c r="A35" s="43" t="inlineStr">
        <is>
          <t>Qualifier</t>
        </is>
      </c>
      <c r="B35" s="43" t="inlineStr">
        <is>
          <t>MolsonCoors Beverage Company</t>
        </is>
      </c>
      <c r="C35" s="43" t="inlineStr">
        <is>
          <t>Blue Moon</t>
        </is>
      </c>
      <c r="D35" s="33">
        <f>SUMIFS('Data - Season'!$E$5:$E$743,'Data - Season'!$B$5:$B$743,$A35,'Data - Season'!$C$5:$C$743,$B35,'Data - Season'!$D$5:$D$743,$C35)</f>
        <v/>
      </c>
      <c r="E35" s="33">
        <f>SUMIFS('Data - Season'!$F$5:$F$743,'Data - Season'!$B$5:$B$743,$A35,'Data - Season'!$C$5:$C$743,$B35,'Data - Season'!$D$5:$D$743,$C35)</f>
        <v/>
      </c>
      <c r="F35" s="36">
        <f>SUMIFS('Data - Season'!$G$5:$G$743,'Data - Season'!$B$5:$B$743,$A35,'Data - Season'!$C$5:$C$743,$B35,'Data - Season'!$D$5:$D$743,$C35)</f>
        <v/>
      </c>
      <c r="G35" s="36">
        <f>SUMIFS('Data - Season'!$H$5:$H$743,'Data - Season'!$B$5:$B$743,$A35,'Data - Season'!$C$5:$C$743,$B35,'Data - Season'!$D$5:$D$743,$C35)</f>
        <v/>
      </c>
      <c r="H35" s="36">
        <f>SUMIFS('Data - Season'!$I$5:$I$743,'Data - Season'!$B$5:$B$743,$A35,'Data - Season'!$C$5:$C$743,$B35,'Data - Season'!$D$5:$D$743,$C35)</f>
        <v/>
      </c>
      <c r="I35" s="36">
        <f>SUMIFS('Data - Season'!$J$5:$J$743,'Data - Season'!$B$5:$B$743,$A35,'Data - Season'!$C$5:$C$743,$B35,'Data - Season'!$D$5:$D$743,$C35)</f>
        <v/>
      </c>
      <c r="J35" s="33">
        <f>SUMIFS('Data - Pre'!$D$5:$D$36,'Data - Pre'!$A$5:$A$36,$A35,'Data - Pre'!$B$5:$B$36,$B35,'Data - Pre'!$C$5:$C$36,$C35)</f>
        <v/>
      </c>
      <c r="K35" s="33">
        <f>SUMIFS('Data - Pre'!$E$5:$E$36,'Data - Pre'!$A$5:$A$36,$A35,'Data - Pre'!$B$5:$B$36,$B35,'Data - Pre'!$C$5:$C$36,$C35)</f>
        <v/>
      </c>
      <c r="L35" s="36">
        <f>SUMIFS('Data - Pre'!$H$5:$H$36,'Data - Pre'!$A$5:$A$36,$A35,'Data - Pre'!$B$5:$B$36,$B35,'Data - Pre'!$C$5:$C$36,$C35)</f>
        <v/>
      </c>
      <c r="M35" s="36">
        <f>SUMIFS('Data - Pre'!$I$5:$I$36,'Data - Pre'!$A$5:$A$36,$A35,'Data - Pre'!$B$5:$B$36,$B35,'Data - Pre'!$C$5:$C$36,$C35)</f>
        <v/>
      </c>
      <c r="N35" s="57">
        <f>IFERROR($H35/$D35,0)</f>
        <v/>
      </c>
      <c r="O35" s="57">
        <f>IFERROR($I35/$E35,0)</f>
        <v/>
      </c>
      <c r="P35" s="57">
        <f>IFERROR($F35/$D35,0)</f>
        <v/>
      </c>
      <c r="Q35" s="57">
        <f>IFERROR($G35/$E35,0)</f>
        <v/>
      </c>
      <c r="R35" s="36">
        <f>$E35*$N35</f>
        <v/>
      </c>
      <c r="S35" s="36">
        <f>$E35*($O35-$N35)</f>
        <v/>
      </c>
      <c r="T35" s="45">
        <f>IFERROR($E35/$D35-1,"")</f>
        <v/>
      </c>
      <c r="U35" s="45">
        <f>IFERROR($K35/$J35-1,"")</f>
        <v/>
      </c>
      <c r="V35" s="45">
        <f>IFERROR($T35-$U35,"")</f>
        <v/>
      </c>
    </row>
    <row r="36">
      <c r="A36" s="43" t="inlineStr">
        <is>
          <t>Qualifier</t>
        </is>
      </c>
      <c r="B36" s="43" t="inlineStr">
        <is>
          <t>MolsonCoors Beverage Company</t>
        </is>
      </c>
      <c r="C36" s="43" t="inlineStr">
        <is>
          <t>Coors Light</t>
        </is>
      </c>
      <c r="D36" s="33">
        <f>SUMIFS('Data - Season'!$E$5:$E$743,'Data - Season'!$B$5:$B$743,$A36,'Data - Season'!$C$5:$C$743,$B36,'Data - Season'!$D$5:$D$743,$C36)</f>
        <v/>
      </c>
      <c r="E36" s="33">
        <f>SUMIFS('Data - Season'!$F$5:$F$743,'Data - Season'!$B$5:$B$743,$A36,'Data - Season'!$C$5:$C$743,$B36,'Data - Season'!$D$5:$D$743,$C36)</f>
        <v/>
      </c>
      <c r="F36" s="36">
        <f>SUMIFS('Data - Season'!$G$5:$G$743,'Data - Season'!$B$5:$B$743,$A36,'Data - Season'!$C$5:$C$743,$B36,'Data - Season'!$D$5:$D$743,$C36)</f>
        <v/>
      </c>
      <c r="G36" s="36">
        <f>SUMIFS('Data - Season'!$H$5:$H$743,'Data - Season'!$B$5:$B$743,$A36,'Data - Season'!$C$5:$C$743,$B36,'Data - Season'!$D$5:$D$743,$C36)</f>
        <v/>
      </c>
      <c r="H36" s="36">
        <f>SUMIFS('Data - Season'!$I$5:$I$743,'Data - Season'!$B$5:$B$743,$A36,'Data - Season'!$C$5:$C$743,$B36,'Data - Season'!$D$5:$D$743,$C36)</f>
        <v/>
      </c>
      <c r="I36" s="36">
        <f>SUMIFS('Data - Season'!$J$5:$J$743,'Data - Season'!$B$5:$B$743,$A36,'Data - Season'!$C$5:$C$743,$B36,'Data - Season'!$D$5:$D$743,$C36)</f>
        <v/>
      </c>
      <c r="J36" s="33">
        <f>SUMIFS('Data - Pre'!$D$5:$D$36,'Data - Pre'!$A$5:$A$36,$A36,'Data - Pre'!$B$5:$B$36,$B36,'Data - Pre'!$C$5:$C$36,$C36)</f>
        <v/>
      </c>
      <c r="K36" s="33">
        <f>SUMIFS('Data - Pre'!$E$5:$E$36,'Data - Pre'!$A$5:$A$36,$A36,'Data - Pre'!$B$5:$B$36,$B36,'Data - Pre'!$C$5:$C$36,$C36)</f>
        <v/>
      </c>
      <c r="L36" s="36">
        <f>SUMIFS('Data - Pre'!$H$5:$H$36,'Data - Pre'!$A$5:$A$36,$A36,'Data - Pre'!$B$5:$B$36,$B36,'Data - Pre'!$C$5:$C$36,$C36)</f>
        <v/>
      </c>
      <c r="M36" s="36">
        <f>SUMIFS('Data - Pre'!$I$5:$I$36,'Data - Pre'!$A$5:$A$36,$A36,'Data - Pre'!$B$5:$B$36,$B36,'Data - Pre'!$C$5:$C$36,$C36)</f>
        <v/>
      </c>
      <c r="N36" s="57">
        <f>IFERROR($H36/$D36,0)</f>
        <v/>
      </c>
      <c r="O36" s="57">
        <f>IFERROR($I36/$E36,0)</f>
        <v/>
      </c>
      <c r="P36" s="57">
        <f>IFERROR($F36/$D36,0)</f>
        <v/>
      </c>
      <c r="Q36" s="57">
        <f>IFERROR($G36/$E36,0)</f>
        <v/>
      </c>
      <c r="R36" s="36">
        <f>$E36*$N36</f>
        <v/>
      </c>
      <c r="S36" s="36">
        <f>$E36*($O36-$N36)</f>
        <v/>
      </c>
      <c r="T36" s="45">
        <f>IFERROR($E36/$D36-1,"")</f>
        <v/>
      </c>
      <c r="U36" s="45">
        <f>IFERROR($K36/$J36-1,"")</f>
        <v/>
      </c>
      <c r="V36" s="45">
        <f>IFERROR($T36-$U36,"")</f>
        <v/>
      </c>
    </row>
    <row r="37">
      <c r="A37" s="43" t="inlineStr">
        <is>
          <t>Qualifier</t>
        </is>
      </c>
      <c r="B37" s="43" t="inlineStr">
        <is>
          <t>MolsonCoors Beverage Company</t>
        </is>
      </c>
      <c r="C37" s="43" t="inlineStr">
        <is>
          <t>Lite</t>
        </is>
      </c>
      <c r="D37" s="33">
        <f>SUMIFS('Data - Season'!$E$5:$E$743,'Data - Season'!$B$5:$B$743,$A37,'Data - Season'!$C$5:$C$743,$B37,'Data - Season'!$D$5:$D$743,$C37)</f>
        <v/>
      </c>
      <c r="E37" s="33">
        <f>SUMIFS('Data - Season'!$F$5:$F$743,'Data - Season'!$B$5:$B$743,$A37,'Data - Season'!$C$5:$C$743,$B37,'Data - Season'!$D$5:$D$743,$C37)</f>
        <v/>
      </c>
      <c r="F37" s="36">
        <f>SUMIFS('Data - Season'!$G$5:$G$743,'Data - Season'!$B$5:$B$743,$A37,'Data - Season'!$C$5:$C$743,$B37,'Data - Season'!$D$5:$D$743,$C37)</f>
        <v/>
      </c>
      <c r="G37" s="36">
        <f>SUMIFS('Data - Season'!$H$5:$H$743,'Data - Season'!$B$5:$B$743,$A37,'Data - Season'!$C$5:$C$743,$B37,'Data - Season'!$D$5:$D$743,$C37)</f>
        <v/>
      </c>
      <c r="H37" s="36">
        <f>SUMIFS('Data - Season'!$I$5:$I$743,'Data - Season'!$B$5:$B$743,$A37,'Data - Season'!$C$5:$C$743,$B37,'Data - Season'!$D$5:$D$743,$C37)</f>
        <v/>
      </c>
      <c r="I37" s="36">
        <f>SUMIFS('Data - Season'!$J$5:$J$743,'Data - Season'!$B$5:$B$743,$A37,'Data - Season'!$C$5:$C$743,$B37,'Data - Season'!$D$5:$D$743,$C37)</f>
        <v/>
      </c>
      <c r="J37" s="33">
        <f>SUMIFS('Data - Pre'!$D$5:$D$36,'Data - Pre'!$A$5:$A$36,$A37,'Data - Pre'!$B$5:$B$36,$B37,'Data - Pre'!$C$5:$C$36,$C37)</f>
        <v/>
      </c>
      <c r="K37" s="33">
        <f>SUMIFS('Data - Pre'!$E$5:$E$36,'Data - Pre'!$A$5:$A$36,$A37,'Data - Pre'!$B$5:$B$36,$B37,'Data - Pre'!$C$5:$C$36,$C37)</f>
        <v/>
      </c>
      <c r="L37" s="36">
        <f>SUMIFS('Data - Pre'!$H$5:$H$36,'Data - Pre'!$A$5:$A$36,$A37,'Data - Pre'!$B$5:$B$36,$B37,'Data - Pre'!$C$5:$C$36,$C37)</f>
        <v/>
      </c>
      <c r="M37" s="36">
        <f>SUMIFS('Data - Pre'!$I$5:$I$36,'Data - Pre'!$A$5:$A$36,$A37,'Data - Pre'!$B$5:$B$36,$B37,'Data - Pre'!$C$5:$C$36,$C37)</f>
        <v/>
      </c>
      <c r="N37" s="57">
        <f>IFERROR($H37/$D37,0)</f>
        <v/>
      </c>
      <c r="O37" s="57">
        <f>IFERROR($I37/$E37,0)</f>
        <v/>
      </c>
      <c r="P37" s="57">
        <f>IFERROR($F37/$D37,0)</f>
        <v/>
      </c>
      <c r="Q37" s="57">
        <f>IFERROR($G37/$E37,0)</f>
        <v/>
      </c>
      <c r="R37" s="36">
        <f>$E37*$N37</f>
        <v/>
      </c>
      <c r="S37" s="36">
        <f>$E37*($O37-$N37)</f>
        <v/>
      </c>
      <c r="T37" s="45">
        <f>IFERROR($E37/$D37-1,"")</f>
        <v/>
      </c>
      <c r="U37" s="45">
        <f>IFERROR($K37/$J37-1,"")</f>
        <v/>
      </c>
      <c r="V37" s="45">
        <f>IFERROR($T37-$U37,"")</f>
        <v/>
      </c>
    </row>
    <row r="38">
      <c r="A38" s="17" t="inlineStr">
        <is>
          <t>TOTAL</t>
        </is>
      </c>
      <c r="D38" s="44">
        <f>SUM(D6:D37)</f>
        <v/>
      </c>
      <c r="E38" s="44">
        <f>SUM(E6:E37)</f>
        <v/>
      </c>
      <c r="F38" s="48">
        <f>SUM(F6:F37)</f>
        <v/>
      </c>
      <c r="G38" s="48">
        <f>SUM(G6:G37)</f>
        <v/>
      </c>
      <c r="H38" s="48">
        <f>SUM(H6:H37)</f>
        <v/>
      </c>
      <c r="I38" s="48">
        <f>SUM(I6:I37)</f>
        <v/>
      </c>
      <c r="J38" s="44">
        <f>SUM(J6:J37)</f>
        <v/>
      </c>
      <c r="K38" s="44">
        <f>SUM(K6:K37)</f>
        <v/>
      </c>
      <c r="L38" s="48">
        <f>SUM(L6:L37)</f>
        <v/>
      </c>
      <c r="M38" s="48">
        <f>SUM(M6:M37)</f>
        <v/>
      </c>
      <c r="R38" s="48">
        <f>SUM(R6:R37)</f>
        <v/>
      </c>
      <c r="S38" s="48">
        <f>SUM(S6:S37)</f>
        <v/>
      </c>
    </row>
  </sheetData>
  <autoFilter ref="A5:V3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97"/>
  <sheetViews>
    <sheetView showGridLines="0" workbookViewId="0">
      <pane ySplit="4" topLeftCell="A5" activePane="bottomLeft" state="frozen"/>
      <selection pane="bottomLeft" activeCell="A1" sqref="A1"/>
    </sheetView>
  </sheetViews>
  <sheetFormatPr baseColWidth="8" defaultRowHeight="15"/>
  <cols>
    <col width="28" customWidth="1" min="1" max="1"/>
    <col width="26" customWidth="1" min="2" max="2"/>
    <col width="11" customWidth="1" min="3" max="3"/>
    <col width="11" customWidth="1" min="4" max="4"/>
    <col width="14" customWidth="1" min="5" max="5"/>
    <col width="14" customWidth="1" min="6" max="6"/>
    <col width="13" customWidth="1" min="7" max="7"/>
    <col width="13" customWidth="1" min="8" max="8"/>
    <col width="12" customWidth="1" min="9" max="9"/>
    <col width="12" customWidth="1" min="10" max="10"/>
    <col width="14" customWidth="1" min="11" max="11"/>
    <col width="12" customWidth="1" min="12" max="12"/>
    <col width="11" customWidth="1" min="13" max="13"/>
  </cols>
  <sheetData>
    <row r="1">
      <c r="A1" s="24" t="inlineStr">
        <is>
          <t>Non-program brands — Jun–Aug, brand level</t>
        </is>
      </c>
    </row>
    <row r="2">
      <c r="A2" s="2" t="inlineStr">
        <is>
          <t>The control set: every brand NOT in Summer of Success. SUMIFS off Data - Control.</t>
        </is>
      </c>
    </row>
    <row r="4" ht="32" customHeight="1">
      <c r="A4" s="6" t="inlineStr">
        <is>
          <t>Supplier</t>
        </is>
      </c>
      <c r="B4" s="6" t="inlineStr">
        <is>
          <t>Brand Family</t>
        </is>
      </c>
      <c r="C4" s="6" t="inlineStr">
        <is>
          <t>CE 2025</t>
        </is>
      </c>
      <c r="D4" s="6" t="inlineStr">
        <is>
          <t>CE 2026</t>
        </is>
      </c>
      <c r="E4" s="6" t="inlineStr">
        <is>
          <t>Rev 2025</t>
        </is>
      </c>
      <c r="F4" s="6" t="inlineStr">
        <is>
          <t>Rev 2026</t>
        </is>
      </c>
      <c r="G4" s="6" t="inlineStr">
        <is>
          <t>GP 2025</t>
        </is>
      </c>
      <c r="H4" s="6" t="inlineStr">
        <is>
          <t>GP 2026</t>
        </is>
      </c>
      <c r="I4" s="6" t="inlineStr">
        <is>
          <t>GP/CE 2025</t>
        </is>
      </c>
      <c r="J4" s="6" t="inlineStr">
        <is>
          <t>GP/CE 2026</t>
        </is>
      </c>
      <c r="K4" s="6" t="inlineStr">
        <is>
          <t>GP26 at LY rate</t>
        </is>
      </c>
      <c r="L4" s="6" t="inlineStr">
        <is>
          <t>Rate effect</t>
        </is>
      </c>
      <c r="M4" s="6" t="inlineStr">
        <is>
          <t>Cases %</t>
        </is>
      </c>
    </row>
    <row r="5">
      <c r="A5" s="43" t="inlineStr">
        <is>
          <t>1925 Spirits LLC</t>
        </is>
      </c>
      <c r="B5" s="43" t="inlineStr">
        <is>
          <t>Leyenda 1925</t>
        </is>
      </c>
      <c r="C5" s="33">
        <f>SUMIFS('Data - Control'!$C$5:$C$296,'Data - Control'!$A$5:$A$296,$A5,'Data - Control'!$B$5:$B$296,$B5)</f>
        <v/>
      </c>
      <c r="D5" s="33">
        <f>SUMIFS('Data - Control'!$D$5:$D$296,'Data - Control'!$A$5:$A$296,$A5,'Data - Control'!$B$5:$B$296,$B5)</f>
        <v/>
      </c>
      <c r="E5" s="36">
        <f>SUMIFS('Data - Control'!$E$5:$E$296,'Data - Control'!$A$5:$A$296,$A5,'Data - Control'!$B$5:$B$296,$B5)</f>
        <v/>
      </c>
      <c r="F5" s="36">
        <f>SUMIFS('Data - Control'!$F$5:$F$296,'Data - Control'!$A$5:$A$296,$A5,'Data - Control'!$B$5:$B$296,$B5)</f>
        <v/>
      </c>
      <c r="G5" s="36">
        <f>SUMIFS('Data - Control'!$G$5:$G$296,'Data - Control'!$A$5:$A$296,$A5,'Data - Control'!$B$5:$B$296,$B5)</f>
        <v/>
      </c>
      <c r="H5" s="36">
        <f>SUMIFS('Data - Control'!$H$5:$H$296,'Data - Control'!$A$5:$A$296,$A5,'Data - Control'!$B$5:$B$296,$B5)</f>
        <v/>
      </c>
      <c r="I5" s="57">
        <f>IFERROR($G5/$C5,0)</f>
        <v/>
      </c>
      <c r="J5" s="57">
        <f>IFERROR($H5/$D5,0)</f>
        <v/>
      </c>
      <c r="K5" s="36">
        <f>$D5*$I5</f>
        <v/>
      </c>
      <c r="L5" s="36">
        <f>$D5*($J5-$I5)</f>
        <v/>
      </c>
      <c r="M5" s="45">
        <f>IFERROR($D5/$C5-1,"")</f>
        <v/>
      </c>
    </row>
    <row r="6">
      <c r="A6" s="43" t="inlineStr">
        <is>
          <t>2 Towns Ciderhouse</t>
        </is>
      </c>
      <c r="B6" s="43" t="inlineStr">
        <is>
          <t>Craftwell</t>
        </is>
      </c>
      <c r="C6" s="33">
        <f>SUMIFS('Data - Control'!$C$5:$C$296,'Data - Control'!$A$5:$A$296,$A6,'Data - Control'!$B$5:$B$296,$B6)</f>
        <v/>
      </c>
      <c r="D6" s="33">
        <f>SUMIFS('Data - Control'!$D$5:$D$296,'Data - Control'!$A$5:$A$296,$A6,'Data - Control'!$B$5:$B$296,$B6)</f>
        <v/>
      </c>
      <c r="E6" s="36">
        <f>SUMIFS('Data - Control'!$E$5:$E$296,'Data - Control'!$A$5:$A$296,$A6,'Data - Control'!$B$5:$B$296,$B6)</f>
        <v/>
      </c>
      <c r="F6" s="36">
        <f>SUMIFS('Data - Control'!$F$5:$F$296,'Data - Control'!$A$5:$A$296,$A6,'Data - Control'!$B$5:$B$296,$B6)</f>
        <v/>
      </c>
      <c r="G6" s="36">
        <f>SUMIFS('Data - Control'!$G$5:$G$296,'Data - Control'!$A$5:$A$296,$A6,'Data - Control'!$B$5:$B$296,$B6)</f>
        <v/>
      </c>
      <c r="H6" s="36">
        <f>SUMIFS('Data - Control'!$H$5:$H$296,'Data - Control'!$A$5:$A$296,$A6,'Data - Control'!$B$5:$B$296,$B6)</f>
        <v/>
      </c>
      <c r="I6" s="57">
        <f>IFERROR($G6/$C6,0)</f>
        <v/>
      </c>
      <c r="J6" s="57">
        <f>IFERROR($H6/$D6,0)</f>
        <v/>
      </c>
      <c r="K6" s="36">
        <f>$D6*$I6</f>
        <v/>
      </c>
      <c r="L6" s="36">
        <f>$D6*($J6-$I6)</f>
        <v/>
      </c>
      <c r="M6" s="45">
        <f>IFERROR($D6/$C6-1,"")</f>
        <v/>
      </c>
    </row>
    <row r="7">
      <c r="A7" s="43" t="inlineStr">
        <is>
          <t>Alias Brew Works</t>
        </is>
      </c>
      <c r="B7" s="43" t="inlineStr">
        <is>
          <t>Alias Brew Works</t>
        </is>
      </c>
      <c r="C7" s="33">
        <f>SUMIFS('Data - Control'!$C$5:$C$296,'Data - Control'!$A$5:$A$296,$A7,'Data - Control'!$B$5:$B$296,$B7)</f>
        <v/>
      </c>
      <c r="D7" s="33">
        <f>SUMIFS('Data - Control'!$D$5:$D$296,'Data - Control'!$A$5:$A$296,$A7,'Data - Control'!$B$5:$B$296,$B7)</f>
        <v/>
      </c>
      <c r="E7" s="36">
        <f>SUMIFS('Data - Control'!$E$5:$E$296,'Data - Control'!$A$5:$A$296,$A7,'Data - Control'!$B$5:$B$296,$B7)</f>
        <v/>
      </c>
      <c r="F7" s="36">
        <f>SUMIFS('Data - Control'!$F$5:$F$296,'Data - Control'!$A$5:$A$296,$A7,'Data - Control'!$B$5:$B$296,$B7)</f>
        <v/>
      </c>
      <c r="G7" s="36">
        <f>SUMIFS('Data - Control'!$G$5:$G$296,'Data - Control'!$A$5:$A$296,$A7,'Data - Control'!$B$5:$B$296,$B7)</f>
        <v/>
      </c>
      <c r="H7" s="36">
        <f>SUMIFS('Data - Control'!$H$5:$H$296,'Data - Control'!$A$5:$A$296,$A7,'Data - Control'!$B$5:$B$296,$B7)</f>
        <v/>
      </c>
      <c r="I7" s="57">
        <f>IFERROR($G7/$C7,0)</f>
        <v/>
      </c>
      <c r="J7" s="57">
        <f>IFERROR($H7/$D7,0)</f>
        <v/>
      </c>
      <c r="K7" s="36">
        <f>$D7*$I7</f>
        <v/>
      </c>
      <c r="L7" s="36">
        <f>$D7*($J7-$I7)</f>
        <v/>
      </c>
      <c r="M7" s="45">
        <f>IFERROR($D7/$C7-1,"")</f>
        <v/>
      </c>
    </row>
    <row r="8">
      <c r="A8" s="43" t="inlineStr">
        <is>
          <t>Alte Beverage</t>
        </is>
      </c>
      <c r="B8" s="43" t="inlineStr">
        <is>
          <t>Alte Beverage</t>
        </is>
      </c>
      <c r="C8" s="33">
        <f>SUMIFS('Data - Control'!$C$5:$C$296,'Data - Control'!$A$5:$A$296,$A8,'Data - Control'!$B$5:$B$296,$B8)</f>
        <v/>
      </c>
      <c r="D8" s="33">
        <f>SUMIFS('Data - Control'!$D$5:$D$296,'Data - Control'!$A$5:$A$296,$A8,'Data - Control'!$B$5:$B$296,$B8)</f>
        <v/>
      </c>
      <c r="E8" s="36">
        <f>SUMIFS('Data - Control'!$E$5:$E$296,'Data - Control'!$A$5:$A$296,$A8,'Data - Control'!$B$5:$B$296,$B8)</f>
        <v/>
      </c>
      <c r="F8" s="36">
        <f>SUMIFS('Data - Control'!$F$5:$F$296,'Data - Control'!$A$5:$A$296,$A8,'Data - Control'!$B$5:$B$296,$B8)</f>
        <v/>
      </c>
      <c r="G8" s="36">
        <f>SUMIFS('Data - Control'!$G$5:$G$296,'Data - Control'!$A$5:$A$296,$A8,'Data - Control'!$B$5:$B$296,$B8)</f>
        <v/>
      </c>
      <c r="H8" s="36">
        <f>SUMIFS('Data - Control'!$H$5:$H$296,'Data - Control'!$A$5:$A$296,$A8,'Data - Control'!$B$5:$B$296,$B8)</f>
        <v/>
      </c>
      <c r="I8" s="57">
        <f>IFERROR($G8/$C8,0)</f>
        <v/>
      </c>
      <c r="J8" s="57">
        <f>IFERROR($H8/$D8,0)</f>
        <v/>
      </c>
      <c r="K8" s="36">
        <f>$D8*$I8</f>
        <v/>
      </c>
      <c r="L8" s="36">
        <f>$D8*($J8-$I8)</f>
        <v/>
      </c>
      <c r="M8" s="45">
        <f>IFERROR($D8/$C8-1,"")</f>
        <v/>
      </c>
    </row>
    <row r="9">
      <c r="A9" s="43" t="inlineStr">
        <is>
          <t>American Fruits</t>
        </is>
      </c>
      <c r="B9" s="43" t="inlineStr">
        <is>
          <t>American Fruit</t>
        </is>
      </c>
      <c r="C9" s="33">
        <f>SUMIFS('Data - Control'!$C$5:$C$296,'Data - Control'!$A$5:$A$296,$A9,'Data - Control'!$B$5:$B$296,$B9)</f>
        <v/>
      </c>
      <c r="D9" s="33">
        <f>SUMIFS('Data - Control'!$D$5:$D$296,'Data - Control'!$A$5:$A$296,$A9,'Data - Control'!$B$5:$B$296,$B9)</f>
        <v/>
      </c>
      <c r="E9" s="36">
        <f>SUMIFS('Data - Control'!$E$5:$E$296,'Data - Control'!$A$5:$A$296,$A9,'Data - Control'!$B$5:$B$296,$B9)</f>
        <v/>
      </c>
      <c r="F9" s="36">
        <f>SUMIFS('Data - Control'!$F$5:$F$296,'Data - Control'!$A$5:$A$296,$A9,'Data - Control'!$B$5:$B$296,$B9)</f>
        <v/>
      </c>
      <c r="G9" s="36">
        <f>SUMIFS('Data - Control'!$G$5:$G$296,'Data - Control'!$A$5:$A$296,$A9,'Data - Control'!$B$5:$B$296,$B9)</f>
        <v/>
      </c>
      <c r="H9" s="36">
        <f>SUMIFS('Data - Control'!$H$5:$H$296,'Data - Control'!$A$5:$A$296,$A9,'Data - Control'!$B$5:$B$296,$B9)</f>
        <v/>
      </c>
      <c r="I9" s="57">
        <f>IFERROR($G9/$C9,0)</f>
        <v/>
      </c>
      <c r="J9" s="57">
        <f>IFERROR($H9/$D9,0)</f>
        <v/>
      </c>
      <c r="K9" s="36">
        <f>$D9*$I9</f>
        <v/>
      </c>
      <c r="L9" s="36">
        <f>$D9*($J9-$I9)</f>
        <v/>
      </c>
      <c r="M9" s="45">
        <f>IFERROR($D9/$C9-1,"")</f>
        <v/>
      </c>
    </row>
    <row r="10">
      <c r="A10" s="43" t="inlineStr">
        <is>
          <t>Artisanal Imports</t>
        </is>
      </c>
      <c r="B10" s="43" t="inlineStr">
        <is>
          <t>Palma</t>
        </is>
      </c>
      <c r="C10" s="33">
        <f>SUMIFS('Data - Control'!$C$5:$C$296,'Data - Control'!$A$5:$A$296,$A10,'Data - Control'!$B$5:$B$296,$B10)</f>
        <v/>
      </c>
      <c r="D10" s="33">
        <f>SUMIFS('Data - Control'!$D$5:$D$296,'Data - Control'!$A$5:$A$296,$A10,'Data - Control'!$B$5:$B$296,$B10)</f>
        <v/>
      </c>
      <c r="E10" s="36">
        <f>SUMIFS('Data - Control'!$E$5:$E$296,'Data - Control'!$A$5:$A$296,$A10,'Data - Control'!$B$5:$B$296,$B10)</f>
        <v/>
      </c>
      <c r="F10" s="36">
        <f>SUMIFS('Data - Control'!$F$5:$F$296,'Data - Control'!$A$5:$A$296,$A10,'Data - Control'!$B$5:$B$296,$B10)</f>
        <v/>
      </c>
      <c r="G10" s="36">
        <f>SUMIFS('Data - Control'!$G$5:$G$296,'Data - Control'!$A$5:$A$296,$A10,'Data - Control'!$B$5:$B$296,$B10)</f>
        <v/>
      </c>
      <c r="H10" s="36">
        <f>SUMIFS('Data - Control'!$H$5:$H$296,'Data - Control'!$A$5:$A$296,$A10,'Data - Control'!$B$5:$B$296,$B10)</f>
        <v/>
      </c>
      <c r="I10" s="57">
        <f>IFERROR($G10/$C10,0)</f>
        <v/>
      </c>
      <c r="J10" s="57">
        <f>IFERROR($H10/$D10,0)</f>
        <v/>
      </c>
      <c r="K10" s="36">
        <f>$D10*$I10</f>
        <v/>
      </c>
      <c r="L10" s="36">
        <f>$D10*($J10-$I10)</f>
        <v/>
      </c>
      <c r="M10" s="45">
        <f>IFERROR($D10/$C10-1,"")</f>
        <v/>
      </c>
    </row>
    <row r="11">
      <c r="A11" s="43" t="inlineStr">
        <is>
          <t>Artisanal Imports</t>
        </is>
      </c>
      <c r="B11" s="43" t="inlineStr">
        <is>
          <t>Tona</t>
        </is>
      </c>
      <c r="C11" s="33">
        <f>SUMIFS('Data - Control'!$C$5:$C$296,'Data - Control'!$A$5:$A$296,$A11,'Data - Control'!$B$5:$B$296,$B11)</f>
        <v/>
      </c>
      <c r="D11" s="33">
        <f>SUMIFS('Data - Control'!$D$5:$D$296,'Data - Control'!$A$5:$A$296,$A11,'Data - Control'!$B$5:$B$296,$B11)</f>
        <v/>
      </c>
      <c r="E11" s="36">
        <f>SUMIFS('Data - Control'!$E$5:$E$296,'Data - Control'!$A$5:$A$296,$A11,'Data - Control'!$B$5:$B$296,$B11)</f>
        <v/>
      </c>
      <c r="F11" s="36">
        <f>SUMIFS('Data - Control'!$F$5:$F$296,'Data - Control'!$A$5:$A$296,$A11,'Data - Control'!$B$5:$B$296,$B11)</f>
        <v/>
      </c>
      <c r="G11" s="36">
        <f>SUMIFS('Data - Control'!$G$5:$G$296,'Data - Control'!$A$5:$A$296,$A11,'Data - Control'!$B$5:$B$296,$B11)</f>
        <v/>
      </c>
      <c r="H11" s="36">
        <f>SUMIFS('Data - Control'!$H$5:$H$296,'Data - Control'!$A$5:$A$296,$A11,'Data - Control'!$B$5:$B$296,$B11)</f>
        <v/>
      </c>
      <c r="I11" s="57">
        <f>IFERROR($G11/$C11,0)</f>
        <v/>
      </c>
      <c r="J11" s="57">
        <f>IFERROR($H11/$D11,0)</f>
        <v/>
      </c>
      <c r="K11" s="36">
        <f>$D11*$I11</f>
        <v/>
      </c>
      <c r="L11" s="36">
        <f>$D11*($J11-$I11)</f>
        <v/>
      </c>
      <c r="M11" s="45">
        <f>IFERROR($D11/$C11-1,"")</f>
        <v/>
      </c>
    </row>
    <row r="12">
      <c r="A12" s="43" t="inlineStr">
        <is>
          <t>Athletic Brewing Company</t>
        </is>
      </c>
      <c r="B12" s="43" t="inlineStr">
        <is>
          <t>Athletic</t>
        </is>
      </c>
      <c r="C12" s="33">
        <f>SUMIFS('Data - Control'!$C$5:$C$296,'Data - Control'!$A$5:$A$296,$A12,'Data - Control'!$B$5:$B$296,$B12)</f>
        <v/>
      </c>
      <c r="D12" s="33">
        <f>SUMIFS('Data - Control'!$D$5:$D$296,'Data - Control'!$A$5:$A$296,$A12,'Data - Control'!$B$5:$B$296,$B12)</f>
        <v/>
      </c>
      <c r="E12" s="36">
        <f>SUMIFS('Data - Control'!$E$5:$E$296,'Data - Control'!$A$5:$A$296,$A12,'Data - Control'!$B$5:$B$296,$B12)</f>
        <v/>
      </c>
      <c r="F12" s="36">
        <f>SUMIFS('Data - Control'!$F$5:$F$296,'Data - Control'!$A$5:$A$296,$A12,'Data - Control'!$B$5:$B$296,$B12)</f>
        <v/>
      </c>
      <c r="G12" s="36">
        <f>SUMIFS('Data - Control'!$G$5:$G$296,'Data - Control'!$A$5:$A$296,$A12,'Data - Control'!$B$5:$B$296,$B12)</f>
        <v/>
      </c>
      <c r="H12" s="36">
        <f>SUMIFS('Data - Control'!$H$5:$H$296,'Data - Control'!$A$5:$A$296,$A12,'Data - Control'!$B$5:$B$296,$B12)</f>
        <v/>
      </c>
      <c r="I12" s="57">
        <f>IFERROR($G12/$C12,0)</f>
        <v/>
      </c>
      <c r="J12" s="57">
        <f>IFERROR($H12/$D12,0)</f>
        <v/>
      </c>
      <c r="K12" s="36">
        <f>$D12*$I12</f>
        <v/>
      </c>
      <c r="L12" s="36">
        <f>$D12*($J12-$I12)</f>
        <v/>
      </c>
      <c r="M12" s="45">
        <f>IFERROR($D12/$C12-1,"")</f>
        <v/>
      </c>
    </row>
    <row r="13">
      <c r="A13" s="43" t="inlineStr">
        <is>
          <t>BJ'S Private Label Brew</t>
        </is>
      </c>
      <c r="B13" s="43" t="inlineStr">
        <is>
          <t>BJ'S Private Label Brewa</t>
        </is>
      </c>
      <c r="C13" s="33">
        <f>SUMIFS('Data - Control'!$C$5:$C$296,'Data - Control'!$A$5:$A$296,$A13,'Data - Control'!$B$5:$B$296,$B13)</f>
        <v/>
      </c>
      <c r="D13" s="33">
        <f>SUMIFS('Data - Control'!$D$5:$D$296,'Data - Control'!$A$5:$A$296,$A13,'Data - Control'!$B$5:$B$296,$B13)</f>
        <v/>
      </c>
      <c r="E13" s="36">
        <f>SUMIFS('Data - Control'!$E$5:$E$296,'Data - Control'!$A$5:$A$296,$A13,'Data - Control'!$B$5:$B$296,$B13)</f>
        <v/>
      </c>
      <c r="F13" s="36">
        <f>SUMIFS('Data - Control'!$F$5:$F$296,'Data - Control'!$A$5:$A$296,$A13,'Data - Control'!$B$5:$B$296,$B13)</f>
        <v/>
      </c>
      <c r="G13" s="36">
        <f>SUMIFS('Data - Control'!$G$5:$G$296,'Data - Control'!$A$5:$A$296,$A13,'Data - Control'!$B$5:$B$296,$B13)</f>
        <v/>
      </c>
      <c r="H13" s="36">
        <f>SUMIFS('Data - Control'!$H$5:$H$296,'Data - Control'!$A$5:$A$296,$A13,'Data - Control'!$B$5:$B$296,$B13)</f>
        <v/>
      </c>
      <c r="I13" s="57">
        <f>IFERROR($G13/$C13,0)</f>
        <v/>
      </c>
      <c r="J13" s="57">
        <f>IFERROR($H13/$D13,0)</f>
        <v/>
      </c>
      <c r="K13" s="36">
        <f>$D13*$I13</f>
        <v/>
      </c>
      <c r="L13" s="36">
        <f>$D13*($J13-$I13)</f>
        <v/>
      </c>
      <c r="M13" s="45">
        <f>IFERROR($D13/$C13-1,"")</f>
        <v/>
      </c>
    </row>
    <row r="14">
      <c r="A14" s="43" t="inlineStr">
        <is>
          <t>Bardstown Bourbon Co</t>
        </is>
      </c>
      <c r="B14" s="43" t="inlineStr">
        <is>
          <t>Bardstown Bourbon</t>
        </is>
      </c>
      <c r="C14" s="33">
        <f>SUMIFS('Data - Control'!$C$5:$C$296,'Data - Control'!$A$5:$A$296,$A14,'Data - Control'!$B$5:$B$296,$B14)</f>
        <v/>
      </c>
      <c r="D14" s="33">
        <f>SUMIFS('Data - Control'!$D$5:$D$296,'Data - Control'!$A$5:$A$296,$A14,'Data - Control'!$B$5:$B$296,$B14)</f>
        <v/>
      </c>
      <c r="E14" s="36">
        <f>SUMIFS('Data - Control'!$E$5:$E$296,'Data - Control'!$A$5:$A$296,$A14,'Data - Control'!$B$5:$B$296,$B14)</f>
        <v/>
      </c>
      <c r="F14" s="36">
        <f>SUMIFS('Data - Control'!$F$5:$F$296,'Data - Control'!$A$5:$A$296,$A14,'Data - Control'!$B$5:$B$296,$B14)</f>
        <v/>
      </c>
      <c r="G14" s="36">
        <f>SUMIFS('Data - Control'!$G$5:$G$296,'Data - Control'!$A$5:$A$296,$A14,'Data - Control'!$B$5:$B$296,$B14)</f>
        <v/>
      </c>
      <c r="H14" s="36">
        <f>SUMIFS('Data - Control'!$H$5:$H$296,'Data - Control'!$A$5:$A$296,$A14,'Data - Control'!$B$5:$B$296,$B14)</f>
        <v/>
      </c>
      <c r="I14" s="57">
        <f>IFERROR($G14/$C14,0)</f>
        <v/>
      </c>
      <c r="J14" s="57">
        <f>IFERROR($H14/$D14,0)</f>
        <v/>
      </c>
      <c r="K14" s="36">
        <f>$D14*$I14</f>
        <v/>
      </c>
      <c r="L14" s="36">
        <f>$D14*($J14-$I14)</f>
        <v/>
      </c>
      <c r="M14" s="45">
        <f>IFERROR($D14/$C14-1,"")</f>
        <v/>
      </c>
    </row>
    <row r="15">
      <c r="A15" s="43" t="inlineStr">
        <is>
          <t>Bardstown Bourbon Co</t>
        </is>
      </c>
      <c r="B15" s="43" t="inlineStr">
        <is>
          <t>Bardstown Green River</t>
        </is>
      </c>
      <c r="C15" s="33">
        <f>SUMIFS('Data - Control'!$C$5:$C$296,'Data - Control'!$A$5:$A$296,$A15,'Data - Control'!$B$5:$B$296,$B15)</f>
        <v/>
      </c>
      <c r="D15" s="33">
        <f>SUMIFS('Data - Control'!$D$5:$D$296,'Data - Control'!$A$5:$A$296,$A15,'Data - Control'!$B$5:$B$296,$B15)</f>
        <v/>
      </c>
      <c r="E15" s="36">
        <f>SUMIFS('Data - Control'!$E$5:$E$296,'Data - Control'!$A$5:$A$296,$A15,'Data - Control'!$B$5:$B$296,$B15)</f>
        <v/>
      </c>
      <c r="F15" s="36">
        <f>SUMIFS('Data - Control'!$F$5:$F$296,'Data - Control'!$A$5:$A$296,$A15,'Data - Control'!$B$5:$B$296,$B15)</f>
        <v/>
      </c>
      <c r="G15" s="36">
        <f>SUMIFS('Data - Control'!$G$5:$G$296,'Data - Control'!$A$5:$A$296,$A15,'Data - Control'!$B$5:$B$296,$B15)</f>
        <v/>
      </c>
      <c r="H15" s="36">
        <f>SUMIFS('Data - Control'!$H$5:$H$296,'Data - Control'!$A$5:$A$296,$A15,'Data - Control'!$B$5:$B$296,$B15)</f>
        <v/>
      </c>
      <c r="I15" s="57">
        <f>IFERROR($G15/$C15,0)</f>
        <v/>
      </c>
      <c r="J15" s="57">
        <f>IFERROR($H15/$D15,0)</f>
        <v/>
      </c>
      <c r="K15" s="36">
        <f>$D15*$I15</f>
        <v/>
      </c>
      <c r="L15" s="36">
        <f>$D15*($J15-$I15)</f>
        <v/>
      </c>
      <c r="M15" s="45">
        <f>IFERROR($D15/$C15-1,"")</f>
        <v/>
      </c>
    </row>
    <row r="16">
      <c r="A16" s="43" t="inlineStr">
        <is>
          <t>Barn Brew Co</t>
        </is>
      </c>
      <c r="B16" s="43" t="inlineStr">
        <is>
          <t>Barn Brew</t>
        </is>
      </c>
      <c r="C16" s="33">
        <f>SUMIFS('Data - Control'!$C$5:$C$296,'Data - Control'!$A$5:$A$296,$A16,'Data - Control'!$B$5:$B$296,$B16)</f>
        <v/>
      </c>
      <c r="D16" s="33">
        <f>SUMIFS('Data - Control'!$D$5:$D$296,'Data - Control'!$A$5:$A$296,$A16,'Data - Control'!$B$5:$B$296,$B16)</f>
        <v/>
      </c>
      <c r="E16" s="36">
        <f>SUMIFS('Data - Control'!$E$5:$E$296,'Data - Control'!$A$5:$A$296,$A16,'Data - Control'!$B$5:$B$296,$B16)</f>
        <v/>
      </c>
      <c r="F16" s="36">
        <f>SUMIFS('Data - Control'!$F$5:$F$296,'Data - Control'!$A$5:$A$296,$A16,'Data - Control'!$B$5:$B$296,$B16)</f>
        <v/>
      </c>
      <c r="G16" s="36">
        <f>SUMIFS('Data - Control'!$G$5:$G$296,'Data - Control'!$A$5:$A$296,$A16,'Data - Control'!$B$5:$B$296,$B16)</f>
        <v/>
      </c>
      <c r="H16" s="36">
        <f>SUMIFS('Data - Control'!$H$5:$H$296,'Data - Control'!$A$5:$A$296,$A16,'Data - Control'!$B$5:$B$296,$B16)</f>
        <v/>
      </c>
      <c r="I16" s="57">
        <f>IFERROR($G16/$C16,0)</f>
        <v/>
      </c>
      <c r="J16" s="57">
        <f>IFERROR($H16/$D16,0)</f>
        <v/>
      </c>
      <c r="K16" s="36">
        <f>$D16*$I16</f>
        <v/>
      </c>
      <c r="L16" s="36">
        <f>$D16*($J16-$I16)</f>
        <v/>
      </c>
      <c r="M16" s="45">
        <f>IFERROR($D16/$C16-1,"")</f>
        <v/>
      </c>
    </row>
    <row r="17">
      <c r="A17" s="43" t="inlineStr">
        <is>
          <t>Beak &amp; Skiff</t>
        </is>
      </c>
      <c r="B17" s="43" t="inlineStr">
        <is>
          <t>1911 Hard Cider</t>
        </is>
      </c>
      <c r="C17" s="33">
        <f>SUMIFS('Data - Control'!$C$5:$C$296,'Data - Control'!$A$5:$A$296,$A17,'Data - Control'!$B$5:$B$296,$B17)</f>
        <v/>
      </c>
      <c r="D17" s="33">
        <f>SUMIFS('Data - Control'!$D$5:$D$296,'Data - Control'!$A$5:$A$296,$A17,'Data - Control'!$B$5:$B$296,$B17)</f>
        <v/>
      </c>
      <c r="E17" s="36">
        <f>SUMIFS('Data - Control'!$E$5:$E$296,'Data - Control'!$A$5:$A$296,$A17,'Data - Control'!$B$5:$B$296,$B17)</f>
        <v/>
      </c>
      <c r="F17" s="36">
        <f>SUMIFS('Data - Control'!$F$5:$F$296,'Data - Control'!$A$5:$A$296,$A17,'Data - Control'!$B$5:$B$296,$B17)</f>
        <v/>
      </c>
      <c r="G17" s="36">
        <f>SUMIFS('Data - Control'!$G$5:$G$296,'Data - Control'!$A$5:$A$296,$A17,'Data - Control'!$B$5:$B$296,$B17)</f>
        <v/>
      </c>
      <c r="H17" s="36">
        <f>SUMIFS('Data - Control'!$H$5:$H$296,'Data - Control'!$A$5:$A$296,$A17,'Data - Control'!$B$5:$B$296,$B17)</f>
        <v/>
      </c>
      <c r="I17" s="57">
        <f>IFERROR($G17/$C17,0)</f>
        <v/>
      </c>
      <c r="J17" s="57">
        <f>IFERROR($H17/$D17,0)</f>
        <v/>
      </c>
      <c r="K17" s="36">
        <f>$D17*$I17</f>
        <v/>
      </c>
      <c r="L17" s="36">
        <f>$D17*($J17-$I17)</f>
        <v/>
      </c>
      <c r="M17" s="45">
        <f>IFERROR($D17/$C17-1,"")</f>
        <v/>
      </c>
    </row>
    <row r="18">
      <c r="A18" s="43" t="inlineStr">
        <is>
          <t>Beak &amp; Skiff</t>
        </is>
      </c>
      <c r="B18" s="43" t="inlineStr">
        <is>
          <t>1911 Spirits</t>
        </is>
      </c>
      <c r="C18" s="33">
        <f>SUMIFS('Data - Control'!$C$5:$C$296,'Data - Control'!$A$5:$A$296,$A18,'Data - Control'!$B$5:$B$296,$B18)</f>
        <v/>
      </c>
      <c r="D18" s="33">
        <f>SUMIFS('Data - Control'!$D$5:$D$296,'Data - Control'!$A$5:$A$296,$A18,'Data - Control'!$B$5:$B$296,$B18)</f>
        <v/>
      </c>
      <c r="E18" s="36">
        <f>SUMIFS('Data - Control'!$E$5:$E$296,'Data - Control'!$A$5:$A$296,$A18,'Data - Control'!$B$5:$B$296,$B18)</f>
        <v/>
      </c>
      <c r="F18" s="36">
        <f>SUMIFS('Data - Control'!$F$5:$F$296,'Data - Control'!$A$5:$A$296,$A18,'Data - Control'!$B$5:$B$296,$B18)</f>
        <v/>
      </c>
      <c r="G18" s="36">
        <f>SUMIFS('Data - Control'!$G$5:$G$296,'Data - Control'!$A$5:$A$296,$A18,'Data - Control'!$B$5:$B$296,$B18)</f>
        <v/>
      </c>
      <c r="H18" s="36">
        <f>SUMIFS('Data - Control'!$H$5:$H$296,'Data - Control'!$A$5:$A$296,$A18,'Data - Control'!$B$5:$B$296,$B18)</f>
        <v/>
      </c>
      <c r="I18" s="57">
        <f>IFERROR($G18/$C18,0)</f>
        <v/>
      </c>
      <c r="J18" s="57">
        <f>IFERROR($H18/$D18,0)</f>
        <v/>
      </c>
      <c r="K18" s="36">
        <f>$D18*$I18</f>
        <v/>
      </c>
      <c r="L18" s="36">
        <f>$D18*($J18-$I18)</f>
        <v/>
      </c>
      <c r="M18" s="45">
        <f>IFERROR($D18/$C18-1,"")</f>
        <v/>
      </c>
    </row>
    <row r="19">
      <c r="A19" s="43" t="inlineStr">
        <is>
          <t>Bell's</t>
        </is>
      </c>
      <c r="B19" s="43" t="inlineStr">
        <is>
          <t>Bell's Hearted Family</t>
        </is>
      </c>
      <c r="C19" s="33">
        <f>SUMIFS('Data - Control'!$C$5:$C$296,'Data - Control'!$A$5:$A$296,$A19,'Data - Control'!$B$5:$B$296,$B19)</f>
        <v/>
      </c>
      <c r="D19" s="33">
        <f>SUMIFS('Data - Control'!$D$5:$D$296,'Data - Control'!$A$5:$A$296,$A19,'Data - Control'!$B$5:$B$296,$B19)</f>
        <v/>
      </c>
      <c r="E19" s="36">
        <f>SUMIFS('Data - Control'!$E$5:$E$296,'Data - Control'!$A$5:$A$296,$A19,'Data - Control'!$B$5:$B$296,$B19)</f>
        <v/>
      </c>
      <c r="F19" s="36">
        <f>SUMIFS('Data - Control'!$F$5:$F$296,'Data - Control'!$A$5:$A$296,$A19,'Data - Control'!$B$5:$B$296,$B19)</f>
        <v/>
      </c>
      <c r="G19" s="36">
        <f>SUMIFS('Data - Control'!$G$5:$G$296,'Data - Control'!$A$5:$A$296,$A19,'Data - Control'!$B$5:$B$296,$B19)</f>
        <v/>
      </c>
      <c r="H19" s="36">
        <f>SUMIFS('Data - Control'!$H$5:$H$296,'Data - Control'!$A$5:$A$296,$A19,'Data - Control'!$B$5:$B$296,$B19)</f>
        <v/>
      </c>
      <c r="I19" s="57">
        <f>IFERROR($G19/$C19,0)</f>
        <v/>
      </c>
      <c r="J19" s="57">
        <f>IFERROR($H19/$D19,0)</f>
        <v/>
      </c>
      <c r="K19" s="36">
        <f>$D19*$I19</f>
        <v/>
      </c>
      <c r="L19" s="36">
        <f>$D19*($J19-$I19)</f>
        <v/>
      </c>
      <c r="M19" s="45">
        <f>IFERROR($D19/$C19-1,"")</f>
        <v/>
      </c>
    </row>
    <row r="20">
      <c r="A20" s="43" t="inlineStr">
        <is>
          <t>Bella Ray Beverage</t>
        </is>
      </c>
      <c r="B20" s="43" t="inlineStr">
        <is>
          <t>Bella Ray</t>
        </is>
      </c>
      <c r="C20" s="33">
        <f>SUMIFS('Data - Control'!$C$5:$C$296,'Data - Control'!$A$5:$A$296,$A20,'Data - Control'!$B$5:$B$296,$B20)</f>
        <v/>
      </c>
      <c r="D20" s="33">
        <f>SUMIFS('Data - Control'!$D$5:$D$296,'Data - Control'!$A$5:$A$296,$A20,'Data - Control'!$B$5:$B$296,$B20)</f>
        <v/>
      </c>
      <c r="E20" s="36">
        <f>SUMIFS('Data - Control'!$E$5:$E$296,'Data - Control'!$A$5:$A$296,$A20,'Data - Control'!$B$5:$B$296,$B20)</f>
        <v/>
      </c>
      <c r="F20" s="36">
        <f>SUMIFS('Data - Control'!$F$5:$F$296,'Data - Control'!$A$5:$A$296,$A20,'Data - Control'!$B$5:$B$296,$B20)</f>
        <v/>
      </c>
      <c r="G20" s="36">
        <f>SUMIFS('Data - Control'!$G$5:$G$296,'Data - Control'!$A$5:$A$296,$A20,'Data - Control'!$B$5:$B$296,$B20)</f>
        <v/>
      </c>
      <c r="H20" s="36">
        <f>SUMIFS('Data - Control'!$H$5:$H$296,'Data - Control'!$A$5:$A$296,$A20,'Data - Control'!$B$5:$B$296,$B20)</f>
        <v/>
      </c>
      <c r="I20" s="57">
        <f>IFERROR($G20/$C20,0)</f>
        <v/>
      </c>
      <c r="J20" s="57">
        <f>IFERROR($H20/$D20,0)</f>
        <v/>
      </c>
      <c r="K20" s="36">
        <f>$D20*$I20</f>
        <v/>
      </c>
      <c r="L20" s="36">
        <f>$D20*($J20-$I20)</f>
        <v/>
      </c>
      <c r="M20" s="45">
        <f>IFERROR($D20/$C20-1,"")</f>
        <v/>
      </c>
    </row>
    <row r="21">
      <c r="A21" s="43" t="inlineStr">
        <is>
          <t>Blaze Life LLC</t>
        </is>
      </c>
      <c r="B21" s="43" t="inlineStr">
        <is>
          <t>Bodega Chiller</t>
        </is>
      </c>
      <c r="C21" s="33">
        <f>SUMIFS('Data - Control'!$C$5:$C$296,'Data - Control'!$A$5:$A$296,$A21,'Data - Control'!$B$5:$B$296,$B21)</f>
        <v/>
      </c>
      <c r="D21" s="33">
        <f>SUMIFS('Data - Control'!$D$5:$D$296,'Data - Control'!$A$5:$A$296,$A21,'Data - Control'!$B$5:$B$296,$B21)</f>
        <v/>
      </c>
      <c r="E21" s="36">
        <f>SUMIFS('Data - Control'!$E$5:$E$296,'Data - Control'!$A$5:$A$296,$A21,'Data - Control'!$B$5:$B$296,$B21)</f>
        <v/>
      </c>
      <c r="F21" s="36">
        <f>SUMIFS('Data - Control'!$F$5:$F$296,'Data - Control'!$A$5:$A$296,$A21,'Data - Control'!$B$5:$B$296,$B21)</f>
        <v/>
      </c>
      <c r="G21" s="36">
        <f>SUMIFS('Data - Control'!$G$5:$G$296,'Data - Control'!$A$5:$A$296,$A21,'Data - Control'!$B$5:$B$296,$B21)</f>
        <v/>
      </c>
      <c r="H21" s="36">
        <f>SUMIFS('Data - Control'!$H$5:$H$296,'Data - Control'!$A$5:$A$296,$A21,'Data - Control'!$B$5:$B$296,$B21)</f>
        <v/>
      </c>
      <c r="I21" s="57">
        <f>IFERROR($G21/$C21,0)</f>
        <v/>
      </c>
      <c r="J21" s="57">
        <f>IFERROR($H21/$D21,0)</f>
        <v/>
      </c>
      <c r="K21" s="36">
        <f>$D21*$I21</f>
        <v/>
      </c>
      <c r="L21" s="36">
        <f>$D21*($J21-$I21)</f>
        <v/>
      </c>
      <c r="M21" s="45">
        <f>IFERROR($D21/$C21-1,"")</f>
        <v/>
      </c>
    </row>
    <row r="22">
      <c r="A22" s="43" t="inlineStr">
        <is>
          <t>Blaze Life LLC</t>
        </is>
      </c>
      <c r="B22" s="43" t="inlineStr">
        <is>
          <t>Mota'Lada</t>
        </is>
      </c>
      <c r="C22" s="33">
        <f>SUMIFS('Data - Control'!$C$5:$C$296,'Data - Control'!$A$5:$A$296,$A22,'Data - Control'!$B$5:$B$296,$B22)</f>
        <v/>
      </c>
      <c r="D22" s="33">
        <f>SUMIFS('Data - Control'!$D$5:$D$296,'Data - Control'!$A$5:$A$296,$A22,'Data - Control'!$B$5:$B$296,$B22)</f>
        <v/>
      </c>
      <c r="E22" s="36">
        <f>SUMIFS('Data - Control'!$E$5:$E$296,'Data - Control'!$A$5:$A$296,$A22,'Data - Control'!$B$5:$B$296,$B22)</f>
        <v/>
      </c>
      <c r="F22" s="36">
        <f>SUMIFS('Data - Control'!$F$5:$F$296,'Data - Control'!$A$5:$A$296,$A22,'Data - Control'!$B$5:$B$296,$B22)</f>
        <v/>
      </c>
      <c r="G22" s="36">
        <f>SUMIFS('Data - Control'!$G$5:$G$296,'Data - Control'!$A$5:$A$296,$A22,'Data - Control'!$B$5:$B$296,$B22)</f>
        <v/>
      </c>
      <c r="H22" s="36">
        <f>SUMIFS('Data - Control'!$H$5:$H$296,'Data - Control'!$A$5:$A$296,$A22,'Data - Control'!$B$5:$B$296,$B22)</f>
        <v/>
      </c>
      <c r="I22" s="57">
        <f>IFERROR($G22/$C22,0)</f>
        <v/>
      </c>
      <c r="J22" s="57">
        <f>IFERROR($H22/$D22,0)</f>
        <v/>
      </c>
      <c r="K22" s="36">
        <f>$D22*$I22</f>
        <v/>
      </c>
      <c r="L22" s="36">
        <f>$D22*($J22-$I22)</f>
        <v/>
      </c>
      <c r="M22" s="45">
        <f>IFERROR($D22/$C22-1,"")</f>
        <v/>
      </c>
    </row>
    <row r="23">
      <c r="A23" s="43" t="inlineStr">
        <is>
          <t>Bold Rock Hard Cider</t>
        </is>
      </c>
      <c r="B23" s="43" t="inlineStr">
        <is>
          <t>Bold Rock</t>
        </is>
      </c>
      <c r="C23" s="33">
        <f>SUMIFS('Data - Control'!$C$5:$C$296,'Data - Control'!$A$5:$A$296,$A23,'Data - Control'!$B$5:$B$296,$B23)</f>
        <v/>
      </c>
      <c r="D23" s="33">
        <f>SUMIFS('Data - Control'!$D$5:$D$296,'Data - Control'!$A$5:$A$296,$A23,'Data - Control'!$B$5:$B$296,$B23)</f>
        <v/>
      </c>
      <c r="E23" s="36">
        <f>SUMIFS('Data - Control'!$E$5:$E$296,'Data - Control'!$A$5:$A$296,$A23,'Data - Control'!$B$5:$B$296,$B23)</f>
        <v/>
      </c>
      <c r="F23" s="36">
        <f>SUMIFS('Data - Control'!$F$5:$F$296,'Data - Control'!$A$5:$A$296,$A23,'Data - Control'!$B$5:$B$296,$B23)</f>
        <v/>
      </c>
      <c r="G23" s="36">
        <f>SUMIFS('Data - Control'!$G$5:$G$296,'Data - Control'!$A$5:$A$296,$A23,'Data - Control'!$B$5:$B$296,$B23)</f>
        <v/>
      </c>
      <c r="H23" s="36">
        <f>SUMIFS('Data - Control'!$H$5:$H$296,'Data - Control'!$A$5:$A$296,$A23,'Data - Control'!$B$5:$B$296,$B23)</f>
        <v/>
      </c>
      <c r="I23" s="57">
        <f>IFERROR($G23/$C23,0)</f>
        <v/>
      </c>
      <c r="J23" s="57">
        <f>IFERROR($H23/$D23,0)</f>
        <v/>
      </c>
      <c r="K23" s="36">
        <f>$D23*$I23</f>
        <v/>
      </c>
      <c r="L23" s="36">
        <f>$D23*($J23-$I23)</f>
        <v/>
      </c>
      <c r="M23" s="45">
        <f>IFERROR($D23/$C23-1,"")</f>
        <v/>
      </c>
    </row>
    <row r="24">
      <c r="A24" s="43" t="inlineStr">
        <is>
          <t>Boston Beer Company</t>
        </is>
      </c>
      <c r="B24" s="43" t="inlineStr">
        <is>
          <t>Angry Orchard</t>
        </is>
      </c>
      <c r="C24" s="33">
        <f>SUMIFS('Data - Control'!$C$5:$C$296,'Data - Control'!$A$5:$A$296,$A24,'Data - Control'!$B$5:$B$296,$B24)</f>
        <v/>
      </c>
      <c r="D24" s="33">
        <f>SUMIFS('Data - Control'!$D$5:$D$296,'Data - Control'!$A$5:$A$296,$A24,'Data - Control'!$B$5:$B$296,$B24)</f>
        <v/>
      </c>
      <c r="E24" s="36">
        <f>SUMIFS('Data - Control'!$E$5:$E$296,'Data - Control'!$A$5:$A$296,$A24,'Data - Control'!$B$5:$B$296,$B24)</f>
        <v/>
      </c>
      <c r="F24" s="36">
        <f>SUMIFS('Data - Control'!$F$5:$F$296,'Data - Control'!$A$5:$A$296,$A24,'Data - Control'!$B$5:$B$296,$B24)</f>
        <v/>
      </c>
      <c r="G24" s="36">
        <f>SUMIFS('Data - Control'!$G$5:$G$296,'Data - Control'!$A$5:$A$296,$A24,'Data - Control'!$B$5:$B$296,$B24)</f>
        <v/>
      </c>
      <c r="H24" s="36">
        <f>SUMIFS('Data - Control'!$H$5:$H$296,'Data - Control'!$A$5:$A$296,$A24,'Data - Control'!$B$5:$B$296,$B24)</f>
        <v/>
      </c>
      <c r="I24" s="57">
        <f>IFERROR($G24/$C24,0)</f>
        <v/>
      </c>
      <c r="J24" s="57">
        <f>IFERROR($H24/$D24,0)</f>
        <v/>
      </c>
      <c r="K24" s="36">
        <f>$D24*$I24</f>
        <v/>
      </c>
      <c r="L24" s="36">
        <f>$D24*($J24-$I24)</f>
        <v/>
      </c>
      <c r="M24" s="45">
        <f>IFERROR($D24/$C24-1,"")</f>
        <v/>
      </c>
    </row>
    <row r="25">
      <c r="A25" s="43" t="inlineStr">
        <is>
          <t>Boston Beer Company</t>
        </is>
      </c>
      <c r="B25" s="43" t="inlineStr">
        <is>
          <t>Coney Island</t>
        </is>
      </c>
      <c r="C25" s="33">
        <f>SUMIFS('Data - Control'!$C$5:$C$296,'Data - Control'!$A$5:$A$296,$A25,'Data - Control'!$B$5:$B$296,$B25)</f>
        <v/>
      </c>
      <c r="D25" s="33">
        <f>SUMIFS('Data - Control'!$D$5:$D$296,'Data - Control'!$A$5:$A$296,$A25,'Data - Control'!$B$5:$B$296,$B25)</f>
        <v/>
      </c>
      <c r="E25" s="36">
        <f>SUMIFS('Data - Control'!$E$5:$E$296,'Data - Control'!$A$5:$A$296,$A25,'Data - Control'!$B$5:$B$296,$B25)</f>
        <v/>
      </c>
      <c r="F25" s="36">
        <f>SUMIFS('Data - Control'!$F$5:$F$296,'Data - Control'!$A$5:$A$296,$A25,'Data - Control'!$B$5:$B$296,$B25)</f>
        <v/>
      </c>
      <c r="G25" s="36">
        <f>SUMIFS('Data - Control'!$G$5:$G$296,'Data - Control'!$A$5:$A$296,$A25,'Data - Control'!$B$5:$B$296,$B25)</f>
        <v/>
      </c>
      <c r="H25" s="36">
        <f>SUMIFS('Data - Control'!$H$5:$H$296,'Data - Control'!$A$5:$A$296,$A25,'Data - Control'!$B$5:$B$296,$B25)</f>
        <v/>
      </c>
      <c r="I25" s="57">
        <f>IFERROR($G25/$C25,0)</f>
        <v/>
      </c>
      <c r="J25" s="57">
        <f>IFERROR($H25/$D25,0)</f>
        <v/>
      </c>
      <c r="K25" s="36">
        <f>$D25*$I25</f>
        <v/>
      </c>
      <c r="L25" s="36">
        <f>$D25*($J25-$I25)</f>
        <v/>
      </c>
      <c r="M25" s="45">
        <f>IFERROR($D25/$C25-1,"")</f>
        <v/>
      </c>
    </row>
    <row r="26">
      <c r="A26" s="43" t="inlineStr">
        <is>
          <t>Boston Beer Company</t>
        </is>
      </c>
      <c r="B26" s="43" t="inlineStr">
        <is>
          <t>Hard Mountain Dew</t>
        </is>
      </c>
      <c r="C26" s="33">
        <f>SUMIFS('Data - Control'!$C$5:$C$296,'Data - Control'!$A$5:$A$296,$A26,'Data - Control'!$B$5:$B$296,$B26)</f>
        <v/>
      </c>
      <c r="D26" s="33">
        <f>SUMIFS('Data - Control'!$D$5:$D$296,'Data - Control'!$A$5:$A$296,$A26,'Data - Control'!$B$5:$B$296,$B26)</f>
        <v/>
      </c>
      <c r="E26" s="36">
        <f>SUMIFS('Data - Control'!$E$5:$E$296,'Data - Control'!$A$5:$A$296,$A26,'Data - Control'!$B$5:$B$296,$B26)</f>
        <v/>
      </c>
      <c r="F26" s="36">
        <f>SUMIFS('Data - Control'!$F$5:$F$296,'Data - Control'!$A$5:$A$296,$A26,'Data - Control'!$B$5:$B$296,$B26)</f>
        <v/>
      </c>
      <c r="G26" s="36">
        <f>SUMIFS('Data - Control'!$G$5:$G$296,'Data - Control'!$A$5:$A$296,$A26,'Data - Control'!$B$5:$B$296,$B26)</f>
        <v/>
      </c>
      <c r="H26" s="36">
        <f>SUMIFS('Data - Control'!$H$5:$H$296,'Data - Control'!$A$5:$A$296,$A26,'Data - Control'!$B$5:$B$296,$B26)</f>
        <v/>
      </c>
      <c r="I26" s="57">
        <f>IFERROR($G26/$C26,0)</f>
        <v/>
      </c>
      <c r="J26" s="57">
        <f>IFERROR($H26/$D26,0)</f>
        <v/>
      </c>
      <c r="K26" s="36">
        <f>$D26*$I26</f>
        <v/>
      </c>
      <c r="L26" s="36">
        <f>$D26*($J26-$I26)</f>
        <v/>
      </c>
      <c r="M26" s="45">
        <f>IFERROR($D26/$C26-1,"")</f>
        <v/>
      </c>
    </row>
    <row r="27">
      <c r="A27" s="43" t="inlineStr">
        <is>
          <t>Boston Beer Company</t>
        </is>
      </c>
      <c r="B27" s="43" t="inlineStr">
        <is>
          <t>Lytt</t>
        </is>
      </c>
      <c r="C27" s="33">
        <f>SUMIFS('Data - Control'!$C$5:$C$296,'Data - Control'!$A$5:$A$296,$A27,'Data - Control'!$B$5:$B$296,$B27)</f>
        <v/>
      </c>
      <c r="D27" s="33">
        <f>SUMIFS('Data - Control'!$D$5:$D$296,'Data - Control'!$A$5:$A$296,$A27,'Data - Control'!$B$5:$B$296,$B27)</f>
        <v/>
      </c>
      <c r="E27" s="36">
        <f>SUMIFS('Data - Control'!$E$5:$E$296,'Data - Control'!$A$5:$A$296,$A27,'Data - Control'!$B$5:$B$296,$B27)</f>
        <v/>
      </c>
      <c r="F27" s="36">
        <f>SUMIFS('Data - Control'!$F$5:$F$296,'Data - Control'!$A$5:$A$296,$A27,'Data - Control'!$B$5:$B$296,$B27)</f>
        <v/>
      </c>
      <c r="G27" s="36">
        <f>SUMIFS('Data - Control'!$G$5:$G$296,'Data - Control'!$A$5:$A$296,$A27,'Data - Control'!$B$5:$B$296,$B27)</f>
        <v/>
      </c>
      <c r="H27" s="36">
        <f>SUMIFS('Data - Control'!$H$5:$H$296,'Data - Control'!$A$5:$A$296,$A27,'Data - Control'!$B$5:$B$296,$B27)</f>
        <v/>
      </c>
      <c r="I27" s="57">
        <f>IFERROR($G27/$C27,0)</f>
        <v/>
      </c>
      <c r="J27" s="57">
        <f>IFERROR($H27/$D27,0)</f>
        <v/>
      </c>
      <c r="K27" s="36">
        <f>$D27*$I27</f>
        <v/>
      </c>
      <c r="L27" s="36">
        <f>$D27*($J27-$I27)</f>
        <v/>
      </c>
      <c r="M27" s="45">
        <f>IFERROR($D27/$C27-1,"")</f>
        <v/>
      </c>
    </row>
    <row r="28">
      <c r="A28" s="43" t="inlineStr">
        <is>
          <t>Boston Beer Company</t>
        </is>
      </c>
      <c r="B28" s="43" t="inlineStr">
        <is>
          <t>Samuel Adams</t>
        </is>
      </c>
      <c r="C28" s="33">
        <f>SUMIFS('Data - Control'!$C$5:$C$296,'Data - Control'!$A$5:$A$296,$A28,'Data - Control'!$B$5:$B$296,$B28)</f>
        <v/>
      </c>
      <c r="D28" s="33">
        <f>SUMIFS('Data - Control'!$D$5:$D$296,'Data - Control'!$A$5:$A$296,$A28,'Data - Control'!$B$5:$B$296,$B28)</f>
        <v/>
      </c>
      <c r="E28" s="36">
        <f>SUMIFS('Data - Control'!$E$5:$E$296,'Data - Control'!$A$5:$A$296,$A28,'Data - Control'!$B$5:$B$296,$B28)</f>
        <v/>
      </c>
      <c r="F28" s="36">
        <f>SUMIFS('Data - Control'!$F$5:$F$296,'Data - Control'!$A$5:$A$296,$A28,'Data - Control'!$B$5:$B$296,$B28)</f>
        <v/>
      </c>
      <c r="G28" s="36">
        <f>SUMIFS('Data - Control'!$G$5:$G$296,'Data - Control'!$A$5:$A$296,$A28,'Data - Control'!$B$5:$B$296,$B28)</f>
        <v/>
      </c>
      <c r="H28" s="36">
        <f>SUMIFS('Data - Control'!$H$5:$H$296,'Data - Control'!$A$5:$A$296,$A28,'Data - Control'!$B$5:$B$296,$B28)</f>
        <v/>
      </c>
      <c r="I28" s="57">
        <f>IFERROR($G28/$C28,0)</f>
        <v/>
      </c>
      <c r="J28" s="57">
        <f>IFERROR($H28/$D28,0)</f>
        <v/>
      </c>
      <c r="K28" s="36">
        <f>$D28*$I28</f>
        <v/>
      </c>
      <c r="L28" s="36">
        <f>$D28*($J28-$I28)</f>
        <v/>
      </c>
      <c r="M28" s="45">
        <f>IFERROR($D28/$C28-1,"")</f>
        <v/>
      </c>
    </row>
    <row r="29">
      <c r="A29" s="43" t="inlineStr">
        <is>
          <t>Boston Beer Company</t>
        </is>
      </c>
      <c r="B29" s="43" t="inlineStr">
        <is>
          <t>Sinless Vodka Cocktail</t>
        </is>
      </c>
      <c r="C29" s="33">
        <f>SUMIFS('Data - Control'!$C$5:$C$296,'Data - Control'!$A$5:$A$296,$A29,'Data - Control'!$B$5:$B$296,$B29)</f>
        <v/>
      </c>
      <c r="D29" s="33">
        <f>SUMIFS('Data - Control'!$D$5:$D$296,'Data - Control'!$A$5:$A$296,$A29,'Data - Control'!$B$5:$B$296,$B29)</f>
        <v/>
      </c>
      <c r="E29" s="36">
        <f>SUMIFS('Data - Control'!$E$5:$E$296,'Data - Control'!$A$5:$A$296,$A29,'Data - Control'!$B$5:$B$296,$B29)</f>
        <v/>
      </c>
      <c r="F29" s="36">
        <f>SUMIFS('Data - Control'!$F$5:$F$296,'Data - Control'!$A$5:$A$296,$A29,'Data - Control'!$B$5:$B$296,$B29)</f>
        <v/>
      </c>
      <c r="G29" s="36">
        <f>SUMIFS('Data - Control'!$G$5:$G$296,'Data - Control'!$A$5:$A$296,$A29,'Data - Control'!$B$5:$B$296,$B29)</f>
        <v/>
      </c>
      <c r="H29" s="36">
        <f>SUMIFS('Data - Control'!$H$5:$H$296,'Data - Control'!$A$5:$A$296,$A29,'Data - Control'!$B$5:$B$296,$B29)</f>
        <v/>
      </c>
      <c r="I29" s="57">
        <f>IFERROR($G29/$C29,0)</f>
        <v/>
      </c>
      <c r="J29" s="57">
        <f>IFERROR($H29/$D29,0)</f>
        <v/>
      </c>
      <c r="K29" s="36">
        <f>$D29*$I29</f>
        <v/>
      </c>
      <c r="L29" s="36">
        <f>$D29*($J29-$I29)</f>
        <v/>
      </c>
      <c r="M29" s="45">
        <f>IFERROR($D29/$C29-1,"")</f>
        <v/>
      </c>
    </row>
    <row r="30">
      <c r="A30" s="43" t="inlineStr">
        <is>
          <t>Boston Beer Company</t>
        </is>
      </c>
      <c r="B30" s="43" t="inlineStr">
        <is>
          <t>Sun Cruiser</t>
        </is>
      </c>
      <c r="C30" s="33">
        <f>SUMIFS('Data - Control'!$C$5:$C$296,'Data - Control'!$A$5:$A$296,$A30,'Data - Control'!$B$5:$B$296,$B30)</f>
        <v/>
      </c>
      <c r="D30" s="33">
        <f>SUMIFS('Data - Control'!$D$5:$D$296,'Data - Control'!$A$5:$A$296,$A30,'Data - Control'!$B$5:$B$296,$B30)</f>
        <v/>
      </c>
      <c r="E30" s="36">
        <f>SUMIFS('Data - Control'!$E$5:$E$296,'Data - Control'!$A$5:$A$296,$A30,'Data - Control'!$B$5:$B$296,$B30)</f>
        <v/>
      </c>
      <c r="F30" s="36">
        <f>SUMIFS('Data - Control'!$F$5:$F$296,'Data - Control'!$A$5:$A$296,$A30,'Data - Control'!$B$5:$B$296,$B30)</f>
        <v/>
      </c>
      <c r="G30" s="36">
        <f>SUMIFS('Data - Control'!$G$5:$G$296,'Data - Control'!$A$5:$A$296,$A30,'Data - Control'!$B$5:$B$296,$B30)</f>
        <v/>
      </c>
      <c r="H30" s="36">
        <f>SUMIFS('Data - Control'!$H$5:$H$296,'Data - Control'!$A$5:$A$296,$A30,'Data - Control'!$B$5:$B$296,$B30)</f>
        <v/>
      </c>
      <c r="I30" s="57">
        <f>IFERROR($G30/$C30,0)</f>
        <v/>
      </c>
      <c r="J30" s="57">
        <f>IFERROR($H30/$D30,0)</f>
        <v/>
      </c>
      <c r="K30" s="36">
        <f>$D30*$I30</f>
        <v/>
      </c>
      <c r="L30" s="36">
        <f>$D30*($J30-$I30)</f>
        <v/>
      </c>
      <c r="M30" s="45">
        <f>IFERROR($D30/$C30-1,"")</f>
        <v/>
      </c>
    </row>
    <row r="31">
      <c r="A31" s="43" t="inlineStr">
        <is>
          <t>Brewt's LLC</t>
        </is>
      </c>
      <c r="B31" s="43" t="inlineStr">
        <is>
          <t>Brewt's</t>
        </is>
      </c>
      <c r="C31" s="33">
        <f>SUMIFS('Data - Control'!$C$5:$C$296,'Data - Control'!$A$5:$A$296,$A31,'Data - Control'!$B$5:$B$296,$B31)</f>
        <v/>
      </c>
      <c r="D31" s="33">
        <f>SUMIFS('Data - Control'!$D$5:$D$296,'Data - Control'!$A$5:$A$296,$A31,'Data - Control'!$B$5:$B$296,$B31)</f>
        <v/>
      </c>
      <c r="E31" s="36">
        <f>SUMIFS('Data - Control'!$E$5:$E$296,'Data - Control'!$A$5:$A$296,$A31,'Data - Control'!$B$5:$B$296,$B31)</f>
        <v/>
      </c>
      <c r="F31" s="36">
        <f>SUMIFS('Data - Control'!$F$5:$F$296,'Data - Control'!$A$5:$A$296,$A31,'Data - Control'!$B$5:$B$296,$B31)</f>
        <v/>
      </c>
      <c r="G31" s="36">
        <f>SUMIFS('Data - Control'!$G$5:$G$296,'Data - Control'!$A$5:$A$296,$A31,'Data - Control'!$B$5:$B$296,$B31)</f>
        <v/>
      </c>
      <c r="H31" s="36">
        <f>SUMIFS('Data - Control'!$H$5:$H$296,'Data - Control'!$A$5:$A$296,$A31,'Data - Control'!$B$5:$B$296,$B31)</f>
        <v/>
      </c>
      <c r="I31" s="57">
        <f>IFERROR($G31/$C31,0)</f>
        <v/>
      </c>
      <c r="J31" s="57">
        <f>IFERROR($H31/$D31,0)</f>
        <v/>
      </c>
      <c r="K31" s="36">
        <f>$D31*$I31</f>
        <v/>
      </c>
      <c r="L31" s="36">
        <f>$D31*($J31-$I31)</f>
        <v/>
      </c>
      <c r="M31" s="45">
        <f>IFERROR($D31/$C31-1,"")</f>
        <v/>
      </c>
    </row>
    <row r="32">
      <c r="A32" s="43" t="inlineStr">
        <is>
          <t>Buzbee's Beverages USA LLC</t>
        </is>
      </c>
      <c r="B32" s="43" t="inlineStr">
        <is>
          <t>Buzbee's</t>
        </is>
      </c>
      <c r="C32" s="33">
        <f>SUMIFS('Data - Control'!$C$5:$C$296,'Data - Control'!$A$5:$A$296,$A32,'Data - Control'!$B$5:$B$296,$B32)</f>
        <v/>
      </c>
      <c r="D32" s="33">
        <f>SUMIFS('Data - Control'!$D$5:$D$296,'Data - Control'!$A$5:$A$296,$A32,'Data - Control'!$B$5:$B$296,$B32)</f>
        <v/>
      </c>
      <c r="E32" s="36">
        <f>SUMIFS('Data - Control'!$E$5:$E$296,'Data - Control'!$A$5:$A$296,$A32,'Data - Control'!$B$5:$B$296,$B32)</f>
        <v/>
      </c>
      <c r="F32" s="36">
        <f>SUMIFS('Data - Control'!$F$5:$F$296,'Data - Control'!$A$5:$A$296,$A32,'Data - Control'!$B$5:$B$296,$B32)</f>
        <v/>
      </c>
      <c r="G32" s="36">
        <f>SUMIFS('Data - Control'!$G$5:$G$296,'Data - Control'!$A$5:$A$296,$A32,'Data - Control'!$B$5:$B$296,$B32)</f>
        <v/>
      </c>
      <c r="H32" s="36">
        <f>SUMIFS('Data - Control'!$H$5:$H$296,'Data - Control'!$A$5:$A$296,$A32,'Data - Control'!$B$5:$B$296,$B32)</f>
        <v/>
      </c>
      <c r="I32" s="57">
        <f>IFERROR($G32/$C32,0)</f>
        <v/>
      </c>
      <c r="J32" s="57">
        <f>IFERROR($H32/$D32,0)</f>
        <v/>
      </c>
      <c r="K32" s="36">
        <f>$D32*$I32</f>
        <v/>
      </c>
      <c r="L32" s="36">
        <f>$D32*($J32-$I32)</f>
        <v/>
      </c>
      <c r="M32" s="45">
        <f>IFERROR($D32/$C32-1,"")</f>
        <v/>
      </c>
    </row>
    <row r="33">
      <c r="A33" s="43" t="inlineStr">
        <is>
          <t>Caravella Inc</t>
        </is>
      </c>
      <c r="B33" s="43" t="inlineStr">
        <is>
          <t>2 Canos</t>
        </is>
      </c>
      <c r="C33" s="33">
        <f>SUMIFS('Data - Control'!$C$5:$C$296,'Data - Control'!$A$5:$A$296,$A33,'Data - Control'!$B$5:$B$296,$B33)</f>
        <v/>
      </c>
      <c r="D33" s="33">
        <f>SUMIFS('Data - Control'!$D$5:$D$296,'Data - Control'!$A$5:$A$296,$A33,'Data - Control'!$B$5:$B$296,$B33)</f>
        <v/>
      </c>
      <c r="E33" s="36">
        <f>SUMIFS('Data - Control'!$E$5:$E$296,'Data - Control'!$A$5:$A$296,$A33,'Data - Control'!$B$5:$B$296,$B33)</f>
        <v/>
      </c>
      <c r="F33" s="36">
        <f>SUMIFS('Data - Control'!$F$5:$F$296,'Data - Control'!$A$5:$A$296,$A33,'Data - Control'!$B$5:$B$296,$B33)</f>
        <v/>
      </c>
      <c r="G33" s="36">
        <f>SUMIFS('Data - Control'!$G$5:$G$296,'Data - Control'!$A$5:$A$296,$A33,'Data - Control'!$B$5:$B$296,$B33)</f>
        <v/>
      </c>
      <c r="H33" s="36">
        <f>SUMIFS('Data - Control'!$H$5:$H$296,'Data - Control'!$A$5:$A$296,$A33,'Data - Control'!$B$5:$B$296,$B33)</f>
        <v/>
      </c>
      <c r="I33" s="57">
        <f>IFERROR($G33/$C33,0)</f>
        <v/>
      </c>
      <c r="J33" s="57">
        <f>IFERROR($H33/$D33,0)</f>
        <v/>
      </c>
      <c r="K33" s="36">
        <f>$D33*$I33</f>
        <v/>
      </c>
      <c r="L33" s="36">
        <f>$D33*($J33-$I33)</f>
        <v/>
      </c>
      <c r="M33" s="45">
        <f>IFERROR($D33/$C33-1,"")</f>
        <v/>
      </c>
    </row>
    <row r="34">
      <c r="A34" s="43" t="inlineStr">
        <is>
          <t>Caravella Inc</t>
        </is>
      </c>
      <c r="B34" s="43" t="inlineStr">
        <is>
          <t>Caravella</t>
        </is>
      </c>
      <c r="C34" s="33">
        <f>SUMIFS('Data - Control'!$C$5:$C$296,'Data - Control'!$A$5:$A$296,$A34,'Data - Control'!$B$5:$B$296,$B34)</f>
        <v/>
      </c>
      <c r="D34" s="33">
        <f>SUMIFS('Data - Control'!$D$5:$D$296,'Data - Control'!$A$5:$A$296,$A34,'Data - Control'!$B$5:$B$296,$B34)</f>
        <v/>
      </c>
      <c r="E34" s="36">
        <f>SUMIFS('Data - Control'!$E$5:$E$296,'Data - Control'!$A$5:$A$296,$A34,'Data - Control'!$B$5:$B$296,$B34)</f>
        <v/>
      </c>
      <c r="F34" s="36">
        <f>SUMIFS('Data - Control'!$F$5:$F$296,'Data - Control'!$A$5:$A$296,$A34,'Data - Control'!$B$5:$B$296,$B34)</f>
        <v/>
      </c>
      <c r="G34" s="36">
        <f>SUMIFS('Data - Control'!$G$5:$G$296,'Data - Control'!$A$5:$A$296,$A34,'Data - Control'!$B$5:$B$296,$B34)</f>
        <v/>
      </c>
      <c r="H34" s="36">
        <f>SUMIFS('Data - Control'!$H$5:$H$296,'Data - Control'!$A$5:$A$296,$A34,'Data - Control'!$B$5:$B$296,$B34)</f>
        <v/>
      </c>
      <c r="I34" s="57">
        <f>IFERROR($G34/$C34,0)</f>
        <v/>
      </c>
      <c r="J34" s="57">
        <f>IFERROR($H34/$D34,0)</f>
        <v/>
      </c>
      <c r="K34" s="36">
        <f>$D34*$I34</f>
        <v/>
      </c>
      <c r="L34" s="36">
        <f>$D34*($J34-$I34)</f>
        <v/>
      </c>
      <c r="M34" s="45">
        <f>IFERROR($D34/$C34-1,"")</f>
        <v/>
      </c>
    </row>
    <row r="35">
      <c r="A35" s="43" t="inlineStr">
        <is>
          <t>Caravella Inc</t>
        </is>
      </c>
      <c r="B35" s="43" t="inlineStr">
        <is>
          <t>Dancing Vines</t>
        </is>
      </c>
      <c r="C35" s="33">
        <f>SUMIFS('Data - Control'!$C$5:$C$296,'Data - Control'!$A$5:$A$296,$A35,'Data - Control'!$B$5:$B$296,$B35)</f>
        <v/>
      </c>
      <c r="D35" s="33">
        <f>SUMIFS('Data - Control'!$D$5:$D$296,'Data - Control'!$A$5:$A$296,$A35,'Data - Control'!$B$5:$B$296,$B35)</f>
        <v/>
      </c>
      <c r="E35" s="36">
        <f>SUMIFS('Data - Control'!$E$5:$E$296,'Data - Control'!$A$5:$A$296,$A35,'Data - Control'!$B$5:$B$296,$B35)</f>
        <v/>
      </c>
      <c r="F35" s="36">
        <f>SUMIFS('Data - Control'!$F$5:$F$296,'Data - Control'!$A$5:$A$296,$A35,'Data - Control'!$B$5:$B$296,$B35)</f>
        <v/>
      </c>
      <c r="G35" s="36">
        <f>SUMIFS('Data - Control'!$G$5:$G$296,'Data - Control'!$A$5:$A$296,$A35,'Data - Control'!$B$5:$B$296,$B35)</f>
        <v/>
      </c>
      <c r="H35" s="36">
        <f>SUMIFS('Data - Control'!$H$5:$H$296,'Data - Control'!$A$5:$A$296,$A35,'Data - Control'!$B$5:$B$296,$B35)</f>
        <v/>
      </c>
      <c r="I35" s="57">
        <f>IFERROR($G35/$C35,0)</f>
        <v/>
      </c>
      <c r="J35" s="57">
        <f>IFERROR($H35/$D35,0)</f>
        <v/>
      </c>
      <c r="K35" s="36">
        <f>$D35*$I35</f>
        <v/>
      </c>
      <c r="L35" s="36">
        <f>$D35*($J35-$I35)</f>
        <v/>
      </c>
      <c r="M35" s="45">
        <f>IFERROR($D35/$C35-1,"")</f>
        <v/>
      </c>
    </row>
    <row r="36">
      <c r="A36" s="43" t="inlineStr">
        <is>
          <t>Caravella Inc</t>
        </is>
      </c>
      <c r="B36" s="43" t="inlineStr">
        <is>
          <t>Poca Loca</t>
        </is>
      </c>
      <c r="C36" s="33">
        <f>SUMIFS('Data - Control'!$C$5:$C$296,'Data - Control'!$A$5:$A$296,$A36,'Data - Control'!$B$5:$B$296,$B36)</f>
        <v/>
      </c>
      <c r="D36" s="33">
        <f>SUMIFS('Data - Control'!$D$5:$D$296,'Data - Control'!$A$5:$A$296,$A36,'Data - Control'!$B$5:$B$296,$B36)</f>
        <v/>
      </c>
      <c r="E36" s="36">
        <f>SUMIFS('Data - Control'!$E$5:$E$296,'Data - Control'!$A$5:$A$296,$A36,'Data - Control'!$B$5:$B$296,$B36)</f>
        <v/>
      </c>
      <c r="F36" s="36">
        <f>SUMIFS('Data - Control'!$F$5:$F$296,'Data - Control'!$A$5:$A$296,$A36,'Data - Control'!$B$5:$B$296,$B36)</f>
        <v/>
      </c>
      <c r="G36" s="36">
        <f>SUMIFS('Data - Control'!$G$5:$G$296,'Data - Control'!$A$5:$A$296,$A36,'Data - Control'!$B$5:$B$296,$B36)</f>
        <v/>
      </c>
      <c r="H36" s="36">
        <f>SUMIFS('Data - Control'!$H$5:$H$296,'Data - Control'!$A$5:$A$296,$A36,'Data - Control'!$B$5:$B$296,$B36)</f>
        <v/>
      </c>
      <c r="I36" s="57">
        <f>IFERROR($G36/$C36,0)</f>
        <v/>
      </c>
      <c r="J36" s="57">
        <f>IFERROR($H36/$D36,0)</f>
        <v/>
      </c>
      <c r="K36" s="36">
        <f>$D36*$I36</f>
        <v/>
      </c>
      <c r="L36" s="36">
        <f>$D36*($J36-$I36)</f>
        <v/>
      </c>
      <c r="M36" s="45">
        <f>IFERROR($D36/$C36-1,"")</f>
        <v/>
      </c>
    </row>
    <row r="37">
      <c r="A37" s="43" t="inlineStr">
        <is>
          <t>Cavalier Ventures, LLC</t>
        </is>
      </c>
      <c r="B37" s="43" t="inlineStr">
        <is>
          <t>Coastal Cocktails</t>
        </is>
      </c>
      <c r="C37" s="33">
        <f>SUMIFS('Data - Control'!$C$5:$C$296,'Data - Control'!$A$5:$A$296,$A37,'Data - Control'!$B$5:$B$296,$B37)</f>
        <v/>
      </c>
      <c r="D37" s="33">
        <f>SUMIFS('Data - Control'!$D$5:$D$296,'Data - Control'!$A$5:$A$296,$A37,'Data - Control'!$B$5:$B$296,$B37)</f>
        <v/>
      </c>
      <c r="E37" s="36">
        <f>SUMIFS('Data - Control'!$E$5:$E$296,'Data - Control'!$A$5:$A$296,$A37,'Data - Control'!$B$5:$B$296,$B37)</f>
        <v/>
      </c>
      <c r="F37" s="36">
        <f>SUMIFS('Data - Control'!$F$5:$F$296,'Data - Control'!$A$5:$A$296,$A37,'Data - Control'!$B$5:$B$296,$B37)</f>
        <v/>
      </c>
      <c r="G37" s="36">
        <f>SUMIFS('Data - Control'!$G$5:$G$296,'Data - Control'!$A$5:$A$296,$A37,'Data - Control'!$B$5:$B$296,$B37)</f>
        <v/>
      </c>
      <c r="H37" s="36">
        <f>SUMIFS('Data - Control'!$H$5:$H$296,'Data - Control'!$A$5:$A$296,$A37,'Data - Control'!$B$5:$B$296,$B37)</f>
        <v/>
      </c>
      <c r="I37" s="57">
        <f>IFERROR($G37/$C37,0)</f>
        <v/>
      </c>
      <c r="J37" s="57">
        <f>IFERROR($H37/$D37,0)</f>
        <v/>
      </c>
      <c r="K37" s="36">
        <f>$D37*$I37</f>
        <v/>
      </c>
      <c r="L37" s="36">
        <f>$D37*($J37-$I37)</f>
        <v/>
      </c>
      <c r="M37" s="45">
        <f>IFERROR($D37/$C37-1,"")</f>
        <v/>
      </c>
    </row>
    <row r="38">
      <c r="A38" s="43" t="inlineStr">
        <is>
          <t>Cerveceria La Tropical</t>
        </is>
      </c>
      <c r="B38" s="43" t="inlineStr">
        <is>
          <t>La Tropical</t>
        </is>
      </c>
      <c r="C38" s="33">
        <f>SUMIFS('Data - Control'!$C$5:$C$296,'Data - Control'!$A$5:$A$296,$A38,'Data - Control'!$B$5:$B$296,$B38)</f>
        <v/>
      </c>
      <c r="D38" s="33">
        <f>SUMIFS('Data - Control'!$D$5:$D$296,'Data - Control'!$A$5:$A$296,$A38,'Data - Control'!$B$5:$B$296,$B38)</f>
        <v/>
      </c>
      <c r="E38" s="36">
        <f>SUMIFS('Data - Control'!$E$5:$E$296,'Data - Control'!$A$5:$A$296,$A38,'Data - Control'!$B$5:$B$296,$B38)</f>
        <v/>
      </c>
      <c r="F38" s="36">
        <f>SUMIFS('Data - Control'!$F$5:$F$296,'Data - Control'!$A$5:$A$296,$A38,'Data - Control'!$B$5:$B$296,$B38)</f>
        <v/>
      </c>
      <c r="G38" s="36">
        <f>SUMIFS('Data - Control'!$G$5:$G$296,'Data - Control'!$A$5:$A$296,$A38,'Data - Control'!$B$5:$B$296,$B38)</f>
        <v/>
      </c>
      <c r="H38" s="36">
        <f>SUMIFS('Data - Control'!$H$5:$H$296,'Data - Control'!$A$5:$A$296,$A38,'Data - Control'!$B$5:$B$296,$B38)</f>
        <v/>
      </c>
      <c r="I38" s="57">
        <f>IFERROR($G38/$C38,0)</f>
        <v/>
      </c>
      <c r="J38" s="57">
        <f>IFERROR($H38/$D38,0)</f>
        <v/>
      </c>
      <c r="K38" s="36">
        <f>$D38*$I38</f>
        <v/>
      </c>
      <c r="L38" s="36">
        <f>$D38*($J38-$I38)</f>
        <v/>
      </c>
      <c r="M38" s="45">
        <f>IFERROR($D38/$C38-1,"")</f>
        <v/>
      </c>
    </row>
    <row r="39">
      <c r="A39" s="43" t="inlineStr">
        <is>
          <t>Chateau Diana Winery</t>
        </is>
      </c>
      <c r="B39" s="43" t="inlineStr">
        <is>
          <t>Chateau Diana</t>
        </is>
      </c>
      <c r="C39" s="33">
        <f>SUMIFS('Data - Control'!$C$5:$C$296,'Data - Control'!$A$5:$A$296,$A39,'Data - Control'!$B$5:$B$296,$B39)</f>
        <v/>
      </c>
      <c r="D39" s="33">
        <f>SUMIFS('Data - Control'!$D$5:$D$296,'Data - Control'!$A$5:$A$296,$A39,'Data - Control'!$B$5:$B$296,$B39)</f>
        <v/>
      </c>
      <c r="E39" s="36">
        <f>SUMIFS('Data - Control'!$E$5:$E$296,'Data - Control'!$A$5:$A$296,$A39,'Data - Control'!$B$5:$B$296,$B39)</f>
        <v/>
      </c>
      <c r="F39" s="36">
        <f>SUMIFS('Data - Control'!$F$5:$F$296,'Data - Control'!$A$5:$A$296,$A39,'Data - Control'!$B$5:$B$296,$B39)</f>
        <v/>
      </c>
      <c r="G39" s="36">
        <f>SUMIFS('Data - Control'!$G$5:$G$296,'Data - Control'!$A$5:$A$296,$A39,'Data - Control'!$B$5:$B$296,$B39)</f>
        <v/>
      </c>
      <c r="H39" s="36">
        <f>SUMIFS('Data - Control'!$H$5:$H$296,'Data - Control'!$A$5:$A$296,$A39,'Data - Control'!$B$5:$B$296,$B39)</f>
        <v/>
      </c>
      <c r="I39" s="57">
        <f>IFERROR($G39/$C39,0)</f>
        <v/>
      </c>
      <c r="J39" s="57">
        <f>IFERROR($H39/$D39,0)</f>
        <v/>
      </c>
      <c r="K39" s="36">
        <f>$D39*$I39</f>
        <v/>
      </c>
      <c r="L39" s="36">
        <f>$D39*($J39-$I39)</f>
        <v/>
      </c>
      <c r="M39" s="45">
        <f>IFERROR($D39/$C39-1,"")</f>
        <v/>
      </c>
    </row>
    <row r="40">
      <c r="A40" s="43" t="inlineStr">
        <is>
          <t>Citizen Cider</t>
        </is>
      </c>
      <c r="B40" s="43" t="inlineStr">
        <is>
          <t>Citizen Cider</t>
        </is>
      </c>
      <c r="C40" s="33">
        <f>SUMIFS('Data - Control'!$C$5:$C$296,'Data - Control'!$A$5:$A$296,$A40,'Data - Control'!$B$5:$B$296,$B40)</f>
        <v/>
      </c>
      <c r="D40" s="33">
        <f>SUMIFS('Data - Control'!$D$5:$D$296,'Data - Control'!$A$5:$A$296,$A40,'Data - Control'!$B$5:$B$296,$B40)</f>
        <v/>
      </c>
      <c r="E40" s="36">
        <f>SUMIFS('Data - Control'!$E$5:$E$296,'Data - Control'!$A$5:$A$296,$A40,'Data - Control'!$B$5:$B$296,$B40)</f>
        <v/>
      </c>
      <c r="F40" s="36">
        <f>SUMIFS('Data - Control'!$F$5:$F$296,'Data - Control'!$A$5:$A$296,$A40,'Data - Control'!$B$5:$B$296,$B40)</f>
        <v/>
      </c>
      <c r="G40" s="36">
        <f>SUMIFS('Data - Control'!$G$5:$G$296,'Data - Control'!$A$5:$A$296,$A40,'Data - Control'!$B$5:$B$296,$B40)</f>
        <v/>
      </c>
      <c r="H40" s="36">
        <f>SUMIFS('Data - Control'!$H$5:$H$296,'Data - Control'!$A$5:$A$296,$A40,'Data - Control'!$B$5:$B$296,$B40)</f>
        <v/>
      </c>
      <c r="I40" s="57">
        <f>IFERROR($G40/$C40,0)</f>
        <v/>
      </c>
      <c r="J40" s="57">
        <f>IFERROR($H40/$D40,0)</f>
        <v/>
      </c>
      <c r="K40" s="36">
        <f>$D40*$I40</f>
        <v/>
      </c>
      <c r="L40" s="36">
        <f>$D40*($J40-$I40)</f>
        <v/>
      </c>
      <c r="M40" s="45">
        <f>IFERROR($D40/$C40-1,"")</f>
        <v/>
      </c>
    </row>
    <row r="41">
      <c r="A41" s="43" t="inlineStr">
        <is>
          <t>Constellation Brands</t>
        </is>
      </c>
      <c r="B41" s="43" t="inlineStr">
        <is>
          <t>Corona Familiar</t>
        </is>
      </c>
      <c r="C41" s="33">
        <f>SUMIFS('Data - Control'!$C$5:$C$296,'Data - Control'!$A$5:$A$296,$A41,'Data - Control'!$B$5:$B$296,$B41)</f>
        <v/>
      </c>
      <c r="D41" s="33">
        <f>SUMIFS('Data - Control'!$D$5:$D$296,'Data - Control'!$A$5:$A$296,$A41,'Data - Control'!$B$5:$B$296,$B41)</f>
        <v/>
      </c>
      <c r="E41" s="36">
        <f>SUMIFS('Data - Control'!$E$5:$E$296,'Data - Control'!$A$5:$A$296,$A41,'Data - Control'!$B$5:$B$296,$B41)</f>
        <v/>
      </c>
      <c r="F41" s="36">
        <f>SUMIFS('Data - Control'!$F$5:$F$296,'Data - Control'!$A$5:$A$296,$A41,'Data - Control'!$B$5:$B$296,$B41)</f>
        <v/>
      </c>
      <c r="G41" s="36">
        <f>SUMIFS('Data - Control'!$G$5:$G$296,'Data - Control'!$A$5:$A$296,$A41,'Data - Control'!$B$5:$B$296,$B41)</f>
        <v/>
      </c>
      <c r="H41" s="36">
        <f>SUMIFS('Data - Control'!$H$5:$H$296,'Data - Control'!$A$5:$A$296,$A41,'Data - Control'!$B$5:$B$296,$B41)</f>
        <v/>
      </c>
      <c r="I41" s="57">
        <f>IFERROR($G41/$C41,0)</f>
        <v/>
      </c>
      <c r="J41" s="57">
        <f>IFERROR($H41/$D41,0)</f>
        <v/>
      </c>
      <c r="K41" s="36">
        <f>$D41*$I41</f>
        <v/>
      </c>
      <c r="L41" s="36">
        <f>$D41*($J41-$I41)</f>
        <v/>
      </c>
      <c r="M41" s="45">
        <f>IFERROR($D41/$C41-1,"")</f>
        <v/>
      </c>
    </row>
    <row r="42">
      <c r="A42" s="43" t="inlineStr">
        <is>
          <t>Constellation Brands</t>
        </is>
      </c>
      <c r="B42" s="43" t="inlineStr">
        <is>
          <t>Corona Light</t>
        </is>
      </c>
      <c r="C42" s="33">
        <f>SUMIFS('Data - Control'!$C$5:$C$296,'Data - Control'!$A$5:$A$296,$A42,'Data - Control'!$B$5:$B$296,$B42)</f>
        <v/>
      </c>
      <c r="D42" s="33">
        <f>SUMIFS('Data - Control'!$D$5:$D$296,'Data - Control'!$A$5:$A$296,$A42,'Data - Control'!$B$5:$B$296,$B42)</f>
        <v/>
      </c>
      <c r="E42" s="36">
        <f>SUMIFS('Data - Control'!$E$5:$E$296,'Data - Control'!$A$5:$A$296,$A42,'Data - Control'!$B$5:$B$296,$B42)</f>
        <v/>
      </c>
      <c r="F42" s="36">
        <f>SUMIFS('Data - Control'!$F$5:$F$296,'Data - Control'!$A$5:$A$296,$A42,'Data - Control'!$B$5:$B$296,$B42)</f>
        <v/>
      </c>
      <c r="G42" s="36">
        <f>SUMIFS('Data - Control'!$G$5:$G$296,'Data - Control'!$A$5:$A$296,$A42,'Data - Control'!$B$5:$B$296,$B42)</f>
        <v/>
      </c>
      <c r="H42" s="36">
        <f>SUMIFS('Data - Control'!$H$5:$H$296,'Data - Control'!$A$5:$A$296,$A42,'Data - Control'!$B$5:$B$296,$B42)</f>
        <v/>
      </c>
      <c r="I42" s="57">
        <f>IFERROR($G42/$C42,0)</f>
        <v/>
      </c>
      <c r="J42" s="57">
        <f>IFERROR($H42/$D42,0)</f>
        <v/>
      </c>
      <c r="K42" s="36">
        <f>$D42*$I42</f>
        <v/>
      </c>
      <c r="L42" s="36">
        <f>$D42*($J42-$I42)</f>
        <v/>
      </c>
      <c r="M42" s="45">
        <f>IFERROR($D42/$C42-1,"")</f>
        <v/>
      </c>
    </row>
    <row r="43">
      <c r="A43" s="43" t="inlineStr">
        <is>
          <t>Constellation Brands</t>
        </is>
      </c>
      <c r="B43" s="43" t="inlineStr">
        <is>
          <t>Corona NA</t>
        </is>
      </c>
      <c r="C43" s="33">
        <f>SUMIFS('Data - Control'!$C$5:$C$296,'Data - Control'!$A$5:$A$296,$A43,'Data - Control'!$B$5:$B$296,$B43)</f>
        <v/>
      </c>
      <c r="D43" s="33">
        <f>SUMIFS('Data - Control'!$D$5:$D$296,'Data - Control'!$A$5:$A$296,$A43,'Data - Control'!$B$5:$B$296,$B43)</f>
        <v/>
      </c>
      <c r="E43" s="36">
        <f>SUMIFS('Data - Control'!$E$5:$E$296,'Data - Control'!$A$5:$A$296,$A43,'Data - Control'!$B$5:$B$296,$B43)</f>
        <v/>
      </c>
      <c r="F43" s="36">
        <f>SUMIFS('Data - Control'!$F$5:$F$296,'Data - Control'!$A$5:$A$296,$A43,'Data - Control'!$B$5:$B$296,$B43)</f>
        <v/>
      </c>
      <c r="G43" s="36">
        <f>SUMIFS('Data - Control'!$G$5:$G$296,'Data - Control'!$A$5:$A$296,$A43,'Data - Control'!$B$5:$B$296,$B43)</f>
        <v/>
      </c>
      <c r="H43" s="36">
        <f>SUMIFS('Data - Control'!$H$5:$H$296,'Data - Control'!$A$5:$A$296,$A43,'Data - Control'!$B$5:$B$296,$B43)</f>
        <v/>
      </c>
      <c r="I43" s="57">
        <f>IFERROR($G43/$C43,0)</f>
        <v/>
      </c>
      <c r="J43" s="57">
        <f>IFERROR($H43/$D43,0)</f>
        <v/>
      </c>
      <c r="K43" s="36">
        <f>$D43*$I43</f>
        <v/>
      </c>
      <c r="L43" s="36">
        <f>$D43*($J43-$I43)</f>
        <v/>
      </c>
      <c r="M43" s="45">
        <f>IFERROR($D43/$C43-1,"")</f>
        <v/>
      </c>
    </row>
    <row r="44">
      <c r="A44" s="43" t="inlineStr">
        <is>
          <t>Constellation Brands</t>
        </is>
      </c>
      <c r="B44" s="43" t="inlineStr">
        <is>
          <t>Corona Refresca</t>
        </is>
      </c>
      <c r="C44" s="33">
        <f>SUMIFS('Data - Control'!$C$5:$C$296,'Data - Control'!$A$5:$A$296,$A44,'Data - Control'!$B$5:$B$296,$B44)</f>
        <v/>
      </c>
      <c r="D44" s="33">
        <f>SUMIFS('Data - Control'!$D$5:$D$296,'Data - Control'!$A$5:$A$296,$A44,'Data - Control'!$B$5:$B$296,$B44)</f>
        <v/>
      </c>
      <c r="E44" s="36">
        <f>SUMIFS('Data - Control'!$E$5:$E$296,'Data - Control'!$A$5:$A$296,$A44,'Data - Control'!$B$5:$B$296,$B44)</f>
        <v/>
      </c>
      <c r="F44" s="36">
        <f>SUMIFS('Data - Control'!$F$5:$F$296,'Data - Control'!$A$5:$A$296,$A44,'Data - Control'!$B$5:$B$296,$B44)</f>
        <v/>
      </c>
      <c r="G44" s="36">
        <f>SUMIFS('Data - Control'!$G$5:$G$296,'Data - Control'!$A$5:$A$296,$A44,'Data - Control'!$B$5:$B$296,$B44)</f>
        <v/>
      </c>
      <c r="H44" s="36">
        <f>SUMIFS('Data - Control'!$H$5:$H$296,'Data - Control'!$A$5:$A$296,$A44,'Data - Control'!$B$5:$B$296,$B44)</f>
        <v/>
      </c>
      <c r="I44" s="57">
        <f>IFERROR($G44/$C44,0)</f>
        <v/>
      </c>
      <c r="J44" s="57">
        <f>IFERROR($H44/$D44,0)</f>
        <v/>
      </c>
      <c r="K44" s="36">
        <f>$D44*$I44</f>
        <v/>
      </c>
      <c r="L44" s="36">
        <f>$D44*($J44-$I44)</f>
        <v/>
      </c>
      <c r="M44" s="45">
        <f>IFERROR($D44/$C44-1,"")</f>
        <v/>
      </c>
    </row>
    <row r="45">
      <c r="A45" s="43" t="inlineStr">
        <is>
          <t>Constellation Brands</t>
        </is>
      </c>
      <c r="B45" s="43" t="inlineStr">
        <is>
          <t>Corona Sunbrew</t>
        </is>
      </c>
      <c r="C45" s="33">
        <f>SUMIFS('Data - Control'!$C$5:$C$296,'Data - Control'!$A$5:$A$296,$A45,'Data - Control'!$B$5:$B$296,$B45)</f>
        <v/>
      </c>
      <c r="D45" s="33">
        <f>SUMIFS('Data - Control'!$D$5:$D$296,'Data - Control'!$A$5:$A$296,$A45,'Data - Control'!$B$5:$B$296,$B45)</f>
        <v/>
      </c>
      <c r="E45" s="36">
        <f>SUMIFS('Data - Control'!$E$5:$E$296,'Data - Control'!$A$5:$A$296,$A45,'Data - Control'!$B$5:$B$296,$B45)</f>
        <v/>
      </c>
      <c r="F45" s="36">
        <f>SUMIFS('Data - Control'!$F$5:$F$296,'Data - Control'!$A$5:$A$296,$A45,'Data - Control'!$B$5:$B$296,$B45)</f>
        <v/>
      </c>
      <c r="G45" s="36">
        <f>SUMIFS('Data - Control'!$G$5:$G$296,'Data - Control'!$A$5:$A$296,$A45,'Data - Control'!$B$5:$B$296,$B45)</f>
        <v/>
      </c>
      <c r="H45" s="36">
        <f>SUMIFS('Data - Control'!$H$5:$H$296,'Data - Control'!$A$5:$A$296,$A45,'Data - Control'!$B$5:$B$296,$B45)</f>
        <v/>
      </c>
      <c r="I45" s="57">
        <f>IFERROR($G45/$C45,0)</f>
        <v/>
      </c>
      <c r="J45" s="57">
        <f>IFERROR($H45/$D45,0)</f>
        <v/>
      </c>
      <c r="K45" s="36">
        <f>$D45*$I45</f>
        <v/>
      </c>
      <c r="L45" s="36">
        <f>$D45*($J45-$I45)</f>
        <v/>
      </c>
      <c r="M45" s="45">
        <f>IFERROR($D45/$C45-1,"")</f>
        <v/>
      </c>
    </row>
    <row r="46">
      <c r="A46" s="43" t="inlineStr">
        <is>
          <t>Constellation Brands</t>
        </is>
      </c>
      <c r="B46" s="43" t="inlineStr">
        <is>
          <t>Modelo Aquas Frescas</t>
        </is>
      </c>
      <c r="C46" s="33">
        <f>SUMIFS('Data - Control'!$C$5:$C$296,'Data - Control'!$A$5:$A$296,$A46,'Data - Control'!$B$5:$B$296,$B46)</f>
        <v/>
      </c>
      <c r="D46" s="33">
        <f>SUMIFS('Data - Control'!$D$5:$D$296,'Data - Control'!$A$5:$A$296,$A46,'Data - Control'!$B$5:$B$296,$B46)</f>
        <v/>
      </c>
      <c r="E46" s="36">
        <f>SUMIFS('Data - Control'!$E$5:$E$296,'Data - Control'!$A$5:$A$296,$A46,'Data - Control'!$B$5:$B$296,$B46)</f>
        <v/>
      </c>
      <c r="F46" s="36">
        <f>SUMIFS('Data - Control'!$F$5:$F$296,'Data - Control'!$A$5:$A$296,$A46,'Data - Control'!$B$5:$B$296,$B46)</f>
        <v/>
      </c>
      <c r="G46" s="36">
        <f>SUMIFS('Data - Control'!$G$5:$G$296,'Data - Control'!$A$5:$A$296,$A46,'Data - Control'!$B$5:$B$296,$B46)</f>
        <v/>
      </c>
      <c r="H46" s="36">
        <f>SUMIFS('Data - Control'!$H$5:$H$296,'Data - Control'!$A$5:$A$296,$A46,'Data - Control'!$B$5:$B$296,$B46)</f>
        <v/>
      </c>
      <c r="I46" s="57">
        <f>IFERROR($G46/$C46,0)</f>
        <v/>
      </c>
      <c r="J46" s="57">
        <f>IFERROR($H46/$D46,0)</f>
        <v/>
      </c>
      <c r="K46" s="36">
        <f>$D46*$I46</f>
        <v/>
      </c>
      <c r="L46" s="36">
        <f>$D46*($J46-$I46)</f>
        <v/>
      </c>
      <c r="M46" s="45">
        <f>IFERROR($D46/$C46-1,"")</f>
        <v/>
      </c>
    </row>
    <row r="47">
      <c r="A47" s="43" t="inlineStr">
        <is>
          <t>Constellation Brands</t>
        </is>
      </c>
      <c r="B47" s="43" t="inlineStr">
        <is>
          <t>Modelo Negra</t>
        </is>
      </c>
      <c r="C47" s="33">
        <f>SUMIFS('Data - Control'!$C$5:$C$296,'Data - Control'!$A$5:$A$296,$A47,'Data - Control'!$B$5:$B$296,$B47)</f>
        <v/>
      </c>
      <c r="D47" s="33">
        <f>SUMIFS('Data - Control'!$D$5:$D$296,'Data - Control'!$A$5:$A$296,$A47,'Data - Control'!$B$5:$B$296,$B47)</f>
        <v/>
      </c>
      <c r="E47" s="36">
        <f>SUMIFS('Data - Control'!$E$5:$E$296,'Data - Control'!$A$5:$A$296,$A47,'Data - Control'!$B$5:$B$296,$B47)</f>
        <v/>
      </c>
      <c r="F47" s="36">
        <f>SUMIFS('Data - Control'!$F$5:$F$296,'Data - Control'!$A$5:$A$296,$A47,'Data - Control'!$B$5:$B$296,$B47)</f>
        <v/>
      </c>
      <c r="G47" s="36">
        <f>SUMIFS('Data - Control'!$G$5:$G$296,'Data - Control'!$A$5:$A$296,$A47,'Data - Control'!$B$5:$B$296,$B47)</f>
        <v/>
      </c>
      <c r="H47" s="36">
        <f>SUMIFS('Data - Control'!$H$5:$H$296,'Data - Control'!$A$5:$A$296,$A47,'Data - Control'!$B$5:$B$296,$B47)</f>
        <v/>
      </c>
      <c r="I47" s="57">
        <f>IFERROR($G47/$C47,0)</f>
        <v/>
      </c>
      <c r="J47" s="57">
        <f>IFERROR($H47/$D47,0)</f>
        <v/>
      </c>
      <c r="K47" s="36">
        <f>$D47*$I47</f>
        <v/>
      </c>
      <c r="L47" s="36">
        <f>$D47*($J47-$I47)</f>
        <v/>
      </c>
      <c r="M47" s="45">
        <f>IFERROR($D47/$C47-1,"")</f>
        <v/>
      </c>
    </row>
    <row r="48">
      <c r="A48" s="43" t="inlineStr">
        <is>
          <t>Constellation Brands</t>
        </is>
      </c>
      <c r="B48" s="43" t="inlineStr">
        <is>
          <t>Modelo Oro</t>
        </is>
      </c>
      <c r="C48" s="33">
        <f>SUMIFS('Data - Control'!$C$5:$C$296,'Data - Control'!$A$5:$A$296,$A48,'Data - Control'!$B$5:$B$296,$B48)</f>
        <v/>
      </c>
      <c r="D48" s="33">
        <f>SUMIFS('Data - Control'!$D$5:$D$296,'Data - Control'!$A$5:$A$296,$A48,'Data - Control'!$B$5:$B$296,$B48)</f>
        <v/>
      </c>
      <c r="E48" s="36">
        <f>SUMIFS('Data - Control'!$E$5:$E$296,'Data - Control'!$A$5:$A$296,$A48,'Data - Control'!$B$5:$B$296,$B48)</f>
        <v/>
      </c>
      <c r="F48" s="36">
        <f>SUMIFS('Data - Control'!$F$5:$F$296,'Data - Control'!$A$5:$A$296,$A48,'Data - Control'!$B$5:$B$296,$B48)</f>
        <v/>
      </c>
      <c r="G48" s="36">
        <f>SUMIFS('Data - Control'!$G$5:$G$296,'Data - Control'!$A$5:$A$296,$A48,'Data - Control'!$B$5:$B$296,$B48)</f>
        <v/>
      </c>
      <c r="H48" s="36">
        <f>SUMIFS('Data - Control'!$H$5:$H$296,'Data - Control'!$A$5:$A$296,$A48,'Data - Control'!$B$5:$B$296,$B48)</f>
        <v/>
      </c>
      <c r="I48" s="57">
        <f>IFERROR($G48/$C48,0)</f>
        <v/>
      </c>
      <c r="J48" s="57">
        <f>IFERROR($H48/$D48,0)</f>
        <v/>
      </c>
      <c r="K48" s="36">
        <f>$D48*$I48</f>
        <v/>
      </c>
      <c r="L48" s="36">
        <f>$D48*($J48-$I48)</f>
        <v/>
      </c>
      <c r="M48" s="45">
        <f>IFERROR($D48/$C48-1,"")</f>
        <v/>
      </c>
    </row>
    <row r="49">
      <c r="A49" s="43" t="inlineStr">
        <is>
          <t>Constellation Brands</t>
        </is>
      </c>
      <c r="B49" s="43" t="inlineStr">
        <is>
          <t>The Drop</t>
        </is>
      </c>
      <c r="C49" s="33">
        <f>SUMIFS('Data - Control'!$C$5:$C$296,'Data - Control'!$A$5:$A$296,$A49,'Data - Control'!$B$5:$B$296,$B49)</f>
        <v/>
      </c>
      <c r="D49" s="33">
        <f>SUMIFS('Data - Control'!$D$5:$D$296,'Data - Control'!$A$5:$A$296,$A49,'Data - Control'!$B$5:$B$296,$B49)</f>
        <v/>
      </c>
      <c r="E49" s="36">
        <f>SUMIFS('Data - Control'!$E$5:$E$296,'Data - Control'!$A$5:$A$296,$A49,'Data - Control'!$B$5:$B$296,$B49)</f>
        <v/>
      </c>
      <c r="F49" s="36">
        <f>SUMIFS('Data - Control'!$F$5:$F$296,'Data - Control'!$A$5:$A$296,$A49,'Data - Control'!$B$5:$B$296,$B49)</f>
        <v/>
      </c>
      <c r="G49" s="36">
        <f>SUMIFS('Data - Control'!$G$5:$G$296,'Data - Control'!$A$5:$A$296,$A49,'Data - Control'!$B$5:$B$296,$B49)</f>
        <v/>
      </c>
      <c r="H49" s="36">
        <f>SUMIFS('Data - Control'!$H$5:$H$296,'Data - Control'!$A$5:$A$296,$A49,'Data - Control'!$B$5:$B$296,$B49)</f>
        <v/>
      </c>
      <c r="I49" s="57">
        <f>IFERROR($G49/$C49,0)</f>
        <v/>
      </c>
      <c r="J49" s="57">
        <f>IFERROR($H49/$D49,0)</f>
        <v/>
      </c>
      <c r="K49" s="36">
        <f>$D49*$I49</f>
        <v/>
      </c>
      <c r="L49" s="36">
        <f>$D49*($J49-$I49)</f>
        <v/>
      </c>
      <c r="M49" s="45">
        <f>IFERROR($D49/$C49-1,"")</f>
        <v/>
      </c>
    </row>
    <row r="50">
      <c r="A50" s="43" t="inlineStr">
        <is>
          <t>Crescent Canna</t>
        </is>
      </c>
      <c r="B50" s="43" t="inlineStr">
        <is>
          <t>Crescent 9</t>
        </is>
      </c>
      <c r="C50" s="33">
        <f>SUMIFS('Data - Control'!$C$5:$C$296,'Data - Control'!$A$5:$A$296,$A50,'Data - Control'!$B$5:$B$296,$B50)</f>
        <v/>
      </c>
      <c r="D50" s="33">
        <f>SUMIFS('Data - Control'!$D$5:$D$296,'Data - Control'!$A$5:$A$296,$A50,'Data - Control'!$B$5:$B$296,$B50)</f>
        <v/>
      </c>
      <c r="E50" s="36">
        <f>SUMIFS('Data - Control'!$E$5:$E$296,'Data - Control'!$A$5:$A$296,$A50,'Data - Control'!$B$5:$B$296,$B50)</f>
        <v/>
      </c>
      <c r="F50" s="36">
        <f>SUMIFS('Data - Control'!$F$5:$F$296,'Data - Control'!$A$5:$A$296,$A50,'Data - Control'!$B$5:$B$296,$B50)</f>
        <v/>
      </c>
      <c r="G50" s="36">
        <f>SUMIFS('Data - Control'!$G$5:$G$296,'Data - Control'!$A$5:$A$296,$A50,'Data - Control'!$B$5:$B$296,$B50)</f>
        <v/>
      </c>
      <c r="H50" s="36">
        <f>SUMIFS('Data - Control'!$H$5:$H$296,'Data - Control'!$A$5:$A$296,$A50,'Data - Control'!$B$5:$B$296,$B50)</f>
        <v/>
      </c>
      <c r="I50" s="57">
        <f>IFERROR($G50/$C50,0)</f>
        <v/>
      </c>
      <c r="J50" s="57">
        <f>IFERROR($H50/$D50,0)</f>
        <v/>
      </c>
      <c r="K50" s="36">
        <f>$D50*$I50</f>
        <v/>
      </c>
      <c r="L50" s="36">
        <f>$D50*($J50-$I50)</f>
        <v/>
      </c>
      <c r="M50" s="45">
        <f>IFERROR($D50/$C50-1,"")</f>
        <v/>
      </c>
    </row>
    <row r="51">
      <c r="A51" s="43" t="inlineStr">
        <is>
          <t>Cricket Hill</t>
        </is>
      </c>
      <c r="B51" s="43" t="inlineStr">
        <is>
          <t>Cricket Hill</t>
        </is>
      </c>
      <c r="C51" s="33">
        <f>SUMIFS('Data - Control'!$C$5:$C$296,'Data - Control'!$A$5:$A$296,$A51,'Data - Control'!$B$5:$B$296,$B51)</f>
        <v/>
      </c>
      <c r="D51" s="33">
        <f>SUMIFS('Data - Control'!$D$5:$D$296,'Data - Control'!$A$5:$A$296,$A51,'Data - Control'!$B$5:$B$296,$B51)</f>
        <v/>
      </c>
      <c r="E51" s="36">
        <f>SUMIFS('Data - Control'!$E$5:$E$296,'Data - Control'!$A$5:$A$296,$A51,'Data - Control'!$B$5:$B$296,$B51)</f>
        <v/>
      </c>
      <c r="F51" s="36">
        <f>SUMIFS('Data - Control'!$F$5:$F$296,'Data - Control'!$A$5:$A$296,$A51,'Data - Control'!$B$5:$B$296,$B51)</f>
        <v/>
      </c>
      <c r="G51" s="36">
        <f>SUMIFS('Data - Control'!$G$5:$G$296,'Data - Control'!$A$5:$A$296,$A51,'Data - Control'!$B$5:$B$296,$B51)</f>
        <v/>
      </c>
      <c r="H51" s="36">
        <f>SUMIFS('Data - Control'!$H$5:$H$296,'Data - Control'!$A$5:$A$296,$A51,'Data - Control'!$B$5:$B$296,$B51)</f>
        <v/>
      </c>
      <c r="I51" s="57">
        <f>IFERROR($G51/$C51,0)</f>
        <v/>
      </c>
      <c r="J51" s="57">
        <f>IFERROR($H51/$D51,0)</f>
        <v/>
      </c>
      <c r="K51" s="36">
        <f>$D51*$I51</f>
        <v/>
      </c>
      <c r="L51" s="36">
        <f>$D51*($J51-$I51)</f>
        <v/>
      </c>
      <c r="M51" s="45">
        <f>IFERROR($D51/$C51-1,"")</f>
        <v/>
      </c>
    </row>
    <row r="52">
      <c r="A52" s="43" t="inlineStr">
        <is>
          <t>Crook &amp; Marker</t>
        </is>
      </c>
      <c r="B52" s="43" t="inlineStr">
        <is>
          <t>Crook&amp;Marker</t>
        </is>
      </c>
      <c r="C52" s="33">
        <f>SUMIFS('Data - Control'!$C$5:$C$296,'Data - Control'!$A$5:$A$296,$A52,'Data - Control'!$B$5:$B$296,$B52)</f>
        <v/>
      </c>
      <c r="D52" s="33">
        <f>SUMIFS('Data - Control'!$D$5:$D$296,'Data - Control'!$A$5:$A$296,$A52,'Data - Control'!$B$5:$B$296,$B52)</f>
        <v/>
      </c>
      <c r="E52" s="36">
        <f>SUMIFS('Data - Control'!$E$5:$E$296,'Data - Control'!$A$5:$A$296,$A52,'Data - Control'!$B$5:$B$296,$B52)</f>
        <v/>
      </c>
      <c r="F52" s="36">
        <f>SUMIFS('Data - Control'!$F$5:$F$296,'Data - Control'!$A$5:$A$296,$A52,'Data - Control'!$B$5:$B$296,$B52)</f>
        <v/>
      </c>
      <c r="G52" s="36">
        <f>SUMIFS('Data - Control'!$G$5:$G$296,'Data - Control'!$A$5:$A$296,$A52,'Data - Control'!$B$5:$B$296,$B52)</f>
        <v/>
      </c>
      <c r="H52" s="36">
        <f>SUMIFS('Data - Control'!$H$5:$H$296,'Data - Control'!$A$5:$A$296,$A52,'Data - Control'!$B$5:$B$296,$B52)</f>
        <v/>
      </c>
      <c r="I52" s="57">
        <f>IFERROR($G52/$C52,0)</f>
        <v/>
      </c>
      <c r="J52" s="57">
        <f>IFERROR($H52/$D52,0)</f>
        <v/>
      </c>
      <c r="K52" s="36">
        <f>$D52*$I52</f>
        <v/>
      </c>
      <c r="L52" s="36">
        <f>$D52*($J52-$I52)</f>
        <v/>
      </c>
      <c r="M52" s="45">
        <f>IFERROR($D52/$C52-1,"")</f>
        <v/>
      </c>
    </row>
    <row r="53">
      <c r="A53" s="43" t="inlineStr">
        <is>
          <t>Crook &amp; Marker</t>
        </is>
      </c>
      <c r="B53" s="43" t="inlineStr">
        <is>
          <t>Crooked Tea</t>
        </is>
      </c>
      <c r="C53" s="33">
        <f>SUMIFS('Data - Control'!$C$5:$C$296,'Data - Control'!$A$5:$A$296,$A53,'Data - Control'!$B$5:$B$296,$B53)</f>
        <v/>
      </c>
      <c r="D53" s="33">
        <f>SUMIFS('Data - Control'!$D$5:$D$296,'Data - Control'!$A$5:$A$296,$A53,'Data - Control'!$B$5:$B$296,$B53)</f>
        <v/>
      </c>
      <c r="E53" s="36">
        <f>SUMIFS('Data - Control'!$E$5:$E$296,'Data - Control'!$A$5:$A$296,$A53,'Data - Control'!$B$5:$B$296,$B53)</f>
        <v/>
      </c>
      <c r="F53" s="36">
        <f>SUMIFS('Data - Control'!$F$5:$F$296,'Data - Control'!$A$5:$A$296,$A53,'Data - Control'!$B$5:$B$296,$B53)</f>
        <v/>
      </c>
      <c r="G53" s="36">
        <f>SUMIFS('Data - Control'!$G$5:$G$296,'Data - Control'!$A$5:$A$296,$A53,'Data - Control'!$B$5:$B$296,$B53)</f>
        <v/>
      </c>
      <c r="H53" s="36">
        <f>SUMIFS('Data - Control'!$H$5:$H$296,'Data - Control'!$A$5:$A$296,$A53,'Data - Control'!$B$5:$B$296,$B53)</f>
        <v/>
      </c>
      <c r="I53" s="57">
        <f>IFERROR($G53/$C53,0)</f>
        <v/>
      </c>
      <c r="J53" s="57">
        <f>IFERROR($H53/$D53,0)</f>
        <v/>
      </c>
      <c r="K53" s="36">
        <f>$D53*$I53</f>
        <v/>
      </c>
      <c r="L53" s="36">
        <f>$D53*($J53-$I53)</f>
        <v/>
      </c>
      <c r="M53" s="45">
        <f>IFERROR($D53/$C53-1,"")</f>
        <v/>
      </c>
    </row>
    <row r="54">
      <c r="A54" s="43" t="inlineStr">
        <is>
          <t>Cruz Beverage</t>
        </is>
      </c>
      <c r="B54" s="43" t="inlineStr">
        <is>
          <t>YaVe Tequila</t>
        </is>
      </c>
      <c r="C54" s="33">
        <f>SUMIFS('Data - Control'!$C$5:$C$296,'Data - Control'!$A$5:$A$296,$A54,'Data - Control'!$B$5:$B$296,$B54)</f>
        <v/>
      </c>
      <c r="D54" s="33">
        <f>SUMIFS('Data - Control'!$D$5:$D$296,'Data - Control'!$A$5:$A$296,$A54,'Data - Control'!$B$5:$B$296,$B54)</f>
        <v/>
      </c>
      <c r="E54" s="36">
        <f>SUMIFS('Data - Control'!$E$5:$E$296,'Data - Control'!$A$5:$A$296,$A54,'Data - Control'!$B$5:$B$296,$B54)</f>
        <v/>
      </c>
      <c r="F54" s="36">
        <f>SUMIFS('Data - Control'!$F$5:$F$296,'Data - Control'!$A$5:$A$296,$A54,'Data - Control'!$B$5:$B$296,$B54)</f>
        <v/>
      </c>
      <c r="G54" s="36">
        <f>SUMIFS('Data - Control'!$G$5:$G$296,'Data - Control'!$A$5:$A$296,$A54,'Data - Control'!$B$5:$B$296,$B54)</f>
        <v/>
      </c>
      <c r="H54" s="36">
        <f>SUMIFS('Data - Control'!$H$5:$H$296,'Data - Control'!$A$5:$A$296,$A54,'Data - Control'!$B$5:$B$296,$B54)</f>
        <v/>
      </c>
      <c r="I54" s="57">
        <f>IFERROR($G54/$C54,0)</f>
        <v/>
      </c>
      <c r="J54" s="57">
        <f>IFERROR($H54/$D54,0)</f>
        <v/>
      </c>
      <c r="K54" s="36">
        <f>$D54*$I54</f>
        <v/>
      </c>
      <c r="L54" s="36">
        <f>$D54*($J54-$I54)</f>
        <v/>
      </c>
      <c r="M54" s="45">
        <f>IFERROR($D54/$C54-1,"")</f>
        <v/>
      </c>
    </row>
    <row r="55">
      <c r="A55" s="43" t="inlineStr">
        <is>
          <t>DG Yuengling Inc</t>
        </is>
      </c>
      <c r="B55" s="43" t="inlineStr">
        <is>
          <t>Dg Yuengling Inc</t>
        </is>
      </c>
      <c r="C55" s="33">
        <f>SUMIFS('Data - Control'!$C$5:$C$296,'Data - Control'!$A$5:$A$296,$A55,'Data - Control'!$B$5:$B$296,$B55)</f>
        <v/>
      </c>
      <c r="D55" s="33">
        <f>SUMIFS('Data - Control'!$D$5:$D$296,'Data - Control'!$A$5:$A$296,$A55,'Data - Control'!$B$5:$B$296,$B55)</f>
        <v/>
      </c>
      <c r="E55" s="36">
        <f>SUMIFS('Data - Control'!$E$5:$E$296,'Data - Control'!$A$5:$A$296,$A55,'Data - Control'!$B$5:$B$296,$B55)</f>
        <v/>
      </c>
      <c r="F55" s="36">
        <f>SUMIFS('Data - Control'!$F$5:$F$296,'Data - Control'!$A$5:$A$296,$A55,'Data - Control'!$B$5:$B$296,$B55)</f>
        <v/>
      </c>
      <c r="G55" s="36">
        <f>SUMIFS('Data - Control'!$G$5:$G$296,'Data - Control'!$A$5:$A$296,$A55,'Data - Control'!$B$5:$B$296,$B55)</f>
        <v/>
      </c>
      <c r="H55" s="36">
        <f>SUMIFS('Data - Control'!$H$5:$H$296,'Data - Control'!$A$5:$A$296,$A55,'Data - Control'!$B$5:$B$296,$B55)</f>
        <v/>
      </c>
      <c r="I55" s="57">
        <f>IFERROR($G55/$C55,0)</f>
        <v/>
      </c>
      <c r="J55" s="57">
        <f>IFERROR($H55/$D55,0)</f>
        <v/>
      </c>
      <c r="K55" s="36">
        <f>$D55*$I55</f>
        <v/>
      </c>
      <c r="L55" s="36">
        <f>$D55*($J55-$I55)</f>
        <v/>
      </c>
      <c r="M55" s="45">
        <f>IFERROR($D55/$C55-1,"")</f>
        <v/>
      </c>
    </row>
    <row r="56">
      <c r="A56" s="43" t="inlineStr">
        <is>
          <t>DG Yuengling Inc</t>
        </is>
      </c>
      <c r="B56" s="43" t="inlineStr">
        <is>
          <t>Yuengling Black &amp; Tan</t>
        </is>
      </c>
      <c r="C56" s="33">
        <f>SUMIFS('Data - Control'!$C$5:$C$296,'Data - Control'!$A$5:$A$296,$A56,'Data - Control'!$B$5:$B$296,$B56)</f>
        <v/>
      </c>
      <c r="D56" s="33">
        <f>SUMIFS('Data - Control'!$D$5:$D$296,'Data - Control'!$A$5:$A$296,$A56,'Data - Control'!$B$5:$B$296,$B56)</f>
        <v/>
      </c>
      <c r="E56" s="36">
        <f>SUMIFS('Data - Control'!$E$5:$E$296,'Data - Control'!$A$5:$A$296,$A56,'Data - Control'!$B$5:$B$296,$B56)</f>
        <v/>
      </c>
      <c r="F56" s="36">
        <f>SUMIFS('Data - Control'!$F$5:$F$296,'Data - Control'!$A$5:$A$296,$A56,'Data - Control'!$B$5:$B$296,$B56)</f>
        <v/>
      </c>
      <c r="G56" s="36">
        <f>SUMIFS('Data - Control'!$G$5:$G$296,'Data - Control'!$A$5:$A$296,$A56,'Data - Control'!$B$5:$B$296,$B56)</f>
        <v/>
      </c>
      <c r="H56" s="36">
        <f>SUMIFS('Data - Control'!$H$5:$H$296,'Data - Control'!$A$5:$A$296,$A56,'Data - Control'!$B$5:$B$296,$B56)</f>
        <v/>
      </c>
      <c r="I56" s="57">
        <f>IFERROR($G56/$C56,0)</f>
        <v/>
      </c>
      <c r="J56" s="57">
        <f>IFERROR($H56/$D56,0)</f>
        <v/>
      </c>
      <c r="K56" s="36">
        <f>$D56*$I56</f>
        <v/>
      </c>
      <c r="L56" s="36">
        <f>$D56*($J56-$I56)</f>
        <v/>
      </c>
      <c r="M56" s="45">
        <f>IFERROR($D56/$C56-1,"")</f>
        <v/>
      </c>
    </row>
    <row r="57">
      <c r="A57" s="43" t="inlineStr">
        <is>
          <t>DG Yuengling Inc</t>
        </is>
      </c>
      <c r="B57" s="43" t="inlineStr">
        <is>
          <t>Yuengling Golden Pilsner</t>
        </is>
      </c>
      <c r="C57" s="33">
        <f>SUMIFS('Data - Control'!$C$5:$C$296,'Data - Control'!$A$5:$A$296,$A57,'Data - Control'!$B$5:$B$296,$B57)</f>
        <v/>
      </c>
      <c r="D57" s="33">
        <f>SUMIFS('Data - Control'!$D$5:$D$296,'Data - Control'!$A$5:$A$296,$A57,'Data - Control'!$B$5:$B$296,$B57)</f>
        <v/>
      </c>
      <c r="E57" s="36">
        <f>SUMIFS('Data - Control'!$E$5:$E$296,'Data - Control'!$A$5:$A$296,$A57,'Data - Control'!$B$5:$B$296,$B57)</f>
        <v/>
      </c>
      <c r="F57" s="36">
        <f>SUMIFS('Data - Control'!$F$5:$F$296,'Data - Control'!$A$5:$A$296,$A57,'Data - Control'!$B$5:$B$296,$B57)</f>
        <v/>
      </c>
      <c r="G57" s="36">
        <f>SUMIFS('Data - Control'!$G$5:$G$296,'Data - Control'!$A$5:$A$296,$A57,'Data - Control'!$B$5:$B$296,$B57)</f>
        <v/>
      </c>
      <c r="H57" s="36">
        <f>SUMIFS('Data - Control'!$H$5:$H$296,'Data - Control'!$A$5:$A$296,$A57,'Data - Control'!$B$5:$B$296,$B57)</f>
        <v/>
      </c>
      <c r="I57" s="57">
        <f>IFERROR($G57/$C57,0)</f>
        <v/>
      </c>
      <c r="J57" s="57">
        <f>IFERROR($H57/$D57,0)</f>
        <v/>
      </c>
      <c r="K57" s="36">
        <f>$D57*$I57</f>
        <v/>
      </c>
      <c r="L57" s="36">
        <f>$D57*($J57-$I57)</f>
        <v/>
      </c>
      <c r="M57" s="45">
        <f>IFERROR($D57/$C57-1,"")</f>
        <v/>
      </c>
    </row>
    <row r="58">
      <c r="A58" s="43" t="inlineStr">
        <is>
          <t>DG Yuengling Inc</t>
        </is>
      </c>
      <c r="B58" s="43" t="inlineStr">
        <is>
          <t>Yuengling Oktoberfest</t>
        </is>
      </c>
      <c r="C58" s="33">
        <f>SUMIFS('Data - Control'!$C$5:$C$296,'Data - Control'!$A$5:$A$296,$A58,'Data - Control'!$B$5:$B$296,$B58)</f>
        <v/>
      </c>
      <c r="D58" s="33">
        <f>SUMIFS('Data - Control'!$D$5:$D$296,'Data - Control'!$A$5:$A$296,$A58,'Data - Control'!$B$5:$B$296,$B58)</f>
        <v/>
      </c>
      <c r="E58" s="36">
        <f>SUMIFS('Data - Control'!$E$5:$E$296,'Data - Control'!$A$5:$A$296,$A58,'Data - Control'!$B$5:$B$296,$B58)</f>
        <v/>
      </c>
      <c r="F58" s="36">
        <f>SUMIFS('Data - Control'!$F$5:$F$296,'Data - Control'!$A$5:$A$296,$A58,'Data - Control'!$B$5:$B$296,$B58)</f>
        <v/>
      </c>
      <c r="G58" s="36">
        <f>SUMIFS('Data - Control'!$G$5:$G$296,'Data - Control'!$A$5:$A$296,$A58,'Data - Control'!$B$5:$B$296,$B58)</f>
        <v/>
      </c>
      <c r="H58" s="36">
        <f>SUMIFS('Data - Control'!$H$5:$H$296,'Data - Control'!$A$5:$A$296,$A58,'Data - Control'!$B$5:$B$296,$B58)</f>
        <v/>
      </c>
      <c r="I58" s="57">
        <f>IFERROR($G58/$C58,0)</f>
        <v/>
      </c>
      <c r="J58" s="57">
        <f>IFERROR($H58/$D58,0)</f>
        <v/>
      </c>
      <c r="K58" s="36">
        <f>$D58*$I58</f>
        <v/>
      </c>
      <c r="L58" s="36">
        <f>$D58*($J58-$I58)</f>
        <v/>
      </c>
      <c r="M58" s="45">
        <f>IFERROR($D58/$C58-1,"")</f>
        <v/>
      </c>
    </row>
    <row r="59">
      <c r="A59" s="43" t="inlineStr">
        <is>
          <t>DG Yuengling Inc</t>
        </is>
      </c>
      <c r="B59" s="43" t="inlineStr">
        <is>
          <t>Yuengling Premium</t>
        </is>
      </c>
      <c r="C59" s="33">
        <f>SUMIFS('Data - Control'!$C$5:$C$296,'Data - Control'!$A$5:$A$296,$A59,'Data - Control'!$B$5:$B$296,$B59)</f>
        <v/>
      </c>
      <c r="D59" s="33">
        <f>SUMIFS('Data - Control'!$D$5:$D$296,'Data - Control'!$A$5:$A$296,$A59,'Data - Control'!$B$5:$B$296,$B59)</f>
        <v/>
      </c>
      <c r="E59" s="36">
        <f>SUMIFS('Data - Control'!$E$5:$E$296,'Data - Control'!$A$5:$A$296,$A59,'Data - Control'!$B$5:$B$296,$B59)</f>
        <v/>
      </c>
      <c r="F59" s="36">
        <f>SUMIFS('Data - Control'!$F$5:$F$296,'Data - Control'!$A$5:$A$296,$A59,'Data - Control'!$B$5:$B$296,$B59)</f>
        <v/>
      </c>
      <c r="G59" s="36">
        <f>SUMIFS('Data - Control'!$G$5:$G$296,'Data - Control'!$A$5:$A$296,$A59,'Data - Control'!$B$5:$B$296,$B59)</f>
        <v/>
      </c>
      <c r="H59" s="36">
        <f>SUMIFS('Data - Control'!$H$5:$H$296,'Data - Control'!$A$5:$A$296,$A59,'Data - Control'!$B$5:$B$296,$B59)</f>
        <v/>
      </c>
      <c r="I59" s="57">
        <f>IFERROR($G59/$C59,0)</f>
        <v/>
      </c>
      <c r="J59" s="57">
        <f>IFERROR($H59/$D59,0)</f>
        <v/>
      </c>
      <c r="K59" s="36">
        <f>$D59*$I59</f>
        <v/>
      </c>
      <c r="L59" s="36">
        <f>$D59*($J59-$I59)</f>
        <v/>
      </c>
      <c r="M59" s="45">
        <f>IFERROR($D59/$C59-1,"")</f>
        <v/>
      </c>
    </row>
    <row r="60">
      <c r="A60" s="43" t="inlineStr">
        <is>
          <t>DG Yuengling Inc</t>
        </is>
      </c>
      <c r="B60" s="43" t="inlineStr">
        <is>
          <t>Yuengling Premium Light</t>
        </is>
      </c>
      <c r="C60" s="33">
        <f>SUMIFS('Data - Control'!$C$5:$C$296,'Data - Control'!$A$5:$A$296,$A60,'Data - Control'!$B$5:$B$296,$B60)</f>
        <v/>
      </c>
      <c r="D60" s="33">
        <f>SUMIFS('Data - Control'!$D$5:$D$296,'Data - Control'!$A$5:$A$296,$A60,'Data - Control'!$B$5:$B$296,$B60)</f>
        <v/>
      </c>
      <c r="E60" s="36">
        <f>SUMIFS('Data - Control'!$E$5:$E$296,'Data - Control'!$A$5:$A$296,$A60,'Data - Control'!$B$5:$B$296,$B60)</f>
        <v/>
      </c>
      <c r="F60" s="36">
        <f>SUMIFS('Data - Control'!$F$5:$F$296,'Data - Control'!$A$5:$A$296,$A60,'Data - Control'!$B$5:$B$296,$B60)</f>
        <v/>
      </c>
      <c r="G60" s="36">
        <f>SUMIFS('Data - Control'!$G$5:$G$296,'Data - Control'!$A$5:$A$296,$A60,'Data - Control'!$B$5:$B$296,$B60)</f>
        <v/>
      </c>
      <c r="H60" s="36">
        <f>SUMIFS('Data - Control'!$H$5:$H$296,'Data - Control'!$A$5:$A$296,$A60,'Data - Control'!$B$5:$B$296,$B60)</f>
        <v/>
      </c>
      <c r="I60" s="57">
        <f>IFERROR($G60/$C60,0)</f>
        <v/>
      </c>
      <c r="J60" s="57">
        <f>IFERROR($H60/$D60,0)</f>
        <v/>
      </c>
      <c r="K60" s="36">
        <f>$D60*$I60</f>
        <v/>
      </c>
      <c r="L60" s="36">
        <f>$D60*($J60-$I60)</f>
        <v/>
      </c>
      <c r="M60" s="45">
        <f>IFERROR($D60/$C60-1,"")</f>
        <v/>
      </c>
    </row>
    <row r="61">
      <c r="A61" s="43" t="inlineStr">
        <is>
          <t>Dad Grass</t>
        </is>
      </c>
      <c r="B61" s="43" t="inlineStr">
        <is>
          <t>Dad Grass</t>
        </is>
      </c>
      <c r="C61" s="33">
        <f>SUMIFS('Data - Control'!$C$5:$C$296,'Data - Control'!$A$5:$A$296,$A61,'Data - Control'!$B$5:$B$296,$B61)</f>
        <v/>
      </c>
      <c r="D61" s="33">
        <f>SUMIFS('Data - Control'!$D$5:$D$296,'Data - Control'!$A$5:$A$296,$A61,'Data - Control'!$B$5:$B$296,$B61)</f>
        <v/>
      </c>
      <c r="E61" s="36">
        <f>SUMIFS('Data - Control'!$E$5:$E$296,'Data - Control'!$A$5:$A$296,$A61,'Data - Control'!$B$5:$B$296,$B61)</f>
        <v/>
      </c>
      <c r="F61" s="36">
        <f>SUMIFS('Data - Control'!$F$5:$F$296,'Data - Control'!$A$5:$A$296,$A61,'Data - Control'!$B$5:$B$296,$B61)</f>
        <v/>
      </c>
      <c r="G61" s="36">
        <f>SUMIFS('Data - Control'!$G$5:$G$296,'Data - Control'!$A$5:$A$296,$A61,'Data - Control'!$B$5:$B$296,$B61)</f>
        <v/>
      </c>
      <c r="H61" s="36">
        <f>SUMIFS('Data - Control'!$H$5:$H$296,'Data - Control'!$A$5:$A$296,$A61,'Data - Control'!$B$5:$B$296,$B61)</f>
        <v/>
      </c>
      <c r="I61" s="57">
        <f>IFERROR($G61/$C61,0)</f>
        <v/>
      </c>
      <c r="J61" s="57">
        <f>IFERROR($H61/$D61,0)</f>
        <v/>
      </c>
      <c r="K61" s="36">
        <f>$D61*$I61</f>
        <v/>
      </c>
      <c r="L61" s="36">
        <f>$D61*($J61-$I61)</f>
        <v/>
      </c>
      <c r="M61" s="45">
        <f>IFERROR($D61/$C61-1,"")</f>
        <v/>
      </c>
    </row>
    <row r="62">
      <c r="A62" s="43" t="inlineStr">
        <is>
          <t>Defiant Brewing Co.</t>
        </is>
      </c>
      <c r="B62" s="43" t="inlineStr">
        <is>
          <t>Defiant</t>
        </is>
      </c>
      <c r="C62" s="33">
        <f>SUMIFS('Data - Control'!$C$5:$C$296,'Data - Control'!$A$5:$A$296,$A62,'Data - Control'!$B$5:$B$296,$B62)</f>
        <v/>
      </c>
      <c r="D62" s="33">
        <f>SUMIFS('Data - Control'!$D$5:$D$296,'Data - Control'!$A$5:$A$296,$A62,'Data - Control'!$B$5:$B$296,$B62)</f>
        <v/>
      </c>
      <c r="E62" s="36">
        <f>SUMIFS('Data - Control'!$E$5:$E$296,'Data - Control'!$A$5:$A$296,$A62,'Data - Control'!$B$5:$B$296,$B62)</f>
        <v/>
      </c>
      <c r="F62" s="36">
        <f>SUMIFS('Data - Control'!$F$5:$F$296,'Data - Control'!$A$5:$A$296,$A62,'Data - Control'!$B$5:$B$296,$B62)</f>
        <v/>
      </c>
      <c r="G62" s="36">
        <f>SUMIFS('Data - Control'!$G$5:$G$296,'Data - Control'!$A$5:$A$296,$A62,'Data - Control'!$B$5:$B$296,$B62)</f>
        <v/>
      </c>
      <c r="H62" s="36">
        <f>SUMIFS('Data - Control'!$H$5:$H$296,'Data - Control'!$A$5:$A$296,$A62,'Data - Control'!$B$5:$B$296,$B62)</f>
        <v/>
      </c>
      <c r="I62" s="57">
        <f>IFERROR($G62/$C62,0)</f>
        <v/>
      </c>
      <c r="J62" s="57">
        <f>IFERROR($H62/$D62,0)</f>
        <v/>
      </c>
      <c r="K62" s="36">
        <f>$D62*$I62</f>
        <v/>
      </c>
      <c r="L62" s="36">
        <f>$D62*($J62-$I62)</f>
        <v/>
      </c>
      <c r="M62" s="45">
        <f>IFERROR($D62/$C62-1,"")</f>
        <v/>
      </c>
    </row>
    <row r="63">
      <c r="A63" s="43" t="inlineStr">
        <is>
          <t>Delta Beverage LLC</t>
        </is>
      </c>
      <c r="B63" s="43" t="inlineStr">
        <is>
          <t>Delta</t>
        </is>
      </c>
      <c r="C63" s="33">
        <f>SUMIFS('Data - Control'!$C$5:$C$296,'Data - Control'!$A$5:$A$296,$A63,'Data - Control'!$B$5:$B$296,$B63)</f>
        <v/>
      </c>
      <c r="D63" s="33">
        <f>SUMIFS('Data - Control'!$D$5:$D$296,'Data - Control'!$A$5:$A$296,$A63,'Data - Control'!$B$5:$B$296,$B63)</f>
        <v/>
      </c>
      <c r="E63" s="36">
        <f>SUMIFS('Data - Control'!$E$5:$E$296,'Data - Control'!$A$5:$A$296,$A63,'Data - Control'!$B$5:$B$296,$B63)</f>
        <v/>
      </c>
      <c r="F63" s="36">
        <f>SUMIFS('Data - Control'!$F$5:$F$296,'Data - Control'!$A$5:$A$296,$A63,'Data - Control'!$B$5:$B$296,$B63)</f>
        <v/>
      </c>
      <c r="G63" s="36">
        <f>SUMIFS('Data - Control'!$G$5:$G$296,'Data - Control'!$A$5:$A$296,$A63,'Data - Control'!$B$5:$B$296,$B63)</f>
        <v/>
      </c>
      <c r="H63" s="36">
        <f>SUMIFS('Data - Control'!$H$5:$H$296,'Data - Control'!$A$5:$A$296,$A63,'Data - Control'!$B$5:$B$296,$B63)</f>
        <v/>
      </c>
      <c r="I63" s="57">
        <f>IFERROR($G63/$C63,0)</f>
        <v/>
      </c>
      <c r="J63" s="57">
        <f>IFERROR($H63/$D63,0)</f>
        <v/>
      </c>
      <c r="K63" s="36">
        <f>$D63*$I63</f>
        <v/>
      </c>
      <c r="L63" s="36">
        <f>$D63*($J63-$I63)</f>
        <v/>
      </c>
      <c r="M63" s="45">
        <f>IFERROR($D63/$C63-1,"")</f>
        <v/>
      </c>
    </row>
    <row r="64">
      <c r="A64" s="43" t="inlineStr">
        <is>
          <t>Dreamz Invenstments LLC</t>
        </is>
      </c>
      <c r="B64" s="43" t="inlineStr">
        <is>
          <t>Brio</t>
        </is>
      </c>
      <c r="C64" s="33">
        <f>SUMIFS('Data - Control'!$C$5:$C$296,'Data - Control'!$A$5:$A$296,$A64,'Data - Control'!$B$5:$B$296,$B64)</f>
        <v/>
      </c>
      <c r="D64" s="33">
        <f>SUMIFS('Data - Control'!$D$5:$D$296,'Data - Control'!$A$5:$A$296,$A64,'Data - Control'!$B$5:$B$296,$B64)</f>
        <v/>
      </c>
      <c r="E64" s="36">
        <f>SUMIFS('Data - Control'!$E$5:$E$296,'Data - Control'!$A$5:$A$296,$A64,'Data - Control'!$B$5:$B$296,$B64)</f>
        <v/>
      </c>
      <c r="F64" s="36">
        <f>SUMIFS('Data - Control'!$F$5:$F$296,'Data - Control'!$A$5:$A$296,$A64,'Data - Control'!$B$5:$B$296,$B64)</f>
        <v/>
      </c>
      <c r="G64" s="36">
        <f>SUMIFS('Data - Control'!$G$5:$G$296,'Data - Control'!$A$5:$A$296,$A64,'Data - Control'!$B$5:$B$296,$B64)</f>
        <v/>
      </c>
      <c r="H64" s="36">
        <f>SUMIFS('Data - Control'!$H$5:$H$296,'Data - Control'!$A$5:$A$296,$A64,'Data - Control'!$B$5:$B$296,$B64)</f>
        <v/>
      </c>
      <c r="I64" s="57">
        <f>IFERROR($G64/$C64,0)</f>
        <v/>
      </c>
      <c r="J64" s="57">
        <f>IFERROR($H64/$D64,0)</f>
        <v/>
      </c>
      <c r="K64" s="36">
        <f>$D64*$I64</f>
        <v/>
      </c>
      <c r="L64" s="36">
        <f>$D64*($J64-$I64)</f>
        <v/>
      </c>
      <c r="M64" s="45">
        <f>IFERROR($D64/$C64-1,"")</f>
        <v/>
      </c>
    </row>
    <row r="65">
      <c r="A65" s="43" t="inlineStr">
        <is>
          <t>Duclaw Brewing</t>
        </is>
      </c>
      <c r="B65" s="43" t="inlineStr">
        <is>
          <t>Duclaw</t>
        </is>
      </c>
      <c r="C65" s="33">
        <f>SUMIFS('Data - Control'!$C$5:$C$296,'Data - Control'!$A$5:$A$296,$A65,'Data - Control'!$B$5:$B$296,$B65)</f>
        <v/>
      </c>
      <c r="D65" s="33">
        <f>SUMIFS('Data - Control'!$D$5:$D$296,'Data - Control'!$A$5:$A$296,$A65,'Data - Control'!$B$5:$B$296,$B65)</f>
        <v/>
      </c>
      <c r="E65" s="36">
        <f>SUMIFS('Data - Control'!$E$5:$E$296,'Data - Control'!$A$5:$A$296,$A65,'Data - Control'!$B$5:$B$296,$B65)</f>
        <v/>
      </c>
      <c r="F65" s="36">
        <f>SUMIFS('Data - Control'!$F$5:$F$296,'Data - Control'!$A$5:$A$296,$A65,'Data - Control'!$B$5:$B$296,$B65)</f>
        <v/>
      </c>
      <c r="G65" s="36">
        <f>SUMIFS('Data - Control'!$G$5:$G$296,'Data - Control'!$A$5:$A$296,$A65,'Data - Control'!$B$5:$B$296,$B65)</f>
        <v/>
      </c>
      <c r="H65" s="36">
        <f>SUMIFS('Data - Control'!$H$5:$H$296,'Data - Control'!$A$5:$A$296,$A65,'Data - Control'!$B$5:$B$296,$B65)</f>
        <v/>
      </c>
      <c r="I65" s="57">
        <f>IFERROR($G65/$C65,0)</f>
        <v/>
      </c>
      <c r="J65" s="57">
        <f>IFERROR($H65/$D65,0)</f>
        <v/>
      </c>
      <c r="K65" s="36">
        <f>$D65*$I65</f>
        <v/>
      </c>
      <c r="L65" s="36">
        <f>$D65*($J65-$I65)</f>
        <v/>
      </c>
      <c r="M65" s="45">
        <f>IFERROR($D65/$C65-1,"")</f>
        <v/>
      </c>
    </row>
    <row r="66">
      <c r="A66" s="43" t="inlineStr">
        <is>
          <t>Efes</t>
        </is>
      </c>
      <c r="B66" s="43" t="inlineStr">
        <is>
          <t>Efes</t>
        </is>
      </c>
      <c r="C66" s="33">
        <f>SUMIFS('Data - Control'!$C$5:$C$296,'Data - Control'!$A$5:$A$296,$A66,'Data - Control'!$B$5:$B$296,$B66)</f>
        <v/>
      </c>
      <c r="D66" s="33">
        <f>SUMIFS('Data - Control'!$D$5:$D$296,'Data - Control'!$A$5:$A$296,$A66,'Data - Control'!$B$5:$B$296,$B66)</f>
        <v/>
      </c>
      <c r="E66" s="36">
        <f>SUMIFS('Data - Control'!$E$5:$E$296,'Data - Control'!$A$5:$A$296,$A66,'Data - Control'!$B$5:$B$296,$B66)</f>
        <v/>
      </c>
      <c r="F66" s="36">
        <f>SUMIFS('Data - Control'!$F$5:$F$296,'Data - Control'!$A$5:$A$296,$A66,'Data - Control'!$B$5:$B$296,$B66)</f>
        <v/>
      </c>
      <c r="G66" s="36">
        <f>SUMIFS('Data - Control'!$G$5:$G$296,'Data - Control'!$A$5:$A$296,$A66,'Data - Control'!$B$5:$B$296,$B66)</f>
        <v/>
      </c>
      <c r="H66" s="36">
        <f>SUMIFS('Data - Control'!$H$5:$H$296,'Data - Control'!$A$5:$A$296,$A66,'Data - Control'!$B$5:$B$296,$B66)</f>
        <v/>
      </c>
      <c r="I66" s="57">
        <f>IFERROR($G66/$C66,0)</f>
        <v/>
      </c>
      <c r="J66" s="57">
        <f>IFERROR($H66/$D66,0)</f>
        <v/>
      </c>
      <c r="K66" s="36">
        <f>$D66*$I66</f>
        <v/>
      </c>
      <c r="L66" s="36">
        <f>$D66*($J66-$I66)</f>
        <v/>
      </c>
      <c r="M66" s="45">
        <f>IFERROR($D66/$C66-1,"")</f>
        <v/>
      </c>
    </row>
    <row r="67">
      <c r="A67" s="43" t="inlineStr">
        <is>
          <t>Eleven20</t>
        </is>
      </c>
      <c r="B67" s="43" t="inlineStr">
        <is>
          <t>Eleven20 Tequila</t>
        </is>
      </c>
      <c r="C67" s="33">
        <f>SUMIFS('Data - Control'!$C$5:$C$296,'Data - Control'!$A$5:$A$296,$A67,'Data - Control'!$B$5:$B$296,$B67)</f>
        <v/>
      </c>
      <c r="D67" s="33">
        <f>SUMIFS('Data - Control'!$D$5:$D$296,'Data - Control'!$A$5:$A$296,$A67,'Data - Control'!$B$5:$B$296,$B67)</f>
        <v/>
      </c>
      <c r="E67" s="36">
        <f>SUMIFS('Data - Control'!$E$5:$E$296,'Data - Control'!$A$5:$A$296,$A67,'Data - Control'!$B$5:$B$296,$B67)</f>
        <v/>
      </c>
      <c r="F67" s="36">
        <f>SUMIFS('Data - Control'!$F$5:$F$296,'Data - Control'!$A$5:$A$296,$A67,'Data - Control'!$B$5:$B$296,$B67)</f>
        <v/>
      </c>
      <c r="G67" s="36">
        <f>SUMIFS('Data - Control'!$G$5:$G$296,'Data - Control'!$A$5:$A$296,$A67,'Data - Control'!$B$5:$B$296,$B67)</f>
        <v/>
      </c>
      <c r="H67" s="36">
        <f>SUMIFS('Data - Control'!$H$5:$H$296,'Data - Control'!$A$5:$A$296,$A67,'Data - Control'!$B$5:$B$296,$B67)</f>
        <v/>
      </c>
      <c r="I67" s="57">
        <f>IFERROR($G67/$C67,0)</f>
        <v/>
      </c>
      <c r="J67" s="57">
        <f>IFERROR($H67/$D67,0)</f>
        <v/>
      </c>
      <c r="K67" s="36">
        <f>$D67*$I67</f>
        <v/>
      </c>
      <c r="L67" s="36">
        <f>$D67*($J67-$I67)</f>
        <v/>
      </c>
      <c r="M67" s="45">
        <f>IFERROR($D67/$C67-1,"")</f>
        <v/>
      </c>
    </row>
    <row r="68">
      <c r="A68" s="43" t="inlineStr">
        <is>
          <t>Emergent Beverage Partners</t>
        </is>
      </c>
      <c r="B68" s="43" t="inlineStr">
        <is>
          <t>Beckett's D9</t>
        </is>
      </c>
      <c r="C68" s="33">
        <f>SUMIFS('Data - Control'!$C$5:$C$296,'Data - Control'!$A$5:$A$296,$A68,'Data - Control'!$B$5:$B$296,$B68)</f>
        <v/>
      </c>
      <c r="D68" s="33">
        <f>SUMIFS('Data - Control'!$D$5:$D$296,'Data - Control'!$A$5:$A$296,$A68,'Data - Control'!$B$5:$B$296,$B68)</f>
        <v/>
      </c>
      <c r="E68" s="36">
        <f>SUMIFS('Data - Control'!$E$5:$E$296,'Data - Control'!$A$5:$A$296,$A68,'Data - Control'!$B$5:$B$296,$B68)</f>
        <v/>
      </c>
      <c r="F68" s="36">
        <f>SUMIFS('Data - Control'!$F$5:$F$296,'Data - Control'!$A$5:$A$296,$A68,'Data - Control'!$B$5:$B$296,$B68)</f>
        <v/>
      </c>
      <c r="G68" s="36">
        <f>SUMIFS('Data - Control'!$G$5:$G$296,'Data - Control'!$A$5:$A$296,$A68,'Data - Control'!$B$5:$B$296,$B68)</f>
        <v/>
      </c>
      <c r="H68" s="36">
        <f>SUMIFS('Data - Control'!$H$5:$H$296,'Data - Control'!$A$5:$A$296,$A68,'Data - Control'!$B$5:$B$296,$B68)</f>
        <v/>
      </c>
      <c r="I68" s="57">
        <f>IFERROR($G68/$C68,0)</f>
        <v/>
      </c>
      <c r="J68" s="57">
        <f>IFERROR($H68/$D68,0)</f>
        <v/>
      </c>
      <c r="K68" s="36">
        <f>$D68*$I68</f>
        <v/>
      </c>
      <c r="L68" s="36">
        <f>$D68*($J68-$I68)</f>
        <v/>
      </c>
      <c r="M68" s="45">
        <f>IFERROR($D68/$C68-1,"")</f>
        <v/>
      </c>
    </row>
    <row r="69">
      <c r="A69" s="43" t="inlineStr">
        <is>
          <t>Emergent Beverage Partners</t>
        </is>
      </c>
      <c r="B69" s="43" t="inlineStr">
        <is>
          <t>Boldt Infused D9</t>
        </is>
      </c>
      <c r="C69" s="33">
        <f>SUMIFS('Data - Control'!$C$5:$C$296,'Data - Control'!$A$5:$A$296,$A69,'Data - Control'!$B$5:$B$296,$B69)</f>
        <v/>
      </c>
      <c r="D69" s="33">
        <f>SUMIFS('Data - Control'!$D$5:$D$296,'Data - Control'!$A$5:$A$296,$A69,'Data - Control'!$B$5:$B$296,$B69)</f>
        <v/>
      </c>
      <c r="E69" s="36">
        <f>SUMIFS('Data - Control'!$E$5:$E$296,'Data - Control'!$A$5:$A$296,$A69,'Data - Control'!$B$5:$B$296,$B69)</f>
        <v/>
      </c>
      <c r="F69" s="36">
        <f>SUMIFS('Data - Control'!$F$5:$F$296,'Data - Control'!$A$5:$A$296,$A69,'Data - Control'!$B$5:$B$296,$B69)</f>
        <v/>
      </c>
      <c r="G69" s="36">
        <f>SUMIFS('Data - Control'!$G$5:$G$296,'Data - Control'!$A$5:$A$296,$A69,'Data - Control'!$B$5:$B$296,$B69)</f>
        <v/>
      </c>
      <c r="H69" s="36">
        <f>SUMIFS('Data - Control'!$H$5:$H$296,'Data - Control'!$A$5:$A$296,$A69,'Data - Control'!$B$5:$B$296,$B69)</f>
        <v/>
      </c>
      <c r="I69" s="57">
        <f>IFERROR($G69/$C69,0)</f>
        <v/>
      </c>
      <c r="J69" s="57">
        <f>IFERROR($H69/$D69,0)</f>
        <v/>
      </c>
      <c r="K69" s="36">
        <f>$D69*$I69</f>
        <v/>
      </c>
      <c r="L69" s="36">
        <f>$D69*($J69-$I69)</f>
        <v/>
      </c>
      <c r="M69" s="45">
        <f>IFERROR($D69/$C69-1,"")</f>
        <v/>
      </c>
    </row>
    <row r="70">
      <c r="A70" s="43" t="inlineStr">
        <is>
          <t>Emergent Beverage Partners</t>
        </is>
      </c>
      <c r="B70" s="43" t="inlineStr">
        <is>
          <t>Crooked Beverage</t>
        </is>
      </c>
      <c r="C70" s="33">
        <f>SUMIFS('Data - Control'!$C$5:$C$296,'Data - Control'!$A$5:$A$296,$A70,'Data - Control'!$B$5:$B$296,$B70)</f>
        <v/>
      </c>
      <c r="D70" s="33">
        <f>SUMIFS('Data - Control'!$D$5:$D$296,'Data - Control'!$A$5:$A$296,$A70,'Data - Control'!$B$5:$B$296,$B70)</f>
        <v/>
      </c>
      <c r="E70" s="36">
        <f>SUMIFS('Data - Control'!$E$5:$E$296,'Data - Control'!$A$5:$A$296,$A70,'Data - Control'!$B$5:$B$296,$B70)</f>
        <v/>
      </c>
      <c r="F70" s="36">
        <f>SUMIFS('Data - Control'!$F$5:$F$296,'Data - Control'!$A$5:$A$296,$A70,'Data - Control'!$B$5:$B$296,$B70)</f>
        <v/>
      </c>
      <c r="G70" s="36">
        <f>SUMIFS('Data - Control'!$G$5:$G$296,'Data - Control'!$A$5:$A$296,$A70,'Data - Control'!$B$5:$B$296,$B70)</f>
        <v/>
      </c>
      <c r="H70" s="36">
        <f>SUMIFS('Data - Control'!$H$5:$H$296,'Data - Control'!$A$5:$A$296,$A70,'Data - Control'!$B$5:$B$296,$B70)</f>
        <v/>
      </c>
      <c r="I70" s="57">
        <f>IFERROR($G70/$C70,0)</f>
        <v/>
      </c>
      <c r="J70" s="57">
        <f>IFERROR($H70/$D70,0)</f>
        <v/>
      </c>
      <c r="K70" s="36">
        <f>$D70*$I70</f>
        <v/>
      </c>
      <c r="L70" s="36">
        <f>$D70*($J70-$I70)</f>
        <v/>
      </c>
      <c r="M70" s="45">
        <f>IFERROR($D70/$C70-1,"")</f>
        <v/>
      </c>
    </row>
    <row r="71">
      <c r="A71" s="43" t="inlineStr">
        <is>
          <t>Emergent Beverage Partners</t>
        </is>
      </c>
      <c r="B71" s="43" t="inlineStr">
        <is>
          <t>Hectare's</t>
        </is>
      </c>
      <c r="C71" s="33">
        <f>SUMIFS('Data - Control'!$C$5:$C$296,'Data - Control'!$A$5:$A$296,$A71,'Data - Control'!$B$5:$B$296,$B71)</f>
        <v/>
      </c>
      <c r="D71" s="33">
        <f>SUMIFS('Data - Control'!$D$5:$D$296,'Data - Control'!$A$5:$A$296,$A71,'Data - Control'!$B$5:$B$296,$B71)</f>
        <v/>
      </c>
      <c r="E71" s="36">
        <f>SUMIFS('Data - Control'!$E$5:$E$296,'Data - Control'!$A$5:$A$296,$A71,'Data - Control'!$B$5:$B$296,$B71)</f>
        <v/>
      </c>
      <c r="F71" s="36">
        <f>SUMIFS('Data - Control'!$F$5:$F$296,'Data - Control'!$A$5:$A$296,$A71,'Data - Control'!$B$5:$B$296,$B71)</f>
        <v/>
      </c>
      <c r="G71" s="36">
        <f>SUMIFS('Data - Control'!$G$5:$G$296,'Data - Control'!$A$5:$A$296,$A71,'Data - Control'!$B$5:$B$296,$B71)</f>
        <v/>
      </c>
      <c r="H71" s="36">
        <f>SUMIFS('Data - Control'!$H$5:$H$296,'Data - Control'!$A$5:$A$296,$A71,'Data - Control'!$B$5:$B$296,$B71)</f>
        <v/>
      </c>
      <c r="I71" s="57">
        <f>IFERROR($G71/$C71,0)</f>
        <v/>
      </c>
      <c r="J71" s="57">
        <f>IFERROR($H71/$D71,0)</f>
        <v/>
      </c>
      <c r="K71" s="36">
        <f>$D71*$I71</f>
        <v/>
      </c>
      <c r="L71" s="36">
        <f>$D71*($J71-$I71)</f>
        <v/>
      </c>
      <c r="M71" s="45">
        <f>IFERROR($D71/$C71-1,"")</f>
        <v/>
      </c>
    </row>
    <row r="72">
      <c r="A72" s="43" t="inlineStr">
        <is>
          <t>Emergent Beverage Partners</t>
        </is>
      </c>
      <c r="B72" s="43" t="inlineStr">
        <is>
          <t>Lark Infused D9</t>
        </is>
      </c>
      <c r="C72" s="33">
        <f>SUMIFS('Data - Control'!$C$5:$C$296,'Data - Control'!$A$5:$A$296,$A72,'Data - Control'!$B$5:$B$296,$B72)</f>
        <v/>
      </c>
      <c r="D72" s="33">
        <f>SUMIFS('Data - Control'!$D$5:$D$296,'Data - Control'!$A$5:$A$296,$A72,'Data - Control'!$B$5:$B$296,$B72)</f>
        <v/>
      </c>
      <c r="E72" s="36">
        <f>SUMIFS('Data - Control'!$E$5:$E$296,'Data - Control'!$A$5:$A$296,$A72,'Data - Control'!$B$5:$B$296,$B72)</f>
        <v/>
      </c>
      <c r="F72" s="36">
        <f>SUMIFS('Data - Control'!$F$5:$F$296,'Data - Control'!$A$5:$A$296,$A72,'Data - Control'!$B$5:$B$296,$B72)</f>
        <v/>
      </c>
      <c r="G72" s="36">
        <f>SUMIFS('Data - Control'!$G$5:$G$296,'Data - Control'!$A$5:$A$296,$A72,'Data - Control'!$B$5:$B$296,$B72)</f>
        <v/>
      </c>
      <c r="H72" s="36">
        <f>SUMIFS('Data - Control'!$H$5:$H$296,'Data - Control'!$A$5:$A$296,$A72,'Data - Control'!$B$5:$B$296,$B72)</f>
        <v/>
      </c>
      <c r="I72" s="57">
        <f>IFERROR($G72/$C72,0)</f>
        <v/>
      </c>
      <c r="J72" s="57">
        <f>IFERROR($H72/$D72,0)</f>
        <v/>
      </c>
      <c r="K72" s="36">
        <f>$D72*$I72</f>
        <v/>
      </c>
      <c r="L72" s="36">
        <f>$D72*($J72-$I72)</f>
        <v/>
      </c>
      <c r="M72" s="45">
        <f>IFERROR($D72/$C72-1,"")</f>
        <v/>
      </c>
    </row>
    <row r="73">
      <c r="A73" s="43" t="inlineStr">
        <is>
          <t>Ever Grand Group LLC</t>
        </is>
      </c>
      <c r="B73" s="43" t="inlineStr">
        <is>
          <t>Snow Beer</t>
        </is>
      </c>
      <c r="C73" s="33">
        <f>SUMIFS('Data - Control'!$C$5:$C$296,'Data - Control'!$A$5:$A$296,$A73,'Data - Control'!$B$5:$B$296,$B73)</f>
        <v/>
      </c>
      <c r="D73" s="33">
        <f>SUMIFS('Data - Control'!$D$5:$D$296,'Data - Control'!$A$5:$A$296,$A73,'Data - Control'!$B$5:$B$296,$B73)</f>
        <v/>
      </c>
      <c r="E73" s="36">
        <f>SUMIFS('Data - Control'!$E$5:$E$296,'Data - Control'!$A$5:$A$296,$A73,'Data - Control'!$B$5:$B$296,$B73)</f>
        <v/>
      </c>
      <c r="F73" s="36">
        <f>SUMIFS('Data - Control'!$F$5:$F$296,'Data - Control'!$A$5:$A$296,$A73,'Data - Control'!$B$5:$B$296,$B73)</f>
        <v/>
      </c>
      <c r="G73" s="36">
        <f>SUMIFS('Data - Control'!$G$5:$G$296,'Data - Control'!$A$5:$A$296,$A73,'Data - Control'!$B$5:$B$296,$B73)</f>
        <v/>
      </c>
      <c r="H73" s="36">
        <f>SUMIFS('Data - Control'!$H$5:$H$296,'Data - Control'!$A$5:$A$296,$A73,'Data - Control'!$B$5:$B$296,$B73)</f>
        <v/>
      </c>
      <c r="I73" s="57">
        <f>IFERROR($G73/$C73,0)</f>
        <v/>
      </c>
      <c r="J73" s="57">
        <f>IFERROR($H73/$D73,0)</f>
        <v/>
      </c>
      <c r="K73" s="36">
        <f>$D73*$I73</f>
        <v/>
      </c>
      <c r="L73" s="36">
        <f>$D73*($J73-$I73)</f>
        <v/>
      </c>
      <c r="M73" s="45">
        <f>IFERROR($D73/$C73-1,"")</f>
        <v/>
      </c>
    </row>
    <row r="74">
      <c r="A74" s="43" t="inlineStr">
        <is>
          <t>Evil Genius</t>
        </is>
      </c>
      <c r="B74" s="43" t="inlineStr">
        <is>
          <t>Evil Genius</t>
        </is>
      </c>
      <c r="C74" s="33">
        <f>SUMIFS('Data - Control'!$C$5:$C$296,'Data - Control'!$A$5:$A$296,$A74,'Data - Control'!$B$5:$B$296,$B74)</f>
        <v/>
      </c>
      <c r="D74" s="33">
        <f>SUMIFS('Data - Control'!$D$5:$D$296,'Data - Control'!$A$5:$A$296,$A74,'Data - Control'!$B$5:$B$296,$B74)</f>
        <v/>
      </c>
      <c r="E74" s="36">
        <f>SUMIFS('Data - Control'!$E$5:$E$296,'Data - Control'!$A$5:$A$296,$A74,'Data - Control'!$B$5:$B$296,$B74)</f>
        <v/>
      </c>
      <c r="F74" s="36">
        <f>SUMIFS('Data - Control'!$F$5:$F$296,'Data - Control'!$A$5:$A$296,$A74,'Data - Control'!$B$5:$B$296,$B74)</f>
        <v/>
      </c>
      <c r="G74" s="36">
        <f>SUMIFS('Data - Control'!$G$5:$G$296,'Data - Control'!$A$5:$A$296,$A74,'Data - Control'!$B$5:$B$296,$B74)</f>
        <v/>
      </c>
      <c r="H74" s="36">
        <f>SUMIFS('Data - Control'!$H$5:$H$296,'Data - Control'!$A$5:$A$296,$A74,'Data - Control'!$B$5:$B$296,$B74)</f>
        <v/>
      </c>
      <c r="I74" s="57">
        <f>IFERROR($G74/$C74,0)</f>
        <v/>
      </c>
      <c r="J74" s="57">
        <f>IFERROR($H74/$D74,0)</f>
        <v/>
      </c>
      <c r="K74" s="36">
        <f>$D74*$I74</f>
        <v/>
      </c>
      <c r="L74" s="36">
        <f>$D74*($J74-$I74)</f>
        <v/>
      </c>
      <c r="M74" s="45">
        <f>IFERROR($D74/$C74-1,"")</f>
        <v/>
      </c>
    </row>
    <row r="75">
      <c r="A75" s="43" t="inlineStr">
        <is>
          <t>FIFCO</t>
        </is>
      </c>
      <c r="B75" s="43" t="inlineStr">
        <is>
          <t>Genesee</t>
        </is>
      </c>
      <c r="C75" s="33">
        <f>SUMIFS('Data - Control'!$C$5:$C$296,'Data - Control'!$A$5:$A$296,$A75,'Data - Control'!$B$5:$B$296,$B75)</f>
        <v/>
      </c>
      <c r="D75" s="33">
        <f>SUMIFS('Data - Control'!$D$5:$D$296,'Data - Control'!$A$5:$A$296,$A75,'Data - Control'!$B$5:$B$296,$B75)</f>
        <v/>
      </c>
      <c r="E75" s="36">
        <f>SUMIFS('Data - Control'!$E$5:$E$296,'Data - Control'!$A$5:$A$296,$A75,'Data - Control'!$B$5:$B$296,$B75)</f>
        <v/>
      </c>
      <c r="F75" s="36">
        <f>SUMIFS('Data - Control'!$F$5:$F$296,'Data - Control'!$A$5:$A$296,$A75,'Data - Control'!$B$5:$B$296,$B75)</f>
        <v/>
      </c>
      <c r="G75" s="36">
        <f>SUMIFS('Data - Control'!$G$5:$G$296,'Data - Control'!$A$5:$A$296,$A75,'Data - Control'!$B$5:$B$296,$B75)</f>
        <v/>
      </c>
      <c r="H75" s="36">
        <f>SUMIFS('Data - Control'!$H$5:$H$296,'Data - Control'!$A$5:$A$296,$A75,'Data - Control'!$B$5:$B$296,$B75)</f>
        <v/>
      </c>
      <c r="I75" s="57">
        <f>IFERROR($G75/$C75,0)</f>
        <v/>
      </c>
      <c r="J75" s="57">
        <f>IFERROR($H75/$D75,0)</f>
        <v/>
      </c>
      <c r="K75" s="36">
        <f>$D75*$I75</f>
        <v/>
      </c>
      <c r="L75" s="36">
        <f>$D75*($J75-$I75)</f>
        <v/>
      </c>
      <c r="M75" s="45">
        <f>IFERROR($D75/$C75-1,"")</f>
        <v/>
      </c>
    </row>
    <row r="76">
      <c r="A76" s="43" t="inlineStr">
        <is>
          <t>FIFCO</t>
        </is>
      </c>
      <c r="B76" s="43" t="inlineStr">
        <is>
          <t>Imperial</t>
        </is>
      </c>
      <c r="C76" s="33">
        <f>SUMIFS('Data - Control'!$C$5:$C$296,'Data - Control'!$A$5:$A$296,$A76,'Data - Control'!$B$5:$B$296,$B76)</f>
        <v/>
      </c>
      <c r="D76" s="33">
        <f>SUMIFS('Data - Control'!$D$5:$D$296,'Data - Control'!$A$5:$A$296,$A76,'Data - Control'!$B$5:$B$296,$B76)</f>
        <v/>
      </c>
      <c r="E76" s="36">
        <f>SUMIFS('Data - Control'!$E$5:$E$296,'Data - Control'!$A$5:$A$296,$A76,'Data - Control'!$B$5:$B$296,$B76)</f>
        <v/>
      </c>
      <c r="F76" s="36">
        <f>SUMIFS('Data - Control'!$F$5:$F$296,'Data - Control'!$A$5:$A$296,$A76,'Data - Control'!$B$5:$B$296,$B76)</f>
        <v/>
      </c>
      <c r="G76" s="36">
        <f>SUMIFS('Data - Control'!$G$5:$G$296,'Data - Control'!$A$5:$A$296,$A76,'Data - Control'!$B$5:$B$296,$B76)</f>
        <v/>
      </c>
      <c r="H76" s="36">
        <f>SUMIFS('Data - Control'!$H$5:$H$296,'Data - Control'!$A$5:$A$296,$A76,'Data - Control'!$B$5:$B$296,$B76)</f>
        <v/>
      </c>
      <c r="I76" s="57">
        <f>IFERROR($G76/$C76,0)</f>
        <v/>
      </c>
      <c r="J76" s="57">
        <f>IFERROR($H76/$D76,0)</f>
        <v/>
      </c>
      <c r="K76" s="36">
        <f>$D76*$I76</f>
        <v/>
      </c>
      <c r="L76" s="36">
        <f>$D76*($J76-$I76)</f>
        <v/>
      </c>
      <c r="M76" s="45">
        <f>IFERROR($D76/$C76-1,"")</f>
        <v/>
      </c>
    </row>
    <row r="77">
      <c r="A77" s="43" t="inlineStr">
        <is>
          <t>FX Matt</t>
        </is>
      </c>
      <c r="B77" s="43" t="inlineStr">
        <is>
          <t>Flying Dog Brewing Co</t>
        </is>
      </c>
      <c r="C77" s="33">
        <f>SUMIFS('Data - Control'!$C$5:$C$296,'Data - Control'!$A$5:$A$296,$A77,'Data - Control'!$B$5:$B$296,$B77)</f>
        <v/>
      </c>
      <c r="D77" s="33">
        <f>SUMIFS('Data - Control'!$D$5:$D$296,'Data - Control'!$A$5:$A$296,$A77,'Data - Control'!$B$5:$B$296,$B77)</f>
        <v/>
      </c>
      <c r="E77" s="36">
        <f>SUMIFS('Data - Control'!$E$5:$E$296,'Data - Control'!$A$5:$A$296,$A77,'Data - Control'!$B$5:$B$296,$B77)</f>
        <v/>
      </c>
      <c r="F77" s="36">
        <f>SUMIFS('Data - Control'!$F$5:$F$296,'Data - Control'!$A$5:$A$296,$A77,'Data - Control'!$B$5:$B$296,$B77)</f>
        <v/>
      </c>
      <c r="G77" s="36">
        <f>SUMIFS('Data - Control'!$G$5:$G$296,'Data - Control'!$A$5:$A$296,$A77,'Data - Control'!$B$5:$B$296,$B77)</f>
        <v/>
      </c>
      <c r="H77" s="36">
        <f>SUMIFS('Data - Control'!$H$5:$H$296,'Data - Control'!$A$5:$A$296,$A77,'Data - Control'!$B$5:$B$296,$B77)</f>
        <v/>
      </c>
      <c r="I77" s="57">
        <f>IFERROR($G77/$C77,0)</f>
        <v/>
      </c>
      <c r="J77" s="57">
        <f>IFERROR($H77/$D77,0)</f>
        <v/>
      </c>
      <c r="K77" s="36">
        <f>$D77*$I77</f>
        <v/>
      </c>
      <c r="L77" s="36">
        <f>$D77*($J77-$I77)</f>
        <v/>
      </c>
      <c r="M77" s="45">
        <f>IFERROR($D77/$C77-1,"")</f>
        <v/>
      </c>
    </row>
    <row r="78">
      <c r="A78" s="43" t="inlineStr">
        <is>
          <t>FX Matt</t>
        </is>
      </c>
      <c r="B78" s="43" t="inlineStr">
        <is>
          <t>Friday Beers</t>
        </is>
      </c>
      <c r="C78" s="33">
        <f>SUMIFS('Data - Control'!$C$5:$C$296,'Data - Control'!$A$5:$A$296,$A78,'Data - Control'!$B$5:$B$296,$B78)</f>
        <v/>
      </c>
      <c r="D78" s="33">
        <f>SUMIFS('Data - Control'!$D$5:$D$296,'Data - Control'!$A$5:$A$296,$A78,'Data - Control'!$B$5:$B$296,$B78)</f>
        <v/>
      </c>
      <c r="E78" s="36">
        <f>SUMIFS('Data - Control'!$E$5:$E$296,'Data - Control'!$A$5:$A$296,$A78,'Data - Control'!$B$5:$B$296,$B78)</f>
        <v/>
      </c>
      <c r="F78" s="36">
        <f>SUMIFS('Data - Control'!$F$5:$F$296,'Data - Control'!$A$5:$A$296,$A78,'Data - Control'!$B$5:$B$296,$B78)</f>
        <v/>
      </c>
      <c r="G78" s="36">
        <f>SUMIFS('Data - Control'!$G$5:$G$296,'Data - Control'!$A$5:$A$296,$A78,'Data - Control'!$B$5:$B$296,$B78)</f>
        <v/>
      </c>
      <c r="H78" s="36">
        <f>SUMIFS('Data - Control'!$H$5:$H$296,'Data - Control'!$A$5:$A$296,$A78,'Data - Control'!$B$5:$B$296,$B78)</f>
        <v/>
      </c>
      <c r="I78" s="57">
        <f>IFERROR($G78/$C78,0)</f>
        <v/>
      </c>
      <c r="J78" s="57">
        <f>IFERROR($H78/$D78,0)</f>
        <v/>
      </c>
      <c r="K78" s="36">
        <f>$D78*$I78</f>
        <v/>
      </c>
      <c r="L78" s="36">
        <f>$D78*($J78-$I78)</f>
        <v/>
      </c>
      <c r="M78" s="45">
        <f>IFERROR($D78/$C78-1,"")</f>
        <v/>
      </c>
    </row>
    <row r="79">
      <c r="A79" s="43" t="inlineStr">
        <is>
          <t>FX Matt</t>
        </is>
      </c>
      <c r="B79" s="43" t="inlineStr">
        <is>
          <t>Kingfisher Premium</t>
        </is>
      </c>
      <c r="C79" s="33">
        <f>SUMIFS('Data - Control'!$C$5:$C$296,'Data - Control'!$A$5:$A$296,$A79,'Data - Control'!$B$5:$B$296,$B79)</f>
        <v/>
      </c>
      <c r="D79" s="33">
        <f>SUMIFS('Data - Control'!$D$5:$D$296,'Data - Control'!$A$5:$A$296,$A79,'Data - Control'!$B$5:$B$296,$B79)</f>
        <v/>
      </c>
      <c r="E79" s="36">
        <f>SUMIFS('Data - Control'!$E$5:$E$296,'Data - Control'!$A$5:$A$296,$A79,'Data - Control'!$B$5:$B$296,$B79)</f>
        <v/>
      </c>
      <c r="F79" s="36">
        <f>SUMIFS('Data - Control'!$F$5:$F$296,'Data - Control'!$A$5:$A$296,$A79,'Data - Control'!$B$5:$B$296,$B79)</f>
        <v/>
      </c>
      <c r="G79" s="36">
        <f>SUMIFS('Data - Control'!$G$5:$G$296,'Data - Control'!$A$5:$A$296,$A79,'Data - Control'!$B$5:$B$296,$B79)</f>
        <v/>
      </c>
      <c r="H79" s="36">
        <f>SUMIFS('Data - Control'!$H$5:$H$296,'Data - Control'!$A$5:$A$296,$A79,'Data - Control'!$B$5:$B$296,$B79)</f>
        <v/>
      </c>
      <c r="I79" s="57">
        <f>IFERROR($G79/$C79,0)</f>
        <v/>
      </c>
      <c r="J79" s="57">
        <f>IFERROR($H79/$D79,0)</f>
        <v/>
      </c>
      <c r="K79" s="36">
        <f>$D79*$I79</f>
        <v/>
      </c>
      <c r="L79" s="36">
        <f>$D79*($J79-$I79)</f>
        <v/>
      </c>
      <c r="M79" s="45">
        <f>IFERROR($D79/$C79-1,"")</f>
        <v/>
      </c>
    </row>
    <row r="80">
      <c r="A80" s="43" t="inlineStr">
        <is>
          <t>FX Matt</t>
        </is>
      </c>
      <c r="B80" s="43" t="inlineStr">
        <is>
          <t>Mckenzie's</t>
        </is>
      </c>
      <c r="C80" s="33">
        <f>SUMIFS('Data - Control'!$C$5:$C$296,'Data - Control'!$A$5:$A$296,$A80,'Data - Control'!$B$5:$B$296,$B80)</f>
        <v/>
      </c>
      <c r="D80" s="33">
        <f>SUMIFS('Data - Control'!$D$5:$D$296,'Data - Control'!$A$5:$A$296,$A80,'Data - Control'!$B$5:$B$296,$B80)</f>
        <v/>
      </c>
      <c r="E80" s="36">
        <f>SUMIFS('Data - Control'!$E$5:$E$296,'Data - Control'!$A$5:$A$296,$A80,'Data - Control'!$B$5:$B$296,$B80)</f>
        <v/>
      </c>
      <c r="F80" s="36">
        <f>SUMIFS('Data - Control'!$F$5:$F$296,'Data - Control'!$A$5:$A$296,$A80,'Data - Control'!$B$5:$B$296,$B80)</f>
        <v/>
      </c>
      <c r="G80" s="36">
        <f>SUMIFS('Data - Control'!$G$5:$G$296,'Data - Control'!$A$5:$A$296,$A80,'Data - Control'!$B$5:$B$296,$B80)</f>
        <v/>
      </c>
      <c r="H80" s="36">
        <f>SUMIFS('Data - Control'!$H$5:$H$296,'Data - Control'!$A$5:$A$296,$A80,'Data - Control'!$B$5:$B$296,$B80)</f>
        <v/>
      </c>
      <c r="I80" s="57">
        <f>IFERROR($G80/$C80,0)</f>
        <v/>
      </c>
      <c r="J80" s="57">
        <f>IFERROR($H80/$D80,0)</f>
        <v/>
      </c>
      <c r="K80" s="36">
        <f>$D80*$I80</f>
        <v/>
      </c>
      <c r="L80" s="36">
        <f>$D80*($J80-$I80)</f>
        <v/>
      </c>
      <c r="M80" s="45">
        <f>IFERROR($D80/$C80-1,"")</f>
        <v/>
      </c>
    </row>
    <row r="81">
      <c r="A81" s="43" t="inlineStr">
        <is>
          <t>FX Matt</t>
        </is>
      </c>
      <c r="B81" s="43" t="inlineStr">
        <is>
          <t>Right Coast</t>
        </is>
      </c>
      <c r="C81" s="33">
        <f>SUMIFS('Data - Control'!$C$5:$C$296,'Data - Control'!$A$5:$A$296,$A81,'Data - Control'!$B$5:$B$296,$B81)</f>
        <v/>
      </c>
      <c r="D81" s="33">
        <f>SUMIFS('Data - Control'!$D$5:$D$296,'Data - Control'!$A$5:$A$296,$A81,'Data - Control'!$B$5:$B$296,$B81)</f>
        <v/>
      </c>
      <c r="E81" s="36">
        <f>SUMIFS('Data - Control'!$E$5:$E$296,'Data - Control'!$A$5:$A$296,$A81,'Data - Control'!$B$5:$B$296,$B81)</f>
        <v/>
      </c>
      <c r="F81" s="36">
        <f>SUMIFS('Data - Control'!$F$5:$F$296,'Data - Control'!$A$5:$A$296,$A81,'Data - Control'!$B$5:$B$296,$B81)</f>
        <v/>
      </c>
      <c r="G81" s="36">
        <f>SUMIFS('Data - Control'!$G$5:$G$296,'Data - Control'!$A$5:$A$296,$A81,'Data - Control'!$B$5:$B$296,$B81)</f>
        <v/>
      </c>
      <c r="H81" s="36">
        <f>SUMIFS('Data - Control'!$H$5:$H$296,'Data - Control'!$A$5:$A$296,$A81,'Data - Control'!$B$5:$B$296,$B81)</f>
        <v/>
      </c>
      <c r="I81" s="57">
        <f>IFERROR($G81/$C81,0)</f>
        <v/>
      </c>
      <c r="J81" s="57">
        <f>IFERROR($H81/$D81,0)</f>
        <v/>
      </c>
      <c r="K81" s="36">
        <f>$D81*$I81</f>
        <v/>
      </c>
      <c r="L81" s="36">
        <f>$D81*($J81-$I81)</f>
        <v/>
      </c>
      <c r="M81" s="45">
        <f>IFERROR($D81/$C81-1,"")</f>
        <v/>
      </c>
    </row>
    <row r="82">
      <c r="A82" s="43" t="inlineStr">
        <is>
          <t>FX Matt</t>
        </is>
      </c>
      <c r="B82" s="43" t="inlineStr">
        <is>
          <t>Saranac</t>
        </is>
      </c>
      <c r="C82" s="33">
        <f>SUMIFS('Data - Control'!$C$5:$C$296,'Data - Control'!$A$5:$A$296,$A82,'Data - Control'!$B$5:$B$296,$B82)</f>
        <v/>
      </c>
      <c r="D82" s="33">
        <f>SUMIFS('Data - Control'!$D$5:$D$296,'Data - Control'!$A$5:$A$296,$A82,'Data - Control'!$B$5:$B$296,$B82)</f>
        <v/>
      </c>
      <c r="E82" s="36">
        <f>SUMIFS('Data - Control'!$E$5:$E$296,'Data - Control'!$A$5:$A$296,$A82,'Data - Control'!$B$5:$B$296,$B82)</f>
        <v/>
      </c>
      <c r="F82" s="36">
        <f>SUMIFS('Data - Control'!$F$5:$F$296,'Data - Control'!$A$5:$A$296,$A82,'Data - Control'!$B$5:$B$296,$B82)</f>
        <v/>
      </c>
      <c r="G82" s="36">
        <f>SUMIFS('Data - Control'!$G$5:$G$296,'Data - Control'!$A$5:$A$296,$A82,'Data - Control'!$B$5:$B$296,$B82)</f>
        <v/>
      </c>
      <c r="H82" s="36">
        <f>SUMIFS('Data - Control'!$H$5:$H$296,'Data - Control'!$A$5:$A$296,$A82,'Data - Control'!$B$5:$B$296,$B82)</f>
        <v/>
      </c>
      <c r="I82" s="57">
        <f>IFERROR($G82/$C82,0)</f>
        <v/>
      </c>
      <c r="J82" s="57">
        <f>IFERROR($H82/$D82,0)</f>
        <v/>
      </c>
      <c r="K82" s="36">
        <f>$D82*$I82</f>
        <v/>
      </c>
      <c r="L82" s="36">
        <f>$D82*($J82-$I82)</f>
        <v/>
      </c>
      <c r="M82" s="45">
        <f>IFERROR($D82/$C82-1,"")</f>
        <v/>
      </c>
    </row>
    <row r="83">
      <c r="A83" s="43" t="inlineStr">
        <is>
          <t>Famosa</t>
        </is>
      </c>
      <c r="B83" s="43" t="inlineStr">
        <is>
          <t>Famosa</t>
        </is>
      </c>
      <c r="C83" s="33">
        <f>SUMIFS('Data - Control'!$C$5:$C$296,'Data - Control'!$A$5:$A$296,$A83,'Data - Control'!$B$5:$B$296,$B83)</f>
        <v/>
      </c>
      <c r="D83" s="33">
        <f>SUMIFS('Data - Control'!$D$5:$D$296,'Data - Control'!$A$5:$A$296,$A83,'Data - Control'!$B$5:$B$296,$B83)</f>
        <v/>
      </c>
      <c r="E83" s="36">
        <f>SUMIFS('Data - Control'!$E$5:$E$296,'Data - Control'!$A$5:$A$296,$A83,'Data - Control'!$B$5:$B$296,$B83)</f>
        <v/>
      </c>
      <c r="F83" s="36">
        <f>SUMIFS('Data - Control'!$F$5:$F$296,'Data - Control'!$A$5:$A$296,$A83,'Data - Control'!$B$5:$B$296,$B83)</f>
        <v/>
      </c>
      <c r="G83" s="36">
        <f>SUMIFS('Data - Control'!$G$5:$G$296,'Data - Control'!$A$5:$A$296,$A83,'Data - Control'!$B$5:$B$296,$B83)</f>
        <v/>
      </c>
      <c r="H83" s="36">
        <f>SUMIFS('Data - Control'!$H$5:$H$296,'Data - Control'!$A$5:$A$296,$A83,'Data - Control'!$B$5:$B$296,$B83)</f>
        <v/>
      </c>
      <c r="I83" s="57">
        <f>IFERROR($G83/$C83,0)</f>
        <v/>
      </c>
      <c r="J83" s="57">
        <f>IFERROR($H83/$D83,0)</f>
        <v/>
      </c>
      <c r="K83" s="36">
        <f>$D83*$I83</f>
        <v/>
      </c>
      <c r="L83" s="36">
        <f>$D83*($J83-$I83)</f>
        <v/>
      </c>
      <c r="M83" s="45">
        <f>IFERROR($D83/$C83-1,"")</f>
        <v/>
      </c>
    </row>
    <row r="84">
      <c r="A84" s="43" t="inlineStr">
        <is>
          <t>Famosa</t>
        </is>
      </c>
      <c r="B84" s="43" t="inlineStr">
        <is>
          <t>Monte Carlo</t>
        </is>
      </c>
      <c r="C84" s="33">
        <f>SUMIFS('Data - Control'!$C$5:$C$296,'Data - Control'!$A$5:$A$296,$A84,'Data - Control'!$B$5:$B$296,$B84)</f>
        <v/>
      </c>
      <c r="D84" s="33">
        <f>SUMIFS('Data - Control'!$D$5:$D$296,'Data - Control'!$A$5:$A$296,$A84,'Data - Control'!$B$5:$B$296,$B84)</f>
        <v/>
      </c>
      <c r="E84" s="36">
        <f>SUMIFS('Data - Control'!$E$5:$E$296,'Data - Control'!$A$5:$A$296,$A84,'Data - Control'!$B$5:$B$296,$B84)</f>
        <v/>
      </c>
      <c r="F84" s="36">
        <f>SUMIFS('Data - Control'!$F$5:$F$296,'Data - Control'!$A$5:$A$296,$A84,'Data - Control'!$B$5:$B$296,$B84)</f>
        <v/>
      </c>
      <c r="G84" s="36">
        <f>SUMIFS('Data - Control'!$G$5:$G$296,'Data - Control'!$A$5:$A$296,$A84,'Data - Control'!$B$5:$B$296,$B84)</f>
        <v/>
      </c>
      <c r="H84" s="36">
        <f>SUMIFS('Data - Control'!$H$5:$H$296,'Data - Control'!$A$5:$A$296,$A84,'Data - Control'!$B$5:$B$296,$B84)</f>
        <v/>
      </c>
      <c r="I84" s="57">
        <f>IFERROR($G84/$C84,0)</f>
        <v/>
      </c>
      <c r="J84" s="57">
        <f>IFERROR($H84/$D84,0)</f>
        <v/>
      </c>
      <c r="K84" s="36">
        <f>$D84*$I84</f>
        <v/>
      </c>
      <c r="L84" s="36">
        <f>$D84*($J84-$I84)</f>
        <v/>
      </c>
      <c r="M84" s="45">
        <f>IFERROR($D84/$C84-1,"")</f>
        <v/>
      </c>
    </row>
    <row r="85">
      <c r="A85" s="43" t="inlineStr">
        <is>
          <t>Flying Fish</t>
        </is>
      </c>
      <c r="B85" s="43" t="inlineStr">
        <is>
          <t>Big Mans Brew</t>
        </is>
      </c>
      <c r="C85" s="33">
        <f>SUMIFS('Data - Control'!$C$5:$C$296,'Data - Control'!$A$5:$A$296,$A85,'Data - Control'!$B$5:$B$296,$B85)</f>
        <v/>
      </c>
      <c r="D85" s="33">
        <f>SUMIFS('Data - Control'!$D$5:$D$296,'Data - Control'!$A$5:$A$296,$A85,'Data - Control'!$B$5:$B$296,$B85)</f>
        <v/>
      </c>
      <c r="E85" s="36">
        <f>SUMIFS('Data - Control'!$E$5:$E$296,'Data - Control'!$A$5:$A$296,$A85,'Data - Control'!$B$5:$B$296,$B85)</f>
        <v/>
      </c>
      <c r="F85" s="36">
        <f>SUMIFS('Data - Control'!$F$5:$F$296,'Data - Control'!$A$5:$A$296,$A85,'Data - Control'!$B$5:$B$296,$B85)</f>
        <v/>
      </c>
      <c r="G85" s="36">
        <f>SUMIFS('Data - Control'!$G$5:$G$296,'Data - Control'!$A$5:$A$296,$A85,'Data - Control'!$B$5:$B$296,$B85)</f>
        <v/>
      </c>
      <c r="H85" s="36">
        <f>SUMIFS('Data - Control'!$H$5:$H$296,'Data - Control'!$A$5:$A$296,$A85,'Data - Control'!$B$5:$B$296,$B85)</f>
        <v/>
      </c>
      <c r="I85" s="57">
        <f>IFERROR($G85/$C85,0)</f>
        <v/>
      </c>
      <c r="J85" s="57">
        <f>IFERROR($H85/$D85,0)</f>
        <v/>
      </c>
      <c r="K85" s="36">
        <f>$D85*$I85</f>
        <v/>
      </c>
      <c r="L85" s="36">
        <f>$D85*($J85-$I85)</f>
        <v/>
      </c>
      <c r="M85" s="45">
        <f>IFERROR($D85/$C85-1,"")</f>
        <v/>
      </c>
    </row>
    <row r="86">
      <c r="A86" s="43" t="inlineStr">
        <is>
          <t>Flying Fish</t>
        </is>
      </c>
      <c r="B86" s="43" t="inlineStr">
        <is>
          <t>Flying Fish</t>
        </is>
      </c>
      <c r="C86" s="33">
        <f>SUMIFS('Data - Control'!$C$5:$C$296,'Data - Control'!$A$5:$A$296,$A86,'Data - Control'!$B$5:$B$296,$B86)</f>
        <v/>
      </c>
      <c r="D86" s="33">
        <f>SUMIFS('Data - Control'!$D$5:$D$296,'Data - Control'!$A$5:$A$296,$A86,'Data - Control'!$B$5:$B$296,$B86)</f>
        <v/>
      </c>
      <c r="E86" s="36">
        <f>SUMIFS('Data - Control'!$E$5:$E$296,'Data - Control'!$A$5:$A$296,$A86,'Data - Control'!$B$5:$B$296,$B86)</f>
        <v/>
      </c>
      <c r="F86" s="36">
        <f>SUMIFS('Data - Control'!$F$5:$F$296,'Data - Control'!$A$5:$A$296,$A86,'Data - Control'!$B$5:$B$296,$B86)</f>
        <v/>
      </c>
      <c r="G86" s="36">
        <f>SUMIFS('Data - Control'!$G$5:$G$296,'Data - Control'!$A$5:$A$296,$A86,'Data - Control'!$B$5:$B$296,$B86)</f>
        <v/>
      </c>
      <c r="H86" s="36">
        <f>SUMIFS('Data - Control'!$H$5:$H$296,'Data - Control'!$A$5:$A$296,$A86,'Data - Control'!$B$5:$B$296,$B86)</f>
        <v/>
      </c>
      <c r="I86" s="57">
        <f>IFERROR($G86/$C86,0)</f>
        <v/>
      </c>
      <c r="J86" s="57">
        <f>IFERROR($H86/$D86,0)</f>
        <v/>
      </c>
      <c r="K86" s="36">
        <f>$D86*$I86</f>
        <v/>
      </c>
      <c r="L86" s="36">
        <f>$D86*($J86-$I86)</f>
        <v/>
      </c>
      <c r="M86" s="45">
        <f>IFERROR($D86/$C86-1,"")</f>
        <v/>
      </c>
    </row>
    <row r="87">
      <c r="A87" s="43" t="inlineStr">
        <is>
          <t>Food &amp; Bev Enterprise LLC</t>
        </is>
      </c>
      <c r="B87" s="43" t="inlineStr">
        <is>
          <t>Aguila Import</t>
        </is>
      </c>
      <c r="C87" s="33">
        <f>SUMIFS('Data - Control'!$C$5:$C$296,'Data - Control'!$A$5:$A$296,$A87,'Data - Control'!$B$5:$B$296,$B87)</f>
        <v/>
      </c>
      <c r="D87" s="33">
        <f>SUMIFS('Data - Control'!$D$5:$D$296,'Data - Control'!$A$5:$A$296,$A87,'Data - Control'!$B$5:$B$296,$B87)</f>
        <v/>
      </c>
      <c r="E87" s="36">
        <f>SUMIFS('Data - Control'!$E$5:$E$296,'Data - Control'!$A$5:$A$296,$A87,'Data - Control'!$B$5:$B$296,$B87)</f>
        <v/>
      </c>
      <c r="F87" s="36">
        <f>SUMIFS('Data - Control'!$F$5:$F$296,'Data - Control'!$A$5:$A$296,$A87,'Data - Control'!$B$5:$B$296,$B87)</f>
        <v/>
      </c>
      <c r="G87" s="36">
        <f>SUMIFS('Data - Control'!$G$5:$G$296,'Data - Control'!$A$5:$A$296,$A87,'Data - Control'!$B$5:$B$296,$B87)</f>
        <v/>
      </c>
      <c r="H87" s="36">
        <f>SUMIFS('Data - Control'!$H$5:$H$296,'Data - Control'!$A$5:$A$296,$A87,'Data - Control'!$B$5:$B$296,$B87)</f>
        <v/>
      </c>
      <c r="I87" s="57">
        <f>IFERROR($G87/$C87,0)</f>
        <v/>
      </c>
      <c r="J87" s="57">
        <f>IFERROR($H87/$D87,0)</f>
        <v/>
      </c>
      <c r="K87" s="36">
        <f>$D87*$I87</f>
        <v/>
      </c>
      <c r="L87" s="36">
        <f>$D87*($J87-$I87)</f>
        <v/>
      </c>
      <c r="M87" s="45">
        <f>IFERROR($D87/$C87-1,"")</f>
        <v/>
      </c>
    </row>
    <row r="88">
      <c r="A88" s="43" t="inlineStr">
        <is>
          <t>Food &amp; Bev Enterprise LLC</t>
        </is>
      </c>
      <c r="B88" s="43" t="inlineStr">
        <is>
          <t>Costenita</t>
        </is>
      </c>
      <c r="C88" s="33">
        <f>SUMIFS('Data - Control'!$C$5:$C$296,'Data - Control'!$A$5:$A$296,$A88,'Data - Control'!$B$5:$B$296,$B88)</f>
        <v/>
      </c>
      <c r="D88" s="33">
        <f>SUMIFS('Data - Control'!$D$5:$D$296,'Data - Control'!$A$5:$A$296,$A88,'Data - Control'!$B$5:$B$296,$B88)</f>
        <v/>
      </c>
      <c r="E88" s="36">
        <f>SUMIFS('Data - Control'!$E$5:$E$296,'Data - Control'!$A$5:$A$296,$A88,'Data - Control'!$B$5:$B$296,$B88)</f>
        <v/>
      </c>
      <c r="F88" s="36">
        <f>SUMIFS('Data - Control'!$F$5:$F$296,'Data - Control'!$A$5:$A$296,$A88,'Data - Control'!$B$5:$B$296,$B88)</f>
        <v/>
      </c>
      <c r="G88" s="36">
        <f>SUMIFS('Data - Control'!$G$5:$G$296,'Data - Control'!$A$5:$A$296,$A88,'Data - Control'!$B$5:$B$296,$B88)</f>
        <v/>
      </c>
      <c r="H88" s="36">
        <f>SUMIFS('Data - Control'!$H$5:$H$296,'Data - Control'!$A$5:$A$296,$A88,'Data - Control'!$B$5:$B$296,$B88)</f>
        <v/>
      </c>
      <c r="I88" s="57">
        <f>IFERROR($G88/$C88,0)</f>
        <v/>
      </c>
      <c r="J88" s="57">
        <f>IFERROR($H88/$D88,0)</f>
        <v/>
      </c>
      <c r="K88" s="36">
        <f>$D88*$I88</f>
        <v/>
      </c>
      <c r="L88" s="36">
        <f>$D88*($J88-$I88)</f>
        <v/>
      </c>
      <c r="M88" s="45">
        <f>IFERROR($D88/$C88-1,"")</f>
        <v/>
      </c>
    </row>
    <row r="89">
      <c r="A89" s="43" t="inlineStr">
        <is>
          <t>Food &amp; Bev Enterprise LLC</t>
        </is>
      </c>
      <c r="B89" s="43" t="inlineStr">
        <is>
          <t>Food &amp; Bev</t>
        </is>
      </c>
      <c r="C89" s="33">
        <f>SUMIFS('Data - Control'!$C$5:$C$296,'Data - Control'!$A$5:$A$296,$A89,'Data - Control'!$B$5:$B$296,$B89)</f>
        <v/>
      </c>
      <c r="D89" s="33">
        <f>SUMIFS('Data - Control'!$D$5:$D$296,'Data - Control'!$A$5:$A$296,$A89,'Data - Control'!$B$5:$B$296,$B89)</f>
        <v/>
      </c>
      <c r="E89" s="36">
        <f>SUMIFS('Data - Control'!$E$5:$E$296,'Data - Control'!$A$5:$A$296,$A89,'Data - Control'!$B$5:$B$296,$B89)</f>
        <v/>
      </c>
      <c r="F89" s="36">
        <f>SUMIFS('Data - Control'!$F$5:$F$296,'Data - Control'!$A$5:$A$296,$A89,'Data - Control'!$B$5:$B$296,$B89)</f>
        <v/>
      </c>
      <c r="G89" s="36">
        <f>SUMIFS('Data - Control'!$G$5:$G$296,'Data - Control'!$A$5:$A$296,$A89,'Data - Control'!$B$5:$B$296,$B89)</f>
        <v/>
      </c>
      <c r="H89" s="36">
        <f>SUMIFS('Data - Control'!$H$5:$H$296,'Data - Control'!$A$5:$A$296,$A89,'Data - Control'!$B$5:$B$296,$B89)</f>
        <v/>
      </c>
      <c r="I89" s="57">
        <f>IFERROR($G89/$C89,0)</f>
        <v/>
      </c>
      <c r="J89" s="57">
        <f>IFERROR($H89/$D89,0)</f>
        <v/>
      </c>
      <c r="K89" s="36">
        <f>$D89*$I89</f>
        <v/>
      </c>
      <c r="L89" s="36">
        <f>$D89*($J89-$I89)</f>
        <v/>
      </c>
      <c r="M89" s="45">
        <f>IFERROR($D89/$C89-1,"")</f>
        <v/>
      </c>
    </row>
    <row r="90">
      <c r="A90" s="43" t="inlineStr">
        <is>
          <t>Food &amp; Bev Enterprise LLC</t>
        </is>
      </c>
      <c r="B90" s="43" t="inlineStr">
        <is>
          <t>Poker Import</t>
        </is>
      </c>
      <c r="C90" s="33">
        <f>SUMIFS('Data - Control'!$C$5:$C$296,'Data - Control'!$A$5:$A$296,$A90,'Data - Control'!$B$5:$B$296,$B90)</f>
        <v/>
      </c>
      <c r="D90" s="33">
        <f>SUMIFS('Data - Control'!$D$5:$D$296,'Data - Control'!$A$5:$A$296,$A90,'Data - Control'!$B$5:$B$296,$B90)</f>
        <v/>
      </c>
      <c r="E90" s="36">
        <f>SUMIFS('Data - Control'!$E$5:$E$296,'Data - Control'!$A$5:$A$296,$A90,'Data - Control'!$B$5:$B$296,$B90)</f>
        <v/>
      </c>
      <c r="F90" s="36">
        <f>SUMIFS('Data - Control'!$F$5:$F$296,'Data - Control'!$A$5:$A$296,$A90,'Data - Control'!$B$5:$B$296,$B90)</f>
        <v/>
      </c>
      <c r="G90" s="36">
        <f>SUMIFS('Data - Control'!$G$5:$G$296,'Data - Control'!$A$5:$A$296,$A90,'Data - Control'!$B$5:$B$296,$B90)</f>
        <v/>
      </c>
      <c r="H90" s="36">
        <f>SUMIFS('Data - Control'!$H$5:$H$296,'Data - Control'!$A$5:$A$296,$A90,'Data - Control'!$B$5:$B$296,$B90)</f>
        <v/>
      </c>
      <c r="I90" s="57">
        <f>IFERROR($G90/$C90,0)</f>
        <v/>
      </c>
      <c r="J90" s="57">
        <f>IFERROR($H90/$D90,0)</f>
        <v/>
      </c>
      <c r="K90" s="36">
        <f>$D90*$I90</f>
        <v/>
      </c>
      <c r="L90" s="36">
        <f>$D90*($J90-$I90)</f>
        <v/>
      </c>
      <c r="M90" s="45">
        <f>IFERROR($D90/$C90-1,"")</f>
        <v/>
      </c>
    </row>
    <row r="91">
      <c r="A91" s="43" t="inlineStr">
        <is>
          <t>Forged Irish Stout</t>
        </is>
      </c>
      <c r="B91" s="43" t="inlineStr">
        <is>
          <t>Forged Irish Stout</t>
        </is>
      </c>
      <c r="C91" s="33">
        <f>SUMIFS('Data - Control'!$C$5:$C$296,'Data - Control'!$A$5:$A$296,$A91,'Data - Control'!$B$5:$B$296,$B91)</f>
        <v/>
      </c>
      <c r="D91" s="33">
        <f>SUMIFS('Data - Control'!$D$5:$D$296,'Data - Control'!$A$5:$A$296,$A91,'Data - Control'!$B$5:$B$296,$B91)</f>
        <v/>
      </c>
      <c r="E91" s="36">
        <f>SUMIFS('Data - Control'!$E$5:$E$296,'Data - Control'!$A$5:$A$296,$A91,'Data - Control'!$B$5:$B$296,$B91)</f>
        <v/>
      </c>
      <c r="F91" s="36">
        <f>SUMIFS('Data - Control'!$F$5:$F$296,'Data - Control'!$A$5:$A$296,$A91,'Data - Control'!$B$5:$B$296,$B91)</f>
        <v/>
      </c>
      <c r="G91" s="36">
        <f>SUMIFS('Data - Control'!$G$5:$G$296,'Data - Control'!$A$5:$A$296,$A91,'Data - Control'!$B$5:$B$296,$B91)</f>
        <v/>
      </c>
      <c r="H91" s="36">
        <f>SUMIFS('Data - Control'!$H$5:$H$296,'Data - Control'!$A$5:$A$296,$A91,'Data - Control'!$B$5:$B$296,$B91)</f>
        <v/>
      </c>
      <c r="I91" s="57">
        <f>IFERROR($G91/$C91,0)</f>
        <v/>
      </c>
      <c r="J91" s="57">
        <f>IFERROR($H91/$D91,0)</f>
        <v/>
      </c>
      <c r="K91" s="36">
        <f>$D91*$I91</f>
        <v/>
      </c>
      <c r="L91" s="36">
        <f>$D91*($J91-$I91)</f>
        <v/>
      </c>
      <c r="M91" s="45">
        <f>IFERROR($D91/$C91-1,"")</f>
        <v/>
      </c>
    </row>
    <row r="92">
      <c r="A92" s="43" t="inlineStr">
        <is>
          <t>GUSH INC</t>
        </is>
      </c>
      <c r="B92" s="43" t="inlineStr">
        <is>
          <t>Gush</t>
        </is>
      </c>
      <c r="C92" s="33">
        <f>SUMIFS('Data - Control'!$C$5:$C$296,'Data - Control'!$A$5:$A$296,$A92,'Data - Control'!$B$5:$B$296,$B92)</f>
        <v/>
      </c>
      <c r="D92" s="33">
        <f>SUMIFS('Data - Control'!$D$5:$D$296,'Data - Control'!$A$5:$A$296,$A92,'Data - Control'!$B$5:$B$296,$B92)</f>
        <v/>
      </c>
      <c r="E92" s="36">
        <f>SUMIFS('Data - Control'!$E$5:$E$296,'Data - Control'!$A$5:$A$296,$A92,'Data - Control'!$B$5:$B$296,$B92)</f>
        <v/>
      </c>
      <c r="F92" s="36">
        <f>SUMIFS('Data - Control'!$F$5:$F$296,'Data - Control'!$A$5:$A$296,$A92,'Data - Control'!$B$5:$B$296,$B92)</f>
        <v/>
      </c>
      <c r="G92" s="36">
        <f>SUMIFS('Data - Control'!$G$5:$G$296,'Data - Control'!$A$5:$A$296,$A92,'Data - Control'!$B$5:$B$296,$B92)</f>
        <v/>
      </c>
      <c r="H92" s="36">
        <f>SUMIFS('Data - Control'!$H$5:$H$296,'Data - Control'!$A$5:$A$296,$A92,'Data - Control'!$B$5:$B$296,$B92)</f>
        <v/>
      </c>
      <c r="I92" s="57">
        <f>IFERROR($G92/$C92,0)</f>
        <v/>
      </c>
      <c r="J92" s="57">
        <f>IFERROR($H92/$D92,0)</f>
        <v/>
      </c>
      <c r="K92" s="36">
        <f>$D92*$I92</f>
        <v/>
      </c>
      <c r="L92" s="36">
        <f>$D92*($J92-$I92)</f>
        <v/>
      </c>
      <c r="M92" s="45">
        <f>IFERROR($D92/$C92-1,"")</f>
        <v/>
      </c>
    </row>
    <row r="93">
      <c r="A93" s="43" t="inlineStr">
        <is>
          <t>Gambrinus Imports</t>
        </is>
      </c>
      <c r="B93" s="43" t="inlineStr">
        <is>
          <t>Shiner</t>
        </is>
      </c>
      <c r="C93" s="33">
        <f>SUMIFS('Data - Control'!$C$5:$C$296,'Data - Control'!$A$5:$A$296,$A93,'Data - Control'!$B$5:$B$296,$B93)</f>
        <v/>
      </c>
      <c r="D93" s="33">
        <f>SUMIFS('Data - Control'!$D$5:$D$296,'Data - Control'!$A$5:$A$296,$A93,'Data - Control'!$B$5:$B$296,$B93)</f>
        <v/>
      </c>
      <c r="E93" s="36">
        <f>SUMIFS('Data - Control'!$E$5:$E$296,'Data - Control'!$A$5:$A$296,$A93,'Data - Control'!$B$5:$B$296,$B93)</f>
        <v/>
      </c>
      <c r="F93" s="36">
        <f>SUMIFS('Data - Control'!$F$5:$F$296,'Data - Control'!$A$5:$A$296,$A93,'Data - Control'!$B$5:$B$296,$B93)</f>
        <v/>
      </c>
      <c r="G93" s="36">
        <f>SUMIFS('Data - Control'!$G$5:$G$296,'Data - Control'!$A$5:$A$296,$A93,'Data - Control'!$B$5:$B$296,$B93)</f>
        <v/>
      </c>
      <c r="H93" s="36">
        <f>SUMIFS('Data - Control'!$H$5:$H$296,'Data - Control'!$A$5:$A$296,$A93,'Data - Control'!$B$5:$B$296,$B93)</f>
        <v/>
      </c>
      <c r="I93" s="57">
        <f>IFERROR($G93/$C93,0)</f>
        <v/>
      </c>
      <c r="J93" s="57">
        <f>IFERROR($H93/$D93,0)</f>
        <v/>
      </c>
      <c r="K93" s="36">
        <f>$D93*$I93</f>
        <v/>
      </c>
      <c r="L93" s="36">
        <f>$D93*($J93-$I93)</f>
        <v/>
      </c>
      <c r="M93" s="45">
        <f>IFERROR($D93/$C93-1,"")</f>
        <v/>
      </c>
    </row>
    <row r="94">
      <c r="A94" s="43" t="inlineStr">
        <is>
          <t>Garage Beer</t>
        </is>
      </c>
      <c r="B94" s="43" t="inlineStr">
        <is>
          <t>Garage Beer</t>
        </is>
      </c>
      <c r="C94" s="33">
        <f>SUMIFS('Data - Control'!$C$5:$C$296,'Data - Control'!$A$5:$A$296,$A94,'Data - Control'!$B$5:$B$296,$B94)</f>
        <v/>
      </c>
      <c r="D94" s="33">
        <f>SUMIFS('Data - Control'!$D$5:$D$296,'Data - Control'!$A$5:$A$296,$A94,'Data - Control'!$B$5:$B$296,$B94)</f>
        <v/>
      </c>
      <c r="E94" s="36">
        <f>SUMIFS('Data - Control'!$E$5:$E$296,'Data - Control'!$A$5:$A$296,$A94,'Data - Control'!$B$5:$B$296,$B94)</f>
        <v/>
      </c>
      <c r="F94" s="36">
        <f>SUMIFS('Data - Control'!$F$5:$F$296,'Data - Control'!$A$5:$A$296,$A94,'Data - Control'!$B$5:$B$296,$B94)</f>
        <v/>
      </c>
      <c r="G94" s="36">
        <f>SUMIFS('Data - Control'!$G$5:$G$296,'Data - Control'!$A$5:$A$296,$A94,'Data - Control'!$B$5:$B$296,$B94)</f>
        <v/>
      </c>
      <c r="H94" s="36">
        <f>SUMIFS('Data - Control'!$H$5:$H$296,'Data - Control'!$A$5:$A$296,$A94,'Data - Control'!$B$5:$B$296,$B94)</f>
        <v/>
      </c>
      <c r="I94" s="57">
        <f>IFERROR($G94/$C94,0)</f>
        <v/>
      </c>
      <c r="J94" s="57">
        <f>IFERROR($H94/$D94,0)</f>
        <v/>
      </c>
      <c r="K94" s="36">
        <f>$D94*$I94</f>
        <v/>
      </c>
      <c r="L94" s="36">
        <f>$D94*($J94-$I94)</f>
        <v/>
      </c>
      <c r="M94" s="45">
        <f>IFERROR($D94/$C94-1,"")</f>
        <v/>
      </c>
    </row>
    <row r="95">
      <c r="A95" s="43" t="inlineStr">
        <is>
          <t>Gigli</t>
        </is>
      </c>
      <c r="B95" s="43" t="inlineStr">
        <is>
          <t>Gigli</t>
        </is>
      </c>
      <c r="C95" s="33">
        <f>SUMIFS('Data - Control'!$C$5:$C$296,'Data - Control'!$A$5:$A$296,$A95,'Data - Control'!$B$5:$B$296,$B95)</f>
        <v/>
      </c>
      <c r="D95" s="33">
        <f>SUMIFS('Data - Control'!$D$5:$D$296,'Data - Control'!$A$5:$A$296,$A95,'Data - Control'!$B$5:$B$296,$B95)</f>
        <v/>
      </c>
      <c r="E95" s="36">
        <f>SUMIFS('Data - Control'!$E$5:$E$296,'Data - Control'!$A$5:$A$296,$A95,'Data - Control'!$B$5:$B$296,$B95)</f>
        <v/>
      </c>
      <c r="F95" s="36">
        <f>SUMIFS('Data - Control'!$F$5:$F$296,'Data - Control'!$A$5:$A$296,$A95,'Data - Control'!$B$5:$B$296,$B95)</f>
        <v/>
      </c>
      <c r="G95" s="36">
        <f>SUMIFS('Data - Control'!$G$5:$G$296,'Data - Control'!$A$5:$A$296,$A95,'Data - Control'!$B$5:$B$296,$B95)</f>
        <v/>
      </c>
      <c r="H95" s="36">
        <f>SUMIFS('Data - Control'!$H$5:$H$296,'Data - Control'!$A$5:$A$296,$A95,'Data - Control'!$B$5:$B$296,$B95)</f>
        <v/>
      </c>
      <c r="I95" s="57">
        <f>IFERROR($G95/$C95,0)</f>
        <v/>
      </c>
      <c r="J95" s="57">
        <f>IFERROR($H95/$D95,0)</f>
        <v/>
      </c>
      <c r="K95" s="36">
        <f>$D95*$I95</f>
        <v/>
      </c>
      <c r="L95" s="36">
        <f>$D95*($J95-$I95)</f>
        <v/>
      </c>
      <c r="M95" s="45">
        <f>IFERROR($D95/$C95-1,"")</f>
        <v/>
      </c>
    </row>
    <row r="96">
      <c r="A96" s="43" t="inlineStr">
        <is>
          <t>Global Beer</t>
        </is>
      </c>
      <c r="B96" s="43" t="inlineStr">
        <is>
          <t>Baptist Wit</t>
        </is>
      </c>
      <c r="C96" s="33">
        <f>SUMIFS('Data - Control'!$C$5:$C$296,'Data - Control'!$A$5:$A$296,$A96,'Data - Control'!$B$5:$B$296,$B96)</f>
        <v/>
      </c>
      <c r="D96" s="33">
        <f>SUMIFS('Data - Control'!$D$5:$D$296,'Data - Control'!$A$5:$A$296,$A96,'Data - Control'!$B$5:$B$296,$B96)</f>
        <v/>
      </c>
      <c r="E96" s="36">
        <f>SUMIFS('Data - Control'!$E$5:$E$296,'Data - Control'!$A$5:$A$296,$A96,'Data - Control'!$B$5:$B$296,$B96)</f>
        <v/>
      </c>
      <c r="F96" s="36">
        <f>SUMIFS('Data - Control'!$F$5:$F$296,'Data - Control'!$A$5:$A$296,$A96,'Data - Control'!$B$5:$B$296,$B96)</f>
        <v/>
      </c>
      <c r="G96" s="36">
        <f>SUMIFS('Data - Control'!$G$5:$G$296,'Data - Control'!$A$5:$A$296,$A96,'Data - Control'!$B$5:$B$296,$B96)</f>
        <v/>
      </c>
      <c r="H96" s="36">
        <f>SUMIFS('Data - Control'!$H$5:$H$296,'Data - Control'!$A$5:$A$296,$A96,'Data - Control'!$B$5:$B$296,$B96)</f>
        <v/>
      </c>
      <c r="I96" s="57">
        <f>IFERROR($G96/$C96,0)</f>
        <v/>
      </c>
      <c r="J96" s="57">
        <f>IFERROR($H96/$D96,0)</f>
        <v/>
      </c>
      <c r="K96" s="36">
        <f>$D96*$I96</f>
        <v/>
      </c>
      <c r="L96" s="36">
        <f>$D96*($J96-$I96)</f>
        <v/>
      </c>
      <c r="M96" s="45">
        <f>IFERROR($D96/$C96-1,"")</f>
        <v/>
      </c>
    </row>
    <row r="97">
      <c r="A97" s="43" t="inlineStr">
        <is>
          <t>Global Beer</t>
        </is>
      </c>
      <c r="B97" s="43" t="inlineStr">
        <is>
          <t>Bavik</t>
        </is>
      </c>
      <c r="C97" s="33">
        <f>SUMIFS('Data - Control'!$C$5:$C$296,'Data - Control'!$A$5:$A$296,$A97,'Data - Control'!$B$5:$B$296,$B97)</f>
        <v/>
      </c>
      <c r="D97" s="33">
        <f>SUMIFS('Data - Control'!$D$5:$D$296,'Data - Control'!$A$5:$A$296,$A97,'Data - Control'!$B$5:$B$296,$B97)</f>
        <v/>
      </c>
      <c r="E97" s="36">
        <f>SUMIFS('Data - Control'!$E$5:$E$296,'Data - Control'!$A$5:$A$296,$A97,'Data - Control'!$B$5:$B$296,$B97)</f>
        <v/>
      </c>
      <c r="F97" s="36">
        <f>SUMIFS('Data - Control'!$F$5:$F$296,'Data - Control'!$A$5:$A$296,$A97,'Data - Control'!$B$5:$B$296,$B97)</f>
        <v/>
      </c>
      <c r="G97" s="36">
        <f>SUMIFS('Data - Control'!$G$5:$G$296,'Data - Control'!$A$5:$A$296,$A97,'Data - Control'!$B$5:$B$296,$B97)</f>
        <v/>
      </c>
      <c r="H97" s="36">
        <f>SUMIFS('Data - Control'!$H$5:$H$296,'Data - Control'!$A$5:$A$296,$A97,'Data - Control'!$B$5:$B$296,$B97)</f>
        <v/>
      </c>
      <c r="I97" s="57">
        <f>IFERROR($G97/$C97,0)</f>
        <v/>
      </c>
      <c r="J97" s="57">
        <f>IFERROR($H97/$D97,0)</f>
        <v/>
      </c>
      <c r="K97" s="36">
        <f>$D97*$I97</f>
        <v/>
      </c>
      <c r="L97" s="36">
        <f>$D97*($J97-$I97)</f>
        <v/>
      </c>
      <c r="M97" s="45">
        <f>IFERROR($D97/$C97-1,"")</f>
        <v/>
      </c>
    </row>
    <row r="98">
      <c r="A98" s="43" t="inlineStr">
        <is>
          <t>Global Beer</t>
        </is>
      </c>
      <c r="B98" s="43" t="inlineStr">
        <is>
          <t>Czechvar</t>
        </is>
      </c>
      <c r="C98" s="33">
        <f>SUMIFS('Data - Control'!$C$5:$C$296,'Data - Control'!$A$5:$A$296,$A98,'Data - Control'!$B$5:$B$296,$B98)</f>
        <v/>
      </c>
      <c r="D98" s="33">
        <f>SUMIFS('Data - Control'!$D$5:$D$296,'Data - Control'!$A$5:$A$296,$A98,'Data - Control'!$B$5:$B$296,$B98)</f>
        <v/>
      </c>
      <c r="E98" s="36">
        <f>SUMIFS('Data - Control'!$E$5:$E$296,'Data - Control'!$A$5:$A$296,$A98,'Data - Control'!$B$5:$B$296,$B98)</f>
        <v/>
      </c>
      <c r="F98" s="36">
        <f>SUMIFS('Data - Control'!$F$5:$F$296,'Data - Control'!$A$5:$A$296,$A98,'Data - Control'!$B$5:$B$296,$B98)</f>
        <v/>
      </c>
      <c r="G98" s="36">
        <f>SUMIFS('Data - Control'!$G$5:$G$296,'Data - Control'!$A$5:$A$296,$A98,'Data - Control'!$B$5:$B$296,$B98)</f>
        <v/>
      </c>
      <c r="H98" s="36">
        <f>SUMIFS('Data - Control'!$H$5:$H$296,'Data - Control'!$A$5:$A$296,$A98,'Data - Control'!$B$5:$B$296,$B98)</f>
        <v/>
      </c>
      <c r="I98" s="57">
        <f>IFERROR($G98/$C98,0)</f>
        <v/>
      </c>
      <c r="J98" s="57">
        <f>IFERROR($H98/$D98,0)</f>
        <v/>
      </c>
      <c r="K98" s="36">
        <f>$D98*$I98</f>
        <v/>
      </c>
      <c r="L98" s="36">
        <f>$D98*($J98-$I98)</f>
        <v/>
      </c>
      <c r="M98" s="45">
        <f>IFERROR($D98/$C98-1,"")</f>
        <v/>
      </c>
    </row>
    <row r="99">
      <c r="A99" s="43" t="inlineStr">
        <is>
          <t>Global Beer</t>
        </is>
      </c>
      <c r="B99" s="43" t="inlineStr">
        <is>
          <t>Gulden Draak</t>
        </is>
      </c>
      <c r="C99" s="33">
        <f>SUMIFS('Data - Control'!$C$5:$C$296,'Data - Control'!$A$5:$A$296,$A99,'Data - Control'!$B$5:$B$296,$B99)</f>
        <v/>
      </c>
      <c r="D99" s="33">
        <f>SUMIFS('Data - Control'!$D$5:$D$296,'Data - Control'!$A$5:$A$296,$A99,'Data - Control'!$B$5:$B$296,$B99)</f>
        <v/>
      </c>
      <c r="E99" s="36">
        <f>SUMIFS('Data - Control'!$E$5:$E$296,'Data - Control'!$A$5:$A$296,$A99,'Data - Control'!$B$5:$B$296,$B99)</f>
        <v/>
      </c>
      <c r="F99" s="36">
        <f>SUMIFS('Data - Control'!$F$5:$F$296,'Data - Control'!$A$5:$A$296,$A99,'Data - Control'!$B$5:$B$296,$B99)</f>
        <v/>
      </c>
      <c r="G99" s="36">
        <f>SUMIFS('Data - Control'!$G$5:$G$296,'Data - Control'!$A$5:$A$296,$A99,'Data - Control'!$B$5:$B$296,$B99)</f>
        <v/>
      </c>
      <c r="H99" s="36">
        <f>SUMIFS('Data - Control'!$H$5:$H$296,'Data - Control'!$A$5:$A$296,$A99,'Data - Control'!$B$5:$B$296,$B99)</f>
        <v/>
      </c>
      <c r="I99" s="57">
        <f>IFERROR($G99/$C99,0)</f>
        <v/>
      </c>
      <c r="J99" s="57">
        <f>IFERROR($H99/$D99,0)</f>
        <v/>
      </c>
      <c r="K99" s="36">
        <f>$D99*$I99</f>
        <v/>
      </c>
      <c r="L99" s="36">
        <f>$D99*($J99-$I99)</f>
        <v/>
      </c>
      <c r="M99" s="45">
        <f>IFERROR($D99/$C99-1,"")</f>
        <v/>
      </c>
    </row>
    <row r="100">
      <c r="A100" s="43" t="inlineStr">
        <is>
          <t>Global Beer</t>
        </is>
      </c>
      <c r="B100" s="43" t="inlineStr">
        <is>
          <t>Petrus</t>
        </is>
      </c>
      <c r="C100" s="33">
        <f>SUMIFS('Data - Control'!$C$5:$C$296,'Data - Control'!$A$5:$A$296,$A100,'Data - Control'!$B$5:$B$296,$B100)</f>
        <v/>
      </c>
      <c r="D100" s="33">
        <f>SUMIFS('Data - Control'!$D$5:$D$296,'Data - Control'!$A$5:$A$296,$A100,'Data - Control'!$B$5:$B$296,$B100)</f>
        <v/>
      </c>
      <c r="E100" s="36">
        <f>SUMIFS('Data - Control'!$E$5:$E$296,'Data - Control'!$A$5:$A$296,$A100,'Data - Control'!$B$5:$B$296,$B100)</f>
        <v/>
      </c>
      <c r="F100" s="36">
        <f>SUMIFS('Data - Control'!$F$5:$F$296,'Data - Control'!$A$5:$A$296,$A100,'Data - Control'!$B$5:$B$296,$B100)</f>
        <v/>
      </c>
      <c r="G100" s="36">
        <f>SUMIFS('Data - Control'!$G$5:$G$296,'Data - Control'!$A$5:$A$296,$A100,'Data - Control'!$B$5:$B$296,$B100)</f>
        <v/>
      </c>
      <c r="H100" s="36">
        <f>SUMIFS('Data - Control'!$H$5:$H$296,'Data - Control'!$A$5:$A$296,$A100,'Data - Control'!$B$5:$B$296,$B100)</f>
        <v/>
      </c>
      <c r="I100" s="57">
        <f>IFERROR($G100/$C100,0)</f>
        <v/>
      </c>
      <c r="J100" s="57">
        <f>IFERROR($H100/$D100,0)</f>
        <v/>
      </c>
      <c r="K100" s="36">
        <f>$D100*$I100</f>
        <v/>
      </c>
      <c r="L100" s="36">
        <f>$D100*($J100-$I100)</f>
        <v/>
      </c>
      <c r="M100" s="45">
        <f>IFERROR($D100/$C100-1,"")</f>
        <v/>
      </c>
    </row>
    <row r="101">
      <c r="A101" s="43" t="inlineStr">
        <is>
          <t>Global Beer</t>
        </is>
      </c>
      <c r="B101" s="43" t="inlineStr">
        <is>
          <t>Piraat</t>
        </is>
      </c>
      <c r="C101" s="33">
        <f>SUMIFS('Data - Control'!$C$5:$C$296,'Data - Control'!$A$5:$A$296,$A101,'Data - Control'!$B$5:$B$296,$B101)</f>
        <v/>
      </c>
      <c r="D101" s="33">
        <f>SUMIFS('Data - Control'!$D$5:$D$296,'Data - Control'!$A$5:$A$296,$A101,'Data - Control'!$B$5:$B$296,$B101)</f>
        <v/>
      </c>
      <c r="E101" s="36">
        <f>SUMIFS('Data - Control'!$E$5:$E$296,'Data - Control'!$A$5:$A$296,$A101,'Data - Control'!$B$5:$B$296,$B101)</f>
        <v/>
      </c>
      <c r="F101" s="36">
        <f>SUMIFS('Data - Control'!$F$5:$F$296,'Data - Control'!$A$5:$A$296,$A101,'Data - Control'!$B$5:$B$296,$B101)</f>
        <v/>
      </c>
      <c r="G101" s="36">
        <f>SUMIFS('Data - Control'!$G$5:$G$296,'Data - Control'!$A$5:$A$296,$A101,'Data - Control'!$B$5:$B$296,$B101)</f>
        <v/>
      </c>
      <c r="H101" s="36">
        <f>SUMIFS('Data - Control'!$H$5:$H$296,'Data - Control'!$A$5:$A$296,$A101,'Data - Control'!$B$5:$B$296,$B101)</f>
        <v/>
      </c>
      <c r="I101" s="57">
        <f>IFERROR($G101/$C101,0)</f>
        <v/>
      </c>
      <c r="J101" s="57">
        <f>IFERROR($H101/$D101,0)</f>
        <v/>
      </c>
      <c r="K101" s="36">
        <f>$D101*$I101</f>
        <v/>
      </c>
      <c r="L101" s="36">
        <f>$D101*($J101-$I101)</f>
        <v/>
      </c>
      <c r="M101" s="45">
        <f>IFERROR($D101/$C101-1,"")</f>
        <v/>
      </c>
    </row>
    <row r="102">
      <c r="A102" s="43" t="inlineStr">
        <is>
          <t>Global Beer</t>
        </is>
      </c>
      <c r="B102" s="43" t="inlineStr">
        <is>
          <t>Stiegl</t>
        </is>
      </c>
      <c r="C102" s="33">
        <f>SUMIFS('Data - Control'!$C$5:$C$296,'Data - Control'!$A$5:$A$296,$A102,'Data - Control'!$B$5:$B$296,$B102)</f>
        <v/>
      </c>
      <c r="D102" s="33">
        <f>SUMIFS('Data - Control'!$D$5:$D$296,'Data - Control'!$A$5:$A$296,$A102,'Data - Control'!$B$5:$B$296,$B102)</f>
        <v/>
      </c>
      <c r="E102" s="36">
        <f>SUMIFS('Data - Control'!$E$5:$E$296,'Data - Control'!$A$5:$A$296,$A102,'Data - Control'!$B$5:$B$296,$B102)</f>
        <v/>
      </c>
      <c r="F102" s="36">
        <f>SUMIFS('Data - Control'!$F$5:$F$296,'Data - Control'!$A$5:$A$296,$A102,'Data - Control'!$B$5:$B$296,$B102)</f>
        <v/>
      </c>
      <c r="G102" s="36">
        <f>SUMIFS('Data - Control'!$G$5:$G$296,'Data - Control'!$A$5:$A$296,$A102,'Data - Control'!$B$5:$B$296,$B102)</f>
        <v/>
      </c>
      <c r="H102" s="36">
        <f>SUMIFS('Data - Control'!$H$5:$H$296,'Data - Control'!$A$5:$A$296,$A102,'Data - Control'!$B$5:$B$296,$B102)</f>
        <v/>
      </c>
      <c r="I102" s="57">
        <f>IFERROR($G102/$C102,0)</f>
        <v/>
      </c>
      <c r="J102" s="57">
        <f>IFERROR($H102/$D102,0)</f>
        <v/>
      </c>
      <c r="K102" s="36">
        <f>$D102*$I102</f>
        <v/>
      </c>
      <c r="L102" s="36">
        <f>$D102*($J102-$I102)</f>
        <v/>
      </c>
      <c r="M102" s="45">
        <f>IFERROR($D102/$C102-1,"")</f>
        <v/>
      </c>
    </row>
    <row r="103">
      <c r="A103" s="43" t="inlineStr">
        <is>
          <t>Global Beer</t>
        </is>
      </c>
      <c r="B103" s="43" t="inlineStr">
        <is>
          <t>Sullivan's</t>
        </is>
      </c>
      <c r="C103" s="33">
        <f>SUMIFS('Data - Control'!$C$5:$C$296,'Data - Control'!$A$5:$A$296,$A103,'Data - Control'!$B$5:$B$296,$B103)</f>
        <v/>
      </c>
      <c r="D103" s="33">
        <f>SUMIFS('Data - Control'!$D$5:$D$296,'Data - Control'!$A$5:$A$296,$A103,'Data - Control'!$B$5:$B$296,$B103)</f>
        <v/>
      </c>
      <c r="E103" s="36">
        <f>SUMIFS('Data - Control'!$E$5:$E$296,'Data - Control'!$A$5:$A$296,$A103,'Data - Control'!$B$5:$B$296,$B103)</f>
        <v/>
      </c>
      <c r="F103" s="36">
        <f>SUMIFS('Data - Control'!$F$5:$F$296,'Data - Control'!$A$5:$A$296,$A103,'Data - Control'!$B$5:$B$296,$B103)</f>
        <v/>
      </c>
      <c r="G103" s="36">
        <f>SUMIFS('Data - Control'!$G$5:$G$296,'Data - Control'!$A$5:$A$296,$A103,'Data - Control'!$B$5:$B$296,$B103)</f>
        <v/>
      </c>
      <c r="H103" s="36">
        <f>SUMIFS('Data - Control'!$H$5:$H$296,'Data - Control'!$A$5:$A$296,$A103,'Data - Control'!$B$5:$B$296,$B103)</f>
        <v/>
      </c>
      <c r="I103" s="57">
        <f>IFERROR($G103/$C103,0)</f>
        <v/>
      </c>
      <c r="J103" s="57">
        <f>IFERROR($H103/$D103,0)</f>
        <v/>
      </c>
      <c r="K103" s="36">
        <f>$D103*$I103</f>
        <v/>
      </c>
      <c r="L103" s="36">
        <f>$D103*($J103-$I103)</f>
        <v/>
      </c>
      <c r="M103" s="45">
        <f>IFERROR($D103/$C103-1,"")</f>
        <v/>
      </c>
    </row>
    <row r="104">
      <c r="A104" s="43" t="inlineStr">
        <is>
          <t>Global Beer</t>
        </is>
      </c>
      <c r="B104" s="43" t="inlineStr">
        <is>
          <t>Van Steenberge</t>
        </is>
      </c>
      <c r="C104" s="33">
        <f>SUMIFS('Data - Control'!$C$5:$C$296,'Data - Control'!$A$5:$A$296,$A104,'Data - Control'!$B$5:$B$296,$B104)</f>
        <v/>
      </c>
      <c r="D104" s="33">
        <f>SUMIFS('Data - Control'!$D$5:$D$296,'Data - Control'!$A$5:$A$296,$A104,'Data - Control'!$B$5:$B$296,$B104)</f>
        <v/>
      </c>
      <c r="E104" s="36">
        <f>SUMIFS('Data - Control'!$E$5:$E$296,'Data - Control'!$A$5:$A$296,$A104,'Data - Control'!$B$5:$B$296,$B104)</f>
        <v/>
      </c>
      <c r="F104" s="36">
        <f>SUMIFS('Data - Control'!$F$5:$F$296,'Data - Control'!$A$5:$A$296,$A104,'Data - Control'!$B$5:$B$296,$B104)</f>
        <v/>
      </c>
      <c r="G104" s="36">
        <f>SUMIFS('Data - Control'!$G$5:$G$296,'Data - Control'!$A$5:$A$296,$A104,'Data - Control'!$B$5:$B$296,$B104)</f>
        <v/>
      </c>
      <c r="H104" s="36">
        <f>SUMIFS('Data - Control'!$H$5:$H$296,'Data - Control'!$A$5:$A$296,$A104,'Data - Control'!$B$5:$B$296,$B104)</f>
        <v/>
      </c>
      <c r="I104" s="57">
        <f>IFERROR($G104/$C104,0)</f>
        <v/>
      </c>
      <c r="J104" s="57">
        <f>IFERROR($H104/$D104,0)</f>
        <v/>
      </c>
      <c r="K104" s="36">
        <f>$D104*$I104</f>
        <v/>
      </c>
      <c r="L104" s="36">
        <f>$D104*($J104-$I104)</f>
        <v/>
      </c>
      <c r="M104" s="45">
        <f>IFERROR($D104/$C104-1,"")</f>
        <v/>
      </c>
    </row>
    <row r="105">
      <c r="A105" s="43" t="inlineStr">
        <is>
          <t>Global Beer</t>
        </is>
      </c>
      <c r="B105" s="43" t="inlineStr">
        <is>
          <t>Yard House</t>
        </is>
      </c>
      <c r="C105" s="33">
        <f>SUMIFS('Data - Control'!$C$5:$C$296,'Data - Control'!$A$5:$A$296,$A105,'Data - Control'!$B$5:$B$296,$B105)</f>
        <v/>
      </c>
      <c r="D105" s="33">
        <f>SUMIFS('Data - Control'!$D$5:$D$296,'Data - Control'!$A$5:$A$296,$A105,'Data - Control'!$B$5:$B$296,$B105)</f>
        <v/>
      </c>
      <c r="E105" s="36">
        <f>SUMIFS('Data - Control'!$E$5:$E$296,'Data - Control'!$A$5:$A$296,$A105,'Data - Control'!$B$5:$B$296,$B105)</f>
        <v/>
      </c>
      <c r="F105" s="36">
        <f>SUMIFS('Data - Control'!$F$5:$F$296,'Data - Control'!$A$5:$A$296,$A105,'Data - Control'!$B$5:$B$296,$B105)</f>
        <v/>
      </c>
      <c r="G105" s="36">
        <f>SUMIFS('Data - Control'!$G$5:$G$296,'Data - Control'!$A$5:$A$296,$A105,'Data - Control'!$B$5:$B$296,$B105)</f>
        <v/>
      </c>
      <c r="H105" s="36">
        <f>SUMIFS('Data - Control'!$H$5:$H$296,'Data - Control'!$A$5:$A$296,$A105,'Data - Control'!$B$5:$B$296,$B105)</f>
        <v/>
      </c>
      <c r="I105" s="57">
        <f>IFERROR($G105/$C105,0)</f>
        <v/>
      </c>
      <c r="J105" s="57">
        <f>IFERROR($H105/$D105,0)</f>
        <v/>
      </c>
      <c r="K105" s="36">
        <f>$D105*$I105</f>
        <v/>
      </c>
      <c r="L105" s="36">
        <f>$D105*($J105-$I105)</f>
        <v/>
      </c>
      <c r="M105" s="45">
        <f>IFERROR($D105/$C105-1,"")</f>
        <v/>
      </c>
    </row>
    <row r="106">
      <c r="A106" s="43" t="inlineStr">
        <is>
          <t>Global Village Imp.</t>
        </is>
      </c>
      <c r="B106" s="43" t="inlineStr">
        <is>
          <t>Augustiner</t>
        </is>
      </c>
      <c r="C106" s="33">
        <f>SUMIFS('Data - Control'!$C$5:$C$296,'Data - Control'!$A$5:$A$296,$A106,'Data - Control'!$B$5:$B$296,$B106)</f>
        <v/>
      </c>
      <c r="D106" s="33">
        <f>SUMIFS('Data - Control'!$D$5:$D$296,'Data - Control'!$A$5:$A$296,$A106,'Data - Control'!$B$5:$B$296,$B106)</f>
        <v/>
      </c>
      <c r="E106" s="36">
        <f>SUMIFS('Data - Control'!$E$5:$E$296,'Data - Control'!$A$5:$A$296,$A106,'Data - Control'!$B$5:$B$296,$B106)</f>
        <v/>
      </c>
      <c r="F106" s="36">
        <f>SUMIFS('Data - Control'!$F$5:$F$296,'Data - Control'!$A$5:$A$296,$A106,'Data - Control'!$B$5:$B$296,$B106)</f>
        <v/>
      </c>
      <c r="G106" s="36">
        <f>SUMIFS('Data - Control'!$G$5:$G$296,'Data - Control'!$A$5:$A$296,$A106,'Data - Control'!$B$5:$B$296,$B106)</f>
        <v/>
      </c>
      <c r="H106" s="36">
        <f>SUMIFS('Data - Control'!$H$5:$H$296,'Data - Control'!$A$5:$A$296,$A106,'Data - Control'!$B$5:$B$296,$B106)</f>
        <v/>
      </c>
      <c r="I106" s="57">
        <f>IFERROR($G106/$C106,0)</f>
        <v/>
      </c>
      <c r="J106" s="57">
        <f>IFERROR($H106/$D106,0)</f>
        <v/>
      </c>
      <c r="K106" s="36">
        <f>$D106*$I106</f>
        <v/>
      </c>
      <c r="L106" s="36">
        <f>$D106*($J106-$I106)</f>
        <v/>
      </c>
      <c r="M106" s="45">
        <f>IFERROR($D106/$C106-1,"")</f>
        <v/>
      </c>
    </row>
    <row r="107">
      <c r="A107" s="43" t="inlineStr">
        <is>
          <t>Great Lakes</t>
        </is>
      </c>
      <c r="B107" s="43" t="inlineStr">
        <is>
          <t>Float Shoppe</t>
        </is>
      </c>
      <c r="C107" s="33">
        <f>SUMIFS('Data - Control'!$C$5:$C$296,'Data - Control'!$A$5:$A$296,$A107,'Data - Control'!$B$5:$B$296,$B107)</f>
        <v/>
      </c>
      <c r="D107" s="33">
        <f>SUMIFS('Data - Control'!$D$5:$D$296,'Data - Control'!$A$5:$A$296,$A107,'Data - Control'!$B$5:$B$296,$B107)</f>
        <v/>
      </c>
      <c r="E107" s="36">
        <f>SUMIFS('Data - Control'!$E$5:$E$296,'Data - Control'!$A$5:$A$296,$A107,'Data - Control'!$B$5:$B$296,$B107)</f>
        <v/>
      </c>
      <c r="F107" s="36">
        <f>SUMIFS('Data - Control'!$F$5:$F$296,'Data - Control'!$A$5:$A$296,$A107,'Data - Control'!$B$5:$B$296,$B107)</f>
        <v/>
      </c>
      <c r="G107" s="36">
        <f>SUMIFS('Data - Control'!$G$5:$G$296,'Data - Control'!$A$5:$A$296,$A107,'Data - Control'!$B$5:$B$296,$B107)</f>
        <v/>
      </c>
      <c r="H107" s="36">
        <f>SUMIFS('Data - Control'!$H$5:$H$296,'Data - Control'!$A$5:$A$296,$A107,'Data - Control'!$B$5:$B$296,$B107)</f>
        <v/>
      </c>
      <c r="I107" s="57">
        <f>IFERROR($G107/$C107,0)</f>
        <v/>
      </c>
      <c r="J107" s="57">
        <f>IFERROR($H107/$D107,0)</f>
        <v/>
      </c>
      <c r="K107" s="36">
        <f>$D107*$I107</f>
        <v/>
      </c>
      <c r="L107" s="36">
        <f>$D107*($J107-$I107)</f>
        <v/>
      </c>
      <c r="M107" s="45">
        <f>IFERROR($D107/$C107-1,"")</f>
        <v/>
      </c>
    </row>
    <row r="108">
      <c r="A108" s="43" t="inlineStr">
        <is>
          <t>Great Lakes</t>
        </is>
      </c>
      <c r="B108" s="43" t="inlineStr">
        <is>
          <t>Great Lakes</t>
        </is>
      </c>
      <c r="C108" s="33">
        <f>SUMIFS('Data - Control'!$C$5:$C$296,'Data - Control'!$A$5:$A$296,$A108,'Data - Control'!$B$5:$B$296,$B108)</f>
        <v/>
      </c>
      <c r="D108" s="33">
        <f>SUMIFS('Data - Control'!$D$5:$D$296,'Data - Control'!$A$5:$A$296,$A108,'Data - Control'!$B$5:$B$296,$B108)</f>
        <v/>
      </c>
      <c r="E108" s="36">
        <f>SUMIFS('Data - Control'!$E$5:$E$296,'Data - Control'!$A$5:$A$296,$A108,'Data - Control'!$B$5:$B$296,$B108)</f>
        <v/>
      </c>
      <c r="F108" s="36">
        <f>SUMIFS('Data - Control'!$F$5:$F$296,'Data - Control'!$A$5:$A$296,$A108,'Data - Control'!$B$5:$B$296,$B108)</f>
        <v/>
      </c>
      <c r="G108" s="36">
        <f>SUMIFS('Data - Control'!$G$5:$G$296,'Data - Control'!$A$5:$A$296,$A108,'Data - Control'!$B$5:$B$296,$B108)</f>
        <v/>
      </c>
      <c r="H108" s="36">
        <f>SUMIFS('Data - Control'!$H$5:$H$296,'Data - Control'!$A$5:$A$296,$A108,'Data - Control'!$B$5:$B$296,$B108)</f>
        <v/>
      </c>
      <c r="I108" s="57">
        <f>IFERROR($G108/$C108,0)</f>
        <v/>
      </c>
      <c r="J108" s="57">
        <f>IFERROR($H108/$D108,0)</f>
        <v/>
      </c>
      <c r="K108" s="36">
        <f>$D108*$I108</f>
        <v/>
      </c>
      <c r="L108" s="36">
        <f>$D108*($J108-$I108)</f>
        <v/>
      </c>
      <c r="M108" s="45">
        <f>IFERROR($D108/$C108-1,"")</f>
        <v/>
      </c>
    </row>
    <row r="109">
      <c r="A109" s="43" t="inlineStr">
        <is>
          <t>HOP WTR</t>
        </is>
      </c>
      <c r="B109" s="43" t="inlineStr">
        <is>
          <t>HOP WTR</t>
        </is>
      </c>
      <c r="C109" s="33">
        <f>SUMIFS('Data - Control'!$C$5:$C$296,'Data - Control'!$A$5:$A$296,$A109,'Data - Control'!$B$5:$B$296,$B109)</f>
        <v/>
      </c>
      <c r="D109" s="33">
        <f>SUMIFS('Data - Control'!$D$5:$D$296,'Data - Control'!$A$5:$A$296,$A109,'Data - Control'!$B$5:$B$296,$B109)</f>
        <v/>
      </c>
      <c r="E109" s="36">
        <f>SUMIFS('Data - Control'!$E$5:$E$296,'Data - Control'!$A$5:$A$296,$A109,'Data - Control'!$B$5:$B$296,$B109)</f>
        <v/>
      </c>
      <c r="F109" s="36">
        <f>SUMIFS('Data - Control'!$F$5:$F$296,'Data - Control'!$A$5:$A$296,$A109,'Data - Control'!$B$5:$B$296,$B109)</f>
        <v/>
      </c>
      <c r="G109" s="36">
        <f>SUMIFS('Data - Control'!$G$5:$G$296,'Data - Control'!$A$5:$A$296,$A109,'Data - Control'!$B$5:$B$296,$B109)</f>
        <v/>
      </c>
      <c r="H109" s="36">
        <f>SUMIFS('Data - Control'!$H$5:$H$296,'Data - Control'!$A$5:$A$296,$A109,'Data - Control'!$B$5:$B$296,$B109)</f>
        <v/>
      </c>
      <c r="I109" s="57">
        <f>IFERROR($G109/$C109,0)</f>
        <v/>
      </c>
      <c r="J109" s="57">
        <f>IFERROR($H109/$D109,0)</f>
        <v/>
      </c>
      <c r="K109" s="36">
        <f>$D109*$I109</f>
        <v/>
      </c>
      <c r="L109" s="36">
        <f>$D109*($J109-$I109)</f>
        <v/>
      </c>
      <c r="M109" s="45">
        <f>IFERROR($D109/$C109-1,"")</f>
        <v/>
      </c>
    </row>
    <row r="110">
      <c r="A110" s="43" t="inlineStr">
        <is>
          <t>Harpoon Brewery</t>
        </is>
      </c>
      <c r="B110" s="43" t="inlineStr">
        <is>
          <t>Long Trail</t>
        </is>
      </c>
      <c r="C110" s="33">
        <f>SUMIFS('Data - Control'!$C$5:$C$296,'Data - Control'!$A$5:$A$296,$A110,'Data - Control'!$B$5:$B$296,$B110)</f>
        <v/>
      </c>
      <c r="D110" s="33">
        <f>SUMIFS('Data - Control'!$D$5:$D$296,'Data - Control'!$A$5:$A$296,$A110,'Data - Control'!$B$5:$B$296,$B110)</f>
        <v/>
      </c>
      <c r="E110" s="36">
        <f>SUMIFS('Data - Control'!$E$5:$E$296,'Data - Control'!$A$5:$A$296,$A110,'Data - Control'!$B$5:$B$296,$B110)</f>
        <v/>
      </c>
      <c r="F110" s="36">
        <f>SUMIFS('Data - Control'!$F$5:$F$296,'Data - Control'!$A$5:$A$296,$A110,'Data - Control'!$B$5:$B$296,$B110)</f>
        <v/>
      </c>
      <c r="G110" s="36">
        <f>SUMIFS('Data - Control'!$G$5:$G$296,'Data - Control'!$A$5:$A$296,$A110,'Data - Control'!$B$5:$B$296,$B110)</f>
        <v/>
      </c>
      <c r="H110" s="36">
        <f>SUMIFS('Data - Control'!$H$5:$H$296,'Data - Control'!$A$5:$A$296,$A110,'Data - Control'!$B$5:$B$296,$B110)</f>
        <v/>
      </c>
      <c r="I110" s="57">
        <f>IFERROR($G110/$C110,0)</f>
        <v/>
      </c>
      <c r="J110" s="57">
        <f>IFERROR($H110/$D110,0)</f>
        <v/>
      </c>
      <c r="K110" s="36">
        <f>$D110*$I110</f>
        <v/>
      </c>
      <c r="L110" s="36">
        <f>$D110*($J110-$I110)</f>
        <v/>
      </c>
      <c r="M110" s="45">
        <f>IFERROR($D110/$C110-1,"")</f>
        <v/>
      </c>
    </row>
    <row r="111">
      <c r="A111" s="43" t="inlineStr">
        <is>
          <t>Harpoon Brewery</t>
        </is>
      </c>
      <c r="B111" s="43" t="inlineStr">
        <is>
          <t>Shed</t>
        </is>
      </c>
      <c r="C111" s="33">
        <f>SUMIFS('Data - Control'!$C$5:$C$296,'Data - Control'!$A$5:$A$296,$A111,'Data - Control'!$B$5:$B$296,$B111)</f>
        <v/>
      </c>
      <c r="D111" s="33">
        <f>SUMIFS('Data - Control'!$D$5:$D$296,'Data - Control'!$A$5:$A$296,$A111,'Data - Control'!$B$5:$B$296,$B111)</f>
        <v/>
      </c>
      <c r="E111" s="36">
        <f>SUMIFS('Data - Control'!$E$5:$E$296,'Data - Control'!$A$5:$A$296,$A111,'Data - Control'!$B$5:$B$296,$B111)</f>
        <v/>
      </c>
      <c r="F111" s="36">
        <f>SUMIFS('Data - Control'!$F$5:$F$296,'Data - Control'!$A$5:$A$296,$A111,'Data - Control'!$B$5:$B$296,$B111)</f>
        <v/>
      </c>
      <c r="G111" s="36">
        <f>SUMIFS('Data - Control'!$G$5:$G$296,'Data - Control'!$A$5:$A$296,$A111,'Data - Control'!$B$5:$B$296,$B111)</f>
        <v/>
      </c>
      <c r="H111" s="36">
        <f>SUMIFS('Data - Control'!$H$5:$H$296,'Data - Control'!$A$5:$A$296,$A111,'Data - Control'!$B$5:$B$296,$B111)</f>
        <v/>
      </c>
      <c r="I111" s="57">
        <f>IFERROR($G111/$C111,0)</f>
        <v/>
      </c>
      <c r="J111" s="57">
        <f>IFERROR($H111/$D111,0)</f>
        <v/>
      </c>
      <c r="K111" s="36">
        <f>$D111*$I111</f>
        <v/>
      </c>
      <c r="L111" s="36">
        <f>$D111*($J111-$I111)</f>
        <v/>
      </c>
      <c r="M111" s="45">
        <f>IFERROR($D111/$C111-1,"")</f>
        <v/>
      </c>
    </row>
    <row r="112">
      <c r="A112" s="43" t="inlineStr">
        <is>
          <t>Heineken USA</t>
        </is>
      </c>
      <c r="B112" s="43" t="inlineStr">
        <is>
          <t>Amstel</t>
        </is>
      </c>
      <c r="C112" s="33">
        <f>SUMIFS('Data - Control'!$C$5:$C$296,'Data - Control'!$A$5:$A$296,$A112,'Data - Control'!$B$5:$B$296,$B112)</f>
        <v/>
      </c>
      <c r="D112" s="33">
        <f>SUMIFS('Data - Control'!$D$5:$D$296,'Data - Control'!$A$5:$A$296,$A112,'Data - Control'!$B$5:$B$296,$B112)</f>
        <v/>
      </c>
      <c r="E112" s="36">
        <f>SUMIFS('Data - Control'!$E$5:$E$296,'Data - Control'!$A$5:$A$296,$A112,'Data - Control'!$B$5:$B$296,$B112)</f>
        <v/>
      </c>
      <c r="F112" s="36">
        <f>SUMIFS('Data - Control'!$F$5:$F$296,'Data - Control'!$A$5:$A$296,$A112,'Data - Control'!$B$5:$B$296,$B112)</f>
        <v/>
      </c>
      <c r="G112" s="36">
        <f>SUMIFS('Data - Control'!$G$5:$G$296,'Data - Control'!$A$5:$A$296,$A112,'Data - Control'!$B$5:$B$296,$B112)</f>
        <v/>
      </c>
      <c r="H112" s="36">
        <f>SUMIFS('Data - Control'!$H$5:$H$296,'Data - Control'!$A$5:$A$296,$A112,'Data - Control'!$B$5:$B$296,$B112)</f>
        <v/>
      </c>
      <c r="I112" s="57">
        <f>IFERROR($G112/$C112,0)</f>
        <v/>
      </c>
      <c r="J112" s="57">
        <f>IFERROR($H112/$D112,0)</f>
        <v/>
      </c>
      <c r="K112" s="36">
        <f>$D112*$I112</f>
        <v/>
      </c>
      <c r="L112" s="36">
        <f>$D112*($J112-$I112)</f>
        <v/>
      </c>
      <c r="M112" s="45">
        <f>IFERROR($D112/$C112-1,"")</f>
        <v/>
      </c>
    </row>
    <row r="113">
      <c r="A113" s="43" t="inlineStr">
        <is>
          <t>Heineken USA</t>
        </is>
      </c>
      <c r="B113" s="43" t="inlineStr">
        <is>
          <t>Buckler</t>
        </is>
      </c>
      <c r="C113" s="33">
        <f>SUMIFS('Data - Control'!$C$5:$C$296,'Data - Control'!$A$5:$A$296,$A113,'Data - Control'!$B$5:$B$296,$B113)</f>
        <v/>
      </c>
      <c r="D113" s="33">
        <f>SUMIFS('Data - Control'!$D$5:$D$296,'Data - Control'!$A$5:$A$296,$A113,'Data - Control'!$B$5:$B$296,$B113)</f>
        <v/>
      </c>
      <c r="E113" s="36">
        <f>SUMIFS('Data - Control'!$E$5:$E$296,'Data - Control'!$A$5:$A$296,$A113,'Data - Control'!$B$5:$B$296,$B113)</f>
        <v/>
      </c>
      <c r="F113" s="36">
        <f>SUMIFS('Data - Control'!$F$5:$F$296,'Data - Control'!$A$5:$A$296,$A113,'Data - Control'!$B$5:$B$296,$B113)</f>
        <v/>
      </c>
      <c r="G113" s="36">
        <f>SUMIFS('Data - Control'!$G$5:$G$296,'Data - Control'!$A$5:$A$296,$A113,'Data - Control'!$B$5:$B$296,$B113)</f>
        <v/>
      </c>
      <c r="H113" s="36">
        <f>SUMIFS('Data - Control'!$H$5:$H$296,'Data - Control'!$A$5:$A$296,$A113,'Data - Control'!$B$5:$B$296,$B113)</f>
        <v/>
      </c>
      <c r="I113" s="57">
        <f>IFERROR($G113/$C113,0)</f>
        <v/>
      </c>
      <c r="J113" s="57">
        <f>IFERROR($H113/$D113,0)</f>
        <v/>
      </c>
      <c r="K113" s="36">
        <f>$D113*$I113</f>
        <v/>
      </c>
      <c r="L113" s="36">
        <f>$D113*($J113-$I113)</f>
        <v/>
      </c>
      <c r="M113" s="45">
        <f>IFERROR($D113/$C113-1,"")</f>
        <v/>
      </c>
    </row>
    <row r="114">
      <c r="A114" s="43" t="inlineStr">
        <is>
          <t>Heineken USA</t>
        </is>
      </c>
      <c r="B114" s="43" t="inlineStr">
        <is>
          <t>Carta Blanca</t>
        </is>
      </c>
      <c r="C114" s="33">
        <f>SUMIFS('Data - Control'!$C$5:$C$296,'Data - Control'!$A$5:$A$296,$A114,'Data - Control'!$B$5:$B$296,$B114)</f>
        <v/>
      </c>
      <c r="D114" s="33">
        <f>SUMIFS('Data - Control'!$D$5:$D$296,'Data - Control'!$A$5:$A$296,$A114,'Data - Control'!$B$5:$B$296,$B114)</f>
        <v/>
      </c>
      <c r="E114" s="36">
        <f>SUMIFS('Data - Control'!$E$5:$E$296,'Data - Control'!$A$5:$A$296,$A114,'Data - Control'!$B$5:$B$296,$B114)</f>
        <v/>
      </c>
      <c r="F114" s="36">
        <f>SUMIFS('Data - Control'!$F$5:$F$296,'Data - Control'!$A$5:$A$296,$A114,'Data - Control'!$B$5:$B$296,$B114)</f>
        <v/>
      </c>
      <c r="G114" s="36">
        <f>SUMIFS('Data - Control'!$G$5:$G$296,'Data - Control'!$A$5:$A$296,$A114,'Data - Control'!$B$5:$B$296,$B114)</f>
        <v/>
      </c>
      <c r="H114" s="36">
        <f>SUMIFS('Data - Control'!$H$5:$H$296,'Data - Control'!$A$5:$A$296,$A114,'Data - Control'!$B$5:$B$296,$B114)</f>
        <v/>
      </c>
      <c r="I114" s="57">
        <f>IFERROR($G114/$C114,0)</f>
        <v/>
      </c>
      <c r="J114" s="57">
        <f>IFERROR($H114/$D114,0)</f>
        <v/>
      </c>
      <c r="K114" s="36">
        <f>$D114*$I114</f>
        <v/>
      </c>
      <c r="L114" s="36">
        <f>$D114*($J114-$I114)</f>
        <v/>
      </c>
      <c r="M114" s="45">
        <f>IFERROR($D114/$C114-1,"")</f>
        <v/>
      </c>
    </row>
    <row r="115">
      <c r="A115" s="43" t="inlineStr">
        <is>
          <t>Heineken USA</t>
        </is>
      </c>
      <c r="B115" s="43" t="inlineStr">
        <is>
          <t>Dos Equis</t>
        </is>
      </c>
      <c r="C115" s="33">
        <f>SUMIFS('Data - Control'!$C$5:$C$296,'Data - Control'!$A$5:$A$296,$A115,'Data - Control'!$B$5:$B$296,$B115)</f>
        <v/>
      </c>
      <c r="D115" s="33">
        <f>SUMIFS('Data - Control'!$D$5:$D$296,'Data - Control'!$A$5:$A$296,$A115,'Data - Control'!$B$5:$B$296,$B115)</f>
        <v/>
      </c>
      <c r="E115" s="36">
        <f>SUMIFS('Data - Control'!$E$5:$E$296,'Data - Control'!$A$5:$A$296,$A115,'Data - Control'!$B$5:$B$296,$B115)</f>
        <v/>
      </c>
      <c r="F115" s="36">
        <f>SUMIFS('Data - Control'!$F$5:$F$296,'Data - Control'!$A$5:$A$296,$A115,'Data - Control'!$B$5:$B$296,$B115)</f>
        <v/>
      </c>
      <c r="G115" s="36">
        <f>SUMIFS('Data - Control'!$G$5:$G$296,'Data - Control'!$A$5:$A$296,$A115,'Data - Control'!$B$5:$B$296,$B115)</f>
        <v/>
      </c>
      <c r="H115" s="36">
        <f>SUMIFS('Data - Control'!$H$5:$H$296,'Data - Control'!$A$5:$A$296,$A115,'Data - Control'!$B$5:$B$296,$B115)</f>
        <v/>
      </c>
      <c r="I115" s="57">
        <f>IFERROR($G115/$C115,0)</f>
        <v/>
      </c>
      <c r="J115" s="57">
        <f>IFERROR($H115/$D115,0)</f>
        <v/>
      </c>
      <c r="K115" s="36">
        <f>$D115*$I115</f>
        <v/>
      </c>
      <c r="L115" s="36">
        <f>$D115*($J115-$I115)</f>
        <v/>
      </c>
      <c r="M115" s="45">
        <f>IFERROR($D115/$C115-1,"")</f>
        <v/>
      </c>
    </row>
    <row r="116">
      <c r="A116" s="43" t="inlineStr">
        <is>
          <t>Heineken USA</t>
        </is>
      </c>
      <c r="B116" s="43" t="inlineStr">
        <is>
          <t>Heineken 0.0 Ultimate</t>
        </is>
      </c>
      <c r="C116" s="33">
        <f>SUMIFS('Data - Control'!$C$5:$C$296,'Data - Control'!$A$5:$A$296,$A116,'Data - Control'!$B$5:$B$296,$B116)</f>
        <v/>
      </c>
      <c r="D116" s="33">
        <f>SUMIFS('Data - Control'!$D$5:$D$296,'Data - Control'!$A$5:$A$296,$A116,'Data - Control'!$B$5:$B$296,$B116)</f>
        <v/>
      </c>
      <c r="E116" s="36">
        <f>SUMIFS('Data - Control'!$E$5:$E$296,'Data - Control'!$A$5:$A$296,$A116,'Data - Control'!$B$5:$B$296,$B116)</f>
        <v/>
      </c>
      <c r="F116" s="36">
        <f>SUMIFS('Data - Control'!$F$5:$F$296,'Data - Control'!$A$5:$A$296,$A116,'Data - Control'!$B$5:$B$296,$B116)</f>
        <v/>
      </c>
      <c r="G116" s="36">
        <f>SUMIFS('Data - Control'!$G$5:$G$296,'Data - Control'!$A$5:$A$296,$A116,'Data - Control'!$B$5:$B$296,$B116)</f>
        <v/>
      </c>
      <c r="H116" s="36">
        <f>SUMIFS('Data - Control'!$H$5:$H$296,'Data - Control'!$A$5:$A$296,$A116,'Data - Control'!$B$5:$B$296,$B116)</f>
        <v/>
      </c>
      <c r="I116" s="57">
        <f>IFERROR($G116/$C116,0)</f>
        <v/>
      </c>
      <c r="J116" s="57">
        <f>IFERROR($H116/$D116,0)</f>
        <v/>
      </c>
      <c r="K116" s="36">
        <f>$D116*$I116</f>
        <v/>
      </c>
      <c r="L116" s="36">
        <f>$D116*($J116-$I116)</f>
        <v/>
      </c>
      <c r="M116" s="45">
        <f>IFERROR($D116/$C116-1,"")</f>
        <v/>
      </c>
    </row>
    <row r="117">
      <c r="A117" s="43" t="inlineStr">
        <is>
          <t>Heineken USA</t>
        </is>
      </c>
      <c r="B117" s="43" t="inlineStr">
        <is>
          <t>Heineken Silver</t>
        </is>
      </c>
      <c r="C117" s="33">
        <f>SUMIFS('Data - Control'!$C$5:$C$296,'Data - Control'!$A$5:$A$296,$A117,'Data - Control'!$B$5:$B$296,$B117)</f>
        <v/>
      </c>
      <c r="D117" s="33">
        <f>SUMIFS('Data - Control'!$D$5:$D$296,'Data - Control'!$A$5:$A$296,$A117,'Data - Control'!$B$5:$B$296,$B117)</f>
        <v/>
      </c>
      <c r="E117" s="36">
        <f>SUMIFS('Data - Control'!$E$5:$E$296,'Data - Control'!$A$5:$A$296,$A117,'Data - Control'!$B$5:$B$296,$B117)</f>
        <v/>
      </c>
      <c r="F117" s="36">
        <f>SUMIFS('Data - Control'!$F$5:$F$296,'Data - Control'!$A$5:$A$296,$A117,'Data - Control'!$B$5:$B$296,$B117)</f>
        <v/>
      </c>
      <c r="G117" s="36">
        <f>SUMIFS('Data - Control'!$G$5:$G$296,'Data - Control'!$A$5:$A$296,$A117,'Data - Control'!$B$5:$B$296,$B117)</f>
        <v/>
      </c>
      <c r="H117" s="36">
        <f>SUMIFS('Data - Control'!$H$5:$H$296,'Data - Control'!$A$5:$A$296,$A117,'Data - Control'!$B$5:$B$296,$B117)</f>
        <v/>
      </c>
      <c r="I117" s="57">
        <f>IFERROR($G117/$C117,0)</f>
        <v/>
      </c>
      <c r="J117" s="57">
        <f>IFERROR($H117/$D117,0)</f>
        <v/>
      </c>
      <c r="K117" s="36">
        <f>$D117*$I117</f>
        <v/>
      </c>
      <c r="L117" s="36">
        <f>$D117*($J117-$I117)</f>
        <v/>
      </c>
      <c r="M117" s="45">
        <f>IFERROR($D117/$C117-1,"")</f>
        <v/>
      </c>
    </row>
    <row r="118">
      <c r="A118" s="43" t="inlineStr">
        <is>
          <t>Heineken USA</t>
        </is>
      </c>
      <c r="B118" s="43" t="inlineStr">
        <is>
          <t>Murphy's</t>
        </is>
      </c>
      <c r="C118" s="33">
        <f>SUMIFS('Data - Control'!$C$5:$C$296,'Data - Control'!$A$5:$A$296,$A118,'Data - Control'!$B$5:$B$296,$B118)</f>
        <v/>
      </c>
      <c r="D118" s="33">
        <f>SUMIFS('Data - Control'!$D$5:$D$296,'Data - Control'!$A$5:$A$296,$A118,'Data - Control'!$B$5:$B$296,$B118)</f>
        <v/>
      </c>
      <c r="E118" s="36">
        <f>SUMIFS('Data - Control'!$E$5:$E$296,'Data - Control'!$A$5:$A$296,$A118,'Data - Control'!$B$5:$B$296,$B118)</f>
        <v/>
      </c>
      <c r="F118" s="36">
        <f>SUMIFS('Data - Control'!$F$5:$F$296,'Data - Control'!$A$5:$A$296,$A118,'Data - Control'!$B$5:$B$296,$B118)</f>
        <v/>
      </c>
      <c r="G118" s="36">
        <f>SUMIFS('Data - Control'!$G$5:$G$296,'Data - Control'!$A$5:$A$296,$A118,'Data - Control'!$B$5:$B$296,$B118)</f>
        <v/>
      </c>
      <c r="H118" s="36">
        <f>SUMIFS('Data - Control'!$H$5:$H$296,'Data - Control'!$A$5:$A$296,$A118,'Data - Control'!$B$5:$B$296,$B118)</f>
        <v/>
      </c>
      <c r="I118" s="57">
        <f>IFERROR($G118/$C118,0)</f>
        <v/>
      </c>
      <c r="J118" s="57">
        <f>IFERROR($H118/$D118,0)</f>
        <v/>
      </c>
      <c r="K118" s="36">
        <f>$D118*$I118</f>
        <v/>
      </c>
      <c r="L118" s="36">
        <f>$D118*($J118-$I118)</f>
        <v/>
      </c>
      <c r="M118" s="45">
        <f>IFERROR($D118/$C118-1,"")</f>
        <v/>
      </c>
    </row>
    <row r="119">
      <c r="A119" s="43" t="inlineStr">
        <is>
          <t>Heineken USA</t>
        </is>
      </c>
      <c r="B119" s="43" t="inlineStr">
        <is>
          <t>Newcastle</t>
        </is>
      </c>
      <c r="C119" s="33">
        <f>SUMIFS('Data - Control'!$C$5:$C$296,'Data - Control'!$A$5:$A$296,$A119,'Data - Control'!$B$5:$B$296,$B119)</f>
        <v/>
      </c>
      <c r="D119" s="33">
        <f>SUMIFS('Data - Control'!$D$5:$D$296,'Data - Control'!$A$5:$A$296,$A119,'Data - Control'!$B$5:$B$296,$B119)</f>
        <v/>
      </c>
      <c r="E119" s="36">
        <f>SUMIFS('Data - Control'!$E$5:$E$296,'Data - Control'!$A$5:$A$296,$A119,'Data - Control'!$B$5:$B$296,$B119)</f>
        <v/>
      </c>
      <c r="F119" s="36">
        <f>SUMIFS('Data - Control'!$F$5:$F$296,'Data - Control'!$A$5:$A$296,$A119,'Data - Control'!$B$5:$B$296,$B119)</f>
        <v/>
      </c>
      <c r="G119" s="36">
        <f>SUMIFS('Data - Control'!$G$5:$G$296,'Data - Control'!$A$5:$A$296,$A119,'Data - Control'!$B$5:$B$296,$B119)</f>
        <v/>
      </c>
      <c r="H119" s="36">
        <f>SUMIFS('Data - Control'!$H$5:$H$296,'Data - Control'!$A$5:$A$296,$A119,'Data - Control'!$B$5:$B$296,$B119)</f>
        <v/>
      </c>
      <c r="I119" s="57">
        <f>IFERROR($G119/$C119,0)</f>
        <v/>
      </c>
      <c r="J119" s="57">
        <f>IFERROR($H119/$D119,0)</f>
        <v/>
      </c>
      <c r="K119" s="36">
        <f>$D119*$I119</f>
        <v/>
      </c>
      <c r="L119" s="36">
        <f>$D119*($J119-$I119)</f>
        <v/>
      </c>
      <c r="M119" s="45">
        <f>IFERROR($D119/$C119-1,"")</f>
        <v/>
      </c>
    </row>
    <row r="120">
      <c r="A120" s="43" t="inlineStr">
        <is>
          <t>Heineken USA</t>
        </is>
      </c>
      <c r="B120" s="43" t="inlineStr">
        <is>
          <t>Prestige Lager</t>
        </is>
      </c>
      <c r="C120" s="33">
        <f>SUMIFS('Data - Control'!$C$5:$C$296,'Data - Control'!$A$5:$A$296,$A120,'Data - Control'!$B$5:$B$296,$B120)</f>
        <v/>
      </c>
      <c r="D120" s="33">
        <f>SUMIFS('Data - Control'!$D$5:$D$296,'Data - Control'!$A$5:$A$296,$A120,'Data - Control'!$B$5:$B$296,$B120)</f>
        <v/>
      </c>
      <c r="E120" s="36">
        <f>SUMIFS('Data - Control'!$E$5:$E$296,'Data - Control'!$A$5:$A$296,$A120,'Data - Control'!$B$5:$B$296,$B120)</f>
        <v/>
      </c>
      <c r="F120" s="36">
        <f>SUMIFS('Data - Control'!$F$5:$F$296,'Data - Control'!$A$5:$A$296,$A120,'Data - Control'!$B$5:$B$296,$B120)</f>
        <v/>
      </c>
      <c r="G120" s="36">
        <f>SUMIFS('Data - Control'!$G$5:$G$296,'Data - Control'!$A$5:$A$296,$A120,'Data - Control'!$B$5:$B$296,$B120)</f>
        <v/>
      </c>
      <c r="H120" s="36">
        <f>SUMIFS('Data - Control'!$H$5:$H$296,'Data - Control'!$A$5:$A$296,$A120,'Data - Control'!$B$5:$B$296,$B120)</f>
        <v/>
      </c>
      <c r="I120" s="57">
        <f>IFERROR($G120/$C120,0)</f>
        <v/>
      </c>
      <c r="J120" s="57">
        <f>IFERROR($H120/$D120,0)</f>
        <v/>
      </c>
      <c r="K120" s="36">
        <f>$D120*$I120</f>
        <v/>
      </c>
      <c r="L120" s="36">
        <f>$D120*($J120-$I120)</f>
        <v/>
      </c>
      <c r="M120" s="45">
        <f>IFERROR($D120/$C120-1,"")</f>
        <v/>
      </c>
    </row>
    <row r="121">
      <c r="A121" s="43" t="inlineStr">
        <is>
          <t>Heineken USA</t>
        </is>
      </c>
      <c r="B121" s="43" t="inlineStr">
        <is>
          <t>Red Stripe</t>
        </is>
      </c>
      <c r="C121" s="33">
        <f>SUMIFS('Data - Control'!$C$5:$C$296,'Data - Control'!$A$5:$A$296,$A121,'Data - Control'!$B$5:$B$296,$B121)</f>
        <v/>
      </c>
      <c r="D121" s="33">
        <f>SUMIFS('Data - Control'!$D$5:$D$296,'Data - Control'!$A$5:$A$296,$A121,'Data - Control'!$B$5:$B$296,$B121)</f>
        <v/>
      </c>
      <c r="E121" s="36">
        <f>SUMIFS('Data - Control'!$E$5:$E$296,'Data - Control'!$A$5:$A$296,$A121,'Data - Control'!$B$5:$B$296,$B121)</f>
        <v/>
      </c>
      <c r="F121" s="36">
        <f>SUMIFS('Data - Control'!$F$5:$F$296,'Data - Control'!$A$5:$A$296,$A121,'Data - Control'!$B$5:$B$296,$B121)</f>
        <v/>
      </c>
      <c r="G121" s="36">
        <f>SUMIFS('Data - Control'!$G$5:$G$296,'Data - Control'!$A$5:$A$296,$A121,'Data - Control'!$B$5:$B$296,$B121)</f>
        <v/>
      </c>
      <c r="H121" s="36">
        <f>SUMIFS('Data - Control'!$H$5:$H$296,'Data - Control'!$A$5:$A$296,$A121,'Data - Control'!$B$5:$B$296,$B121)</f>
        <v/>
      </c>
      <c r="I121" s="57">
        <f>IFERROR($G121/$C121,0)</f>
        <v/>
      </c>
      <c r="J121" s="57">
        <f>IFERROR($H121/$D121,0)</f>
        <v/>
      </c>
      <c r="K121" s="36">
        <f>$D121*$I121</f>
        <v/>
      </c>
      <c r="L121" s="36">
        <f>$D121*($J121-$I121)</f>
        <v/>
      </c>
      <c r="M121" s="45">
        <f>IFERROR($D121/$C121-1,"")</f>
        <v/>
      </c>
    </row>
    <row r="122">
      <c r="A122" s="43" t="inlineStr">
        <is>
          <t>Heineken USA</t>
        </is>
      </c>
      <c r="B122" s="43" t="inlineStr">
        <is>
          <t>Strongbow</t>
        </is>
      </c>
      <c r="C122" s="33">
        <f>SUMIFS('Data - Control'!$C$5:$C$296,'Data - Control'!$A$5:$A$296,$A122,'Data - Control'!$B$5:$B$296,$B122)</f>
        <v/>
      </c>
      <c r="D122" s="33">
        <f>SUMIFS('Data - Control'!$D$5:$D$296,'Data - Control'!$A$5:$A$296,$A122,'Data - Control'!$B$5:$B$296,$B122)</f>
        <v/>
      </c>
      <c r="E122" s="36">
        <f>SUMIFS('Data - Control'!$E$5:$E$296,'Data - Control'!$A$5:$A$296,$A122,'Data - Control'!$B$5:$B$296,$B122)</f>
        <v/>
      </c>
      <c r="F122" s="36">
        <f>SUMIFS('Data - Control'!$F$5:$F$296,'Data - Control'!$A$5:$A$296,$A122,'Data - Control'!$B$5:$B$296,$B122)</f>
        <v/>
      </c>
      <c r="G122" s="36">
        <f>SUMIFS('Data - Control'!$G$5:$G$296,'Data - Control'!$A$5:$A$296,$A122,'Data - Control'!$B$5:$B$296,$B122)</f>
        <v/>
      </c>
      <c r="H122" s="36">
        <f>SUMIFS('Data - Control'!$H$5:$H$296,'Data - Control'!$A$5:$A$296,$A122,'Data - Control'!$B$5:$B$296,$B122)</f>
        <v/>
      </c>
      <c r="I122" s="57">
        <f>IFERROR($G122/$C122,0)</f>
        <v/>
      </c>
      <c r="J122" s="57">
        <f>IFERROR($H122/$D122,0)</f>
        <v/>
      </c>
      <c r="K122" s="36">
        <f>$D122*$I122</f>
        <v/>
      </c>
      <c r="L122" s="36">
        <f>$D122*($J122-$I122)</f>
        <v/>
      </c>
      <c r="M122" s="45">
        <f>IFERROR($D122/$C122-1,"")</f>
        <v/>
      </c>
    </row>
    <row r="123">
      <c r="A123" s="43" t="inlineStr">
        <is>
          <t>Heineken USA</t>
        </is>
      </c>
      <c r="B123" s="43" t="inlineStr">
        <is>
          <t>Tecate</t>
        </is>
      </c>
      <c r="C123" s="33">
        <f>SUMIFS('Data - Control'!$C$5:$C$296,'Data - Control'!$A$5:$A$296,$A123,'Data - Control'!$B$5:$B$296,$B123)</f>
        <v/>
      </c>
      <c r="D123" s="33">
        <f>SUMIFS('Data - Control'!$D$5:$D$296,'Data - Control'!$A$5:$A$296,$A123,'Data - Control'!$B$5:$B$296,$B123)</f>
        <v/>
      </c>
      <c r="E123" s="36">
        <f>SUMIFS('Data - Control'!$E$5:$E$296,'Data - Control'!$A$5:$A$296,$A123,'Data - Control'!$B$5:$B$296,$B123)</f>
        <v/>
      </c>
      <c r="F123" s="36">
        <f>SUMIFS('Data - Control'!$F$5:$F$296,'Data - Control'!$A$5:$A$296,$A123,'Data - Control'!$B$5:$B$296,$B123)</f>
        <v/>
      </c>
      <c r="G123" s="36">
        <f>SUMIFS('Data - Control'!$G$5:$G$296,'Data - Control'!$A$5:$A$296,$A123,'Data - Control'!$B$5:$B$296,$B123)</f>
        <v/>
      </c>
      <c r="H123" s="36">
        <f>SUMIFS('Data - Control'!$H$5:$H$296,'Data - Control'!$A$5:$A$296,$A123,'Data - Control'!$B$5:$B$296,$B123)</f>
        <v/>
      </c>
      <c r="I123" s="57">
        <f>IFERROR($G123/$C123,0)</f>
        <v/>
      </c>
      <c r="J123" s="57">
        <f>IFERROR($H123/$D123,0)</f>
        <v/>
      </c>
      <c r="K123" s="36">
        <f>$D123*$I123</f>
        <v/>
      </c>
      <c r="L123" s="36">
        <f>$D123*($J123-$I123)</f>
        <v/>
      </c>
      <c r="M123" s="45">
        <f>IFERROR($D123/$C123-1,"")</f>
        <v/>
      </c>
    </row>
    <row r="124">
      <c r="A124" s="43" t="inlineStr">
        <is>
          <t>Hofbrauhaus USA</t>
        </is>
      </c>
      <c r="B124" s="43" t="inlineStr">
        <is>
          <t>Hofbrau Usa</t>
        </is>
      </c>
      <c r="C124" s="33">
        <f>SUMIFS('Data - Control'!$C$5:$C$296,'Data - Control'!$A$5:$A$296,$A124,'Data - Control'!$B$5:$B$296,$B124)</f>
        <v/>
      </c>
      <c r="D124" s="33">
        <f>SUMIFS('Data - Control'!$D$5:$D$296,'Data - Control'!$A$5:$A$296,$A124,'Data - Control'!$B$5:$B$296,$B124)</f>
        <v/>
      </c>
      <c r="E124" s="36">
        <f>SUMIFS('Data - Control'!$E$5:$E$296,'Data - Control'!$A$5:$A$296,$A124,'Data - Control'!$B$5:$B$296,$B124)</f>
        <v/>
      </c>
      <c r="F124" s="36">
        <f>SUMIFS('Data - Control'!$F$5:$F$296,'Data - Control'!$A$5:$A$296,$A124,'Data - Control'!$B$5:$B$296,$B124)</f>
        <v/>
      </c>
      <c r="G124" s="36">
        <f>SUMIFS('Data - Control'!$G$5:$G$296,'Data - Control'!$A$5:$A$296,$A124,'Data - Control'!$B$5:$B$296,$B124)</f>
        <v/>
      </c>
      <c r="H124" s="36">
        <f>SUMIFS('Data - Control'!$H$5:$H$296,'Data - Control'!$A$5:$A$296,$A124,'Data - Control'!$B$5:$B$296,$B124)</f>
        <v/>
      </c>
      <c r="I124" s="57">
        <f>IFERROR($G124/$C124,0)</f>
        <v/>
      </c>
      <c r="J124" s="57">
        <f>IFERROR($H124/$D124,0)</f>
        <v/>
      </c>
      <c r="K124" s="36">
        <f>$D124*$I124</f>
        <v/>
      </c>
      <c r="L124" s="36">
        <f>$D124*($J124-$I124)</f>
        <v/>
      </c>
      <c r="M124" s="45">
        <f>IFERROR($D124/$C124-1,"")</f>
        <v/>
      </c>
    </row>
    <row r="125">
      <c r="A125" s="43" t="inlineStr">
        <is>
          <t>Hornell Brewing Company</t>
        </is>
      </c>
      <c r="B125" s="43" t="inlineStr">
        <is>
          <t>Arizona Hard</t>
        </is>
      </c>
      <c r="C125" s="33">
        <f>SUMIFS('Data - Control'!$C$5:$C$296,'Data - Control'!$A$5:$A$296,$A125,'Data - Control'!$B$5:$B$296,$B125)</f>
        <v/>
      </c>
      <c r="D125" s="33">
        <f>SUMIFS('Data - Control'!$D$5:$D$296,'Data - Control'!$A$5:$A$296,$A125,'Data - Control'!$B$5:$B$296,$B125)</f>
        <v/>
      </c>
      <c r="E125" s="36">
        <f>SUMIFS('Data - Control'!$E$5:$E$296,'Data - Control'!$A$5:$A$296,$A125,'Data - Control'!$B$5:$B$296,$B125)</f>
        <v/>
      </c>
      <c r="F125" s="36">
        <f>SUMIFS('Data - Control'!$F$5:$F$296,'Data - Control'!$A$5:$A$296,$A125,'Data - Control'!$B$5:$B$296,$B125)</f>
        <v/>
      </c>
      <c r="G125" s="36">
        <f>SUMIFS('Data - Control'!$G$5:$G$296,'Data - Control'!$A$5:$A$296,$A125,'Data - Control'!$B$5:$B$296,$B125)</f>
        <v/>
      </c>
      <c r="H125" s="36">
        <f>SUMIFS('Data - Control'!$H$5:$H$296,'Data - Control'!$A$5:$A$296,$A125,'Data - Control'!$B$5:$B$296,$B125)</f>
        <v/>
      </c>
      <c r="I125" s="57">
        <f>IFERROR($G125/$C125,0)</f>
        <v/>
      </c>
      <c r="J125" s="57">
        <f>IFERROR($H125/$D125,0)</f>
        <v/>
      </c>
      <c r="K125" s="36">
        <f>$D125*$I125</f>
        <v/>
      </c>
      <c r="L125" s="36">
        <f>$D125*($J125-$I125)</f>
        <v/>
      </c>
      <c r="M125" s="45">
        <f>IFERROR($D125/$C125-1,"")</f>
        <v/>
      </c>
    </row>
    <row r="126">
      <c r="A126" s="43" t="inlineStr">
        <is>
          <t>Island Brands USA</t>
        </is>
      </c>
      <c r="B126" s="43" t="inlineStr">
        <is>
          <t>Island Brands</t>
        </is>
      </c>
      <c r="C126" s="33">
        <f>SUMIFS('Data - Control'!$C$5:$C$296,'Data - Control'!$A$5:$A$296,$A126,'Data - Control'!$B$5:$B$296,$B126)</f>
        <v/>
      </c>
      <c r="D126" s="33">
        <f>SUMIFS('Data - Control'!$D$5:$D$296,'Data - Control'!$A$5:$A$296,$A126,'Data - Control'!$B$5:$B$296,$B126)</f>
        <v/>
      </c>
      <c r="E126" s="36">
        <f>SUMIFS('Data - Control'!$E$5:$E$296,'Data - Control'!$A$5:$A$296,$A126,'Data - Control'!$B$5:$B$296,$B126)</f>
        <v/>
      </c>
      <c r="F126" s="36">
        <f>SUMIFS('Data - Control'!$F$5:$F$296,'Data - Control'!$A$5:$A$296,$A126,'Data - Control'!$B$5:$B$296,$B126)</f>
        <v/>
      </c>
      <c r="G126" s="36">
        <f>SUMIFS('Data - Control'!$G$5:$G$296,'Data - Control'!$A$5:$A$296,$A126,'Data - Control'!$B$5:$B$296,$B126)</f>
        <v/>
      </c>
      <c r="H126" s="36">
        <f>SUMIFS('Data - Control'!$H$5:$H$296,'Data - Control'!$A$5:$A$296,$A126,'Data - Control'!$B$5:$B$296,$B126)</f>
        <v/>
      </c>
      <c r="I126" s="57">
        <f>IFERROR($G126/$C126,0)</f>
        <v/>
      </c>
      <c r="J126" s="57">
        <f>IFERROR($H126/$D126,0)</f>
        <v/>
      </c>
      <c r="K126" s="36">
        <f>$D126*$I126</f>
        <v/>
      </c>
      <c r="L126" s="36">
        <f>$D126*($J126-$I126)</f>
        <v/>
      </c>
      <c r="M126" s="45">
        <f>IFERROR($D126/$C126-1,"")</f>
        <v/>
      </c>
    </row>
    <row r="127">
      <c r="A127" s="43" t="inlineStr">
        <is>
          <t>Ithaca</t>
        </is>
      </c>
      <c r="B127" s="43" t="inlineStr">
        <is>
          <t>Ithaca</t>
        </is>
      </c>
      <c r="C127" s="33">
        <f>SUMIFS('Data - Control'!$C$5:$C$296,'Data - Control'!$A$5:$A$296,$A127,'Data - Control'!$B$5:$B$296,$B127)</f>
        <v/>
      </c>
      <c r="D127" s="33">
        <f>SUMIFS('Data - Control'!$D$5:$D$296,'Data - Control'!$A$5:$A$296,$A127,'Data - Control'!$B$5:$B$296,$B127)</f>
        <v/>
      </c>
      <c r="E127" s="36">
        <f>SUMIFS('Data - Control'!$E$5:$E$296,'Data - Control'!$A$5:$A$296,$A127,'Data - Control'!$B$5:$B$296,$B127)</f>
        <v/>
      </c>
      <c r="F127" s="36">
        <f>SUMIFS('Data - Control'!$F$5:$F$296,'Data - Control'!$A$5:$A$296,$A127,'Data - Control'!$B$5:$B$296,$B127)</f>
        <v/>
      </c>
      <c r="G127" s="36">
        <f>SUMIFS('Data - Control'!$G$5:$G$296,'Data - Control'!$A$5:$A$296,$A127,'Data - Control'!$B$5:$B$296,$B127)</f>
        <v/>
      </c>
      <c r="H127" s="36">
        <f>SUMIFS('Data - Control'!$H$5:$H$296,'Data - Control'!$A$5:$A$296,$A127,'Data - Control'!$B$5:$B$296,$B127)</f>
        <v/>
      </c>
      <c r="I127" s="57">
        <f>IFERROR($G127/$C127,0)</f>
        <v/>
      </c>
      <c r="J127" s="57">
        <f>IFERROR($H127/$D127,0)</f>
        <v/>
      </c>
      <c r="K127" s="36">
        <f>$D127*$I127</f>
        <v/>
      </c>
      <c r="L127" s="36">
        <f>$D127*($J127-$I127)</f>
        <v/>
      </c>
      <c r="M127" s="45">
        <f>IFERROR($D127/$C127-1,"")</f>
        <v/>
      </c>
    </row>
    <row r="128">
      <c r="A128" s="43" t="inlineStr">
        <is>
          <t>Jersey Girl</t>
        </is>
      </c>
      <c r="B128" s="43" t="inlineStr">
        <is>
          <t>Jersey Girl</t>
        </is>
      </c>
      <c r="C128" s="33">
        <f>SUMIFS('Data - Control'!$C$5:$C$296,'Data - Control'!$A$5:$A$296,$A128,'Data - Control'!$B$5:$B$296,$B128)</f>
        <v/>
      </c>
      <c r="D128" s="33">
        <f>SUMIFS('Data - Control'!$D$5:$D$296,'Data - Control'!$A$5:$A$296,$A128,'Data - Control'!$B$5:$B$296,$B128)</f>
        <v/>
      </c>
      <c r="E128" s="36">
        <f>SUMIFS('Data - Control'!$E$5:$E$296,'Data - Control'!$A$5:$A$296,$A128,'Data - Control'!$B$5:$B$296,$B128)</f>
        <v/>
      </c>
      <c r="F128" s="36">
        <f>SUMIFS('Data - Control'!$F$5:$F$296,'Data - Control'!$A$5:$A$296,$A128,'Data - Control'!$B$5:$B$296,$B128)</f>
        <v/>
      </c>
      <c r="G128" s="36">
        <f>SUMIFS('Data - Control'!$G$5:$G$296,'Data - Control'!$A$5:$A$296,$A128,'Data - Control'!$B$5:$B$296,$B128)</f>
        <v/>
      </c>
      <c r="H128" s="36">
        <f>SUMIFS('Data - Control'!$H$5:$H$296,'Data - Control'!$A$5:$A$296,$A128,'Data - Control'!$B$5:$B$296,$B128)</f>
        <v/>
      </c>
      <c r="I128" s="57">
        <f>IFERROR($G128/$C128,0)</f>
        <v/>
      </c>
      <c r="J128" s="57">
        <f>IFERROR($H128/$D128,0)</f>
        <v/>
      </c>
      <c r="K128" s="36">
        <f>$D128*$I128</f>
        <v/>
      </c>
      <c r="L128" s="36">
        <f>$D128*($J128-$I128)</f>
        <v/>
      </c>
      <c r="M128" s="45">
        <f>IFERROR($D128/$C128-1,"")</f>
        <v/>
      </c>
    </row>
    <row r="129">
      <c r="A129" s="43" t="inlineStr">
        <is>
          <t>Jerzey Jungle LLC</t>
        </is>
      </c>
      <c r="B129" s="43" t="inlineStr">
        <is>
          <t>Jerzey Jungle</t>
        </is>
      </c>
      <c r="C129" s="33">
        <f>SUMIFS('Data - Control'!$C$5:$C$296,'Data - Control'!$A$5:$A$296,$A129,'Data - Control'!$B$5:$B$296,$B129)</f>
        <v/>
      </c>
      <c r="D129" s="33">
        <f>SUMIFS('Data - Control'!$D$5:$D$296,'Data - Control'!$A$5:$A$296,$A129,'Data - Control'!$B$5:$B$296,$B129)</f>
        <v/>
      </c>
      <c r="E129" s="36">
        <f>SUMIFS('Data - Control'!$E$5:$E$296,'Data - Control'!$A$5:$A$296,$A129,'Data - Control'!$B$5:$B$296,$B129)</f>
        <v/>
      </c>
      <c r="F129" s="36">
        <f>SUMIFS('Data - Control'!$F$5:$F$296,'Data - Control'!$A$5:$A$296,$A129,'Data - Control'!$B$5:$B$296,$B129)</f>
        <v/>
      </c>
      <c r="G129" s="36">
        <f>SUMIFS('Data - Control'!$G$5:$G$296,'Data - Control'!$A$5:$A$296,$A129,'Data - Control'!$B$5:$B$296,$B129)</f>
        <v/>
      </c>
      <c r="H129" s="36">
        <f>SUMIFS('Data - Control'!$H$5:$H$296,'Data - Control'!$A$5:$A$296,$A129,'Data - Control'!$B$5:$B$296,$B129)</f>
        <v/>
      </c>
      <c r="I129" s="57">
        <f>IFERROR($G129/$C129,0)</f>
        <v/>
      </c>
      <c r="J129" s="57">
        <f>IFERROR($H129/$D129,0)</f>
        <v/>
      </c>
      <c r="K129" s="36">
        <f>$D129*$I129</f>
        <v/>
      </c>
      <c r="L129" s="36">
        <f>$D129*($J129-$I129)</f>
        <v/>
      </c>
      <c r="M129" s="45">
        <f>IFERROR($D129/$C129-1,"")</f>
        <v/>
      </c>
    </row>
    <row r="130">
      <c r="A130" s="43" t="inlineStr">
        <is>
          <t>Lagunitas Brewing Co</t>
        </is>
      </c>
      <c r="B130" s="43" t="inlineStr">
        <is>
          <t>Lagunitas</t>
        </is>
      </c>
      <c r="C130" s="33">
        <f>SUMIFS('Data - Control'!$C$5:$C$296,'Data - Control'!$A$5:$A$296,$A130,'Data - Control'!$B$5:$B$296,$B130)</f>
        <v/>
      </c>
      <c r="D130" s="33">
        <f>SUMIFS('Data - Control'!$D$5:$D$296,'Data - Control'!$A$5:$A$296,$A130,'Data - Control'!$B$5:$B$296,$B130)</f>
        <v/>
      </c>
      <c r="E130" s="36">
        <f>SUMIFS('Data - Control'!$E$5:$E$296,'Data - Control'!$A$5:$A$296,$A130,'Data - Control'!$B$5:$B$296,$B130)</f>
        <v/>
      </c>
      <c r="F130" s="36">
        <f>SUMIFS('Data - Control'!$F$5:$F$296,'Data - Control'!$A$5:$A$296,$A130,'Data - Control'!$B$5:$B$296,$B130)</f>
        <v/>
      </c>
      <c r="G130" s="36">
        <f>SUMIFS('Data - Control'!$G$5:$G$296,'Data - Control'!$A$5:$A$296,$A130,'Data - Control'!$B$5:$B$296,$B130)</f>
        <v/>
      </c>
      <c r="H130" s="36">
        <f>SUMIFS('Data - Control'!$H$5:$H$296,'Data - Control'!$A$5:$A$296,$A130,'Data - Control'!$B$5:$B$296,$B130)</f>
        <v/>
      </c>
      <c r="I130" s="57">
        <f>IFERROR($G130/$C130,0)</f>
        <v/>
      </c>
      <c r="J130" s="57">
        <f>IFERROR($H130/$D130,0)</f>
        <v/>
      </c>
      <c r="K130" s="36">
        <f>$D130*$I130</f>
        <v/>
      </c>
      <c r="L130" s="36">
        <f>$D130*($J130-$I130)</f>
        <v/>
      </c>
      <c r="M130" s="45">
        <f>IFERROR($D130/$C130-1,"")</f>
        <v/>
      </c>
    </row>
    <row r="131">
      <c r="A131" s="43" t="inlineStr">
        <is>
          <t>Lagunitas Brewing Co</t>
        </is>
      </c>
      <c r="B131" s="43" t="inlineStr">
        <is>
          <t>Lagunitas NA</t>
        </is>
      </c>
      <c r="C131" s="33">
        <f>SUMIFS('Data - Control'!$C$5:$C$296,'Data - Control'!$A$5:$A$296,$A131,'Data - Control'!$B$5:$B$296,$B131)</f>
        <v/>
      </c>
      <c r="D131" s="33">
        <f>SUMIFS('Data - Control'!$D$5:$D$296,'Data - Control'!$A$5:$A$296,$A131,'Data - Control'!$B$5:$B$296,$B131)</f>
        <v/>
      </c>
      <c r="E131" s="36">
        <f>SUMIFS('Data - Control'!$E$5:$E$296,'Data - Control'!$A$5:$A$296,$A131,'Data - Control'!$B$5:$B$296,$B131)</f>
        <v/>
      </c>
      <c r="F131" s="36">
        <f>SUMIFS('Data - Control'!$F$5:$F$296,'Data - Control'!$A$5:$A$296,$A131,'Data - Control'!$B$5:$B$296,$B131)</f>
        <v/>
      </c>
      <c r="G131" s="36">
        <f>SUMIFS('Data - Control'!$G$5:$G$296,'Data - Control'!$A$5:$A$296,$A131,'Data - Control'!$B$5:$B$296,$B131)</f>
        <v/>
      </c>
      <c r="H131" s="36">
        <f>SUMIFS('Data - Control'!$H$5:$H$296,'Data - Control'!$A$5:$A$296,$A131,'Data - Control'!$B$5:$B$296,$B131)</f>
        <v/>
      </c>
      <c r="I131" s="57">
        <f>IFERROR($G131/$C131,0)</f>
        <v/>
      </c>
      <c r="J131" s="57">
        <f>IFERROR($H131/$D131,0)</f>
        <v/>
      </c>
      <c r="K131" s="36">
        <f>$D131*$I131</f>
        <v/>
      </c>
      <c r="L131" s="36">
        <f>$D131*($J131-$I131)</f>
        <v/>
      </c>
      <c r="M131" s="45">
        <f>IFERROR($D131/$C131-1,"")</f>
        <v/>
      </c>
    </row>
    <row r="132">
      <c r="A132" s="43" t="inlineStr">
        <is>
          <t>Licores Artesanales</t>
        </is>
      </c>
      <c r="B132" s="43" t="inlineStr">
        <is>
          <t>Desquite</t>
        </is>
      </c>
      <c r="C132" s="33">
        <f>SUMIFS('Data - Control'!$C$5:$C$296,'Data - Control'!$A$5:$A$296,$A132,'Data - Control'!$B$5:$B$296,$B132)</f>
        <v/>
      </c>
      <c r="D132" s="33">
        <f>SUMIFS('Data - Control'!$D$5:$D$296,'Data - Control'!$A$5:$A$296,$A132,'Data - Control'!$B$5:$B$296,$B132)</f>
        <v/>
      </c>
      <c r="E132" s="36">
        <f>SUMIFS('Data - Control'!$E$5:$E$296,'Data - Control'!$A$5:$A$296,$A132,'Data - Control'!$B$5:$B$296,$B132)</f>
        <v/>
      </c>
      <c r="F132" s="36">
        <f>SUMIFS('Data - Control'!$F$5:$F$296,'Data - Control'!$A$5:$A$296,$A132,'Data - Control'!$B$5:$B$296,$B132)</f>
        <v/>
      </c>
      <c r="G132" s="36">
        <f>SUMIFS('Data - Control'!$G$5:$G$296,'Data - Control'!$A$5:$A$296,$A132,'Data - Control'!$B$5:$B$296,$B132)</f>
        <v/>
      </c>
      <c r="H132" s="36">
        <f>SUMIFS('Data - Control'!$H$5:$H$296,'Data - Control'!$A$5:$A$296,$A132,'Data - Control'!$B$5:$B$296,$B132)</f>
        <v/>
      </c>
      <c r="I132" s="57">
        <f>IFERROR($G132/$C132,0)</f>
        <v/>
      </c>
      <c r="J132" s="57">
        <f>IFERROR($H132/$D132,0)</f>
        <v/>
      </c>
      <c r="K132" s="36">
        <f>$D132*$I132</f>
        <v/>
      </c>
      <c r="L132" s="36">
        <f>$D132*($J132-$I132)</f>
        <v/>
      </c>
      <c r="M132" s="45">
        <f>IFERROR($D132/$C132-1,"")</f>
        <v/>
      </c>
    </row>
    <row r="133">
      <c r="A133" s="43" t="inlineStr">
        <is>
          <t>Little Water Distillery</t>
        </is>
      </c>
      <c r="B133" s="43" t="inlineStr">
        <is>
          <t>48 Blocks</t>
        </is>
      </c>
      <c r="C133" s="33">
        <f>SUMIFS('Data - Control'!$C$5:$C$296,'Data - Control'!$A$5:$A$296,$A133,'Data - Control'!$B$5:$B$296,$B133)</f>
        <v/>
      </c>
      <c r="D133" s="33">
        <f>SUMIFS('Data - Control'!$D$5:$D$296,'Data - Control'!$A$5:$A$296,$A133,'Data - Control'!$B$5:$B$296,$B133)</f>
        <v/>
      </c>
      <c r="E133" s="36">
        <f>SUMIFS('Data - Control'!$E$5:$E$296,'Data - Control'!$A$5:$A$296,$A133,'Data - Control'!$B$5:$B$296,$B133)</f>
        <v/>
      </c>
      <c r="F133" s="36">
        <f>SUMIFS('Data - Control'!$F$5:$F$296,'Data - Control'!$A$5:$A$296,$A133,'Data - Control'!$B$5:$B$296,$B133)</f>
        <v/>
      </c>
      <c r="G133" s="36">
        <f>SUMIFS('Data - Control'!$G$5:$G$296,'Data - Control'!$A$5:$A$296,$A133,'Data - Control'!$B$5:$B$296,$B133)</f>
        <v/>
      </c>
      <c r="H133" s="36">
        <f>SUMIFS('Data - Control'!$H$5:$H$296,'Data - Control'!$A$5:$A$296,$A133,'Data - Control'!$B$5:$B$296,$B133)</f>
        <v/>
      </c>
      <c r="I133" s="57">
        <f>IFERROR($G133/$C133,0)</f>
        <v/>
      </c>
      <c r="J133" s="57">
        <f>IFERROR($H133/$D133,0)</f>
        <v/>
      </c>
      <c r="K133" s="36">
        <f>$D133*$I133</f>
        <v/>
      </c>
      <c r="L133" s="36">
        <f>$D133*($J133-$I133)</f>
        <v/>
      </c>
      <c r="M133" s="45">
        <f>IFERROR($D133/$C133-1,"")</f>
        <v/>
      </c>
    </row>
    <row r="134">
      <c r="A134" s="43" t="inlineStr">
        <is>
          <t>Little Water Distillery</t>
        </is>
      </c>
      <c r="B134" s="43" t="inlineStr">
        <is>
          <t>Rusted Revolver</t>
        </is>
      </c>
      <c r="C134" s="33">
        <f>SUMIFS('Data - Control'!$C$5:$C$296,'Data - Control'!$A$5:$A$296,$A134,'Data - Control'!$B$5:$B$296,$B134)</f>
        <v/>
      </c>
      <c r="D134" s="33">
        <f>SUMIFS('Data - Control'!$D$5:$D$296,'Data - Control'!$A$5:$A$296,$A134,'Data - Control'!$B$5:$B$296,$B134)</f>
        <v/>
      </c>
      <c r="E134" s="36">
        <f>SUMIFS('Data - Control'!$E$5:$E$296,'Data - Control'!$A$5:$A$296,$A134,'Data - Control'!$B$5:$B$296,$B134)</f>
        <v/>
      </c>
      <c r="F134" s="36">
        <f>SUMIFS('Data - Control'!$F$5:$F$296,'Data - Control'!$A$5:$A$296,$A134,'Data - Control'!$B$5:$B$296,$B134)</f>
        <v/>
      </c>
      <c r="G134" s="36">
        <f>SUMIFS('Data - Control'!$G$5:$G$296,'Data - Control'!$A$5:$A$296,$A134,'Data - Control'!$B$5:$B$296,$B134)</f>
        <v/>
      </c>
      <c r="H134" s="36">
        <f>SUMIFS('Data - Control'!$H$5:$H$296,'Data - Control'!$A$5:$A$296,$A134,'Data - Control'!$B$5:$B$296,$B134)</f>
        <v/>
      </c>
      <c r="I134" s="57">
        <f>IFERROR($G134/$C134,0)</f>
        <v/>
      </c>
      <c r="J134" s="57">
        <f>IFERROR($H134/$D134,0)</f>
        <v/>
      </c>
      <c r="K134" s="36">
        <f>$D134*$I134</f>
        <v/>
      </c>
      <c r="L134" s="36">
        <f>$D134*($J134-$I134)</f>
        <v/>
      </c>
      <c r="M134" s="45">
        <f>IFERROR($D134/$C134-1,"")</f>
        <v/>
      </c>
    </row>
    <row r="135">
      <c r="A135" s="43" t="inlineStr">
        <is>
          <t>Little Water Distillery</t>
        </is>
      </c>
      <c r="B135" s="43" t="inlineStr">
        <is>
          <t>Whitecap</t>
        </is>
      </c>
      <c r="C135" s="33">
        <f>SUMIFS('Data - Control'!$C$5:$C$296,'Data - Control'!$A$5:$A$296,$A135,'Data - Control'!$B$5:$B$296,$B135)</f>
        <v/>
      </c>
      <c r="D135" s="33">
        <f>SUMIFS('Data - Control'!$D$5:$D$296,'Data - Control'!$A$5:$A$296,$A135,'Data - Control'!$B$5:$B$296,$B135)</f>
        <v/>
      </c>
      <c r="E135" s="36">
        <f>SUMIFS('Data - Control'!$E$5:$E$296,'Data - Control'!$A$5:$A$296,$A135,'Data - Control'!$B$5:$B$296,$B135)</f>
        <v/>
      </c>
      <c r="F135" s="36">
        <f>SUMIFS('Data - Control'!$F$5:$F$296,'Data - Control'!$A$5:$A$296,$A135,'Data - Control'!$B$5:$B$296,$B135)</f>
        <v/>
      </c>
      <c r="G135" s="36">
        <f>SUMIFS('Data - Control'!$G$5:$G$296,'Data - Control'!$A$5:$A$296,$A135,'Data - Control'!$B$5:$B$296,$B135)</f>
        <v/>
      </c>
      <c r="H135" s="36">
        <f>SUMIFS('Data - Control'!$H$5:$H$296,'Data - Control'!$A$5:$A$296,$A135,'Data - Control'!$B$5:$B$296,$B135)</f>
        <v/>
      </c>
      <c r="I135" s="57">
        <f>IFERROR($G135/$C135,0)</f>
        <v/>
      </c>
      <c r="J135" s="57">
        <f>IFERROR($H135/$D135,0)</f>
        <v/>
      </c>
      <c r="K135" s="36">
        <f>$D135*$I135</f>
        <v/>
      </c>
      <c r="L135" s="36">
        <f>$D135*($J135-$I135)</f>
        <v/>
      </c>
      <c r="M135" s="45">
        <f>IFERROR($D135/$C135-1,"")</f>
        <v/>
      </c>
    </row>
    <row r="136">
      <c r="A136" s="43" t="inlineStr">
        <is>
          <t>Lo Secco LLC</t>
        </is>
      </c>
      <c r="B136" s="43" t="inlineStr">
        <is>
          <t>Lo Secco</t>
        </is>
      </c>
      <c r="C136" s="33">
        <f>SUMIFS('Data - Control'!$C$5:$C$296,'Data - Control'!$A$5:$A$296,$A136,'Data - Control'!$B$5:$B$296,$B136)</f>
        <v/>
      </c>
      <c r="D136" s="33">
        <f>SUMIFS('Data - Control'!$D$5:$D$296,'Data - Control'!$A$5:$A$296,$A136,'Data - Control'!$B$5:$B$296,$B136)</f>
        <v/>
      </c>
      <c r="E136" s="36">
        <f>SUMIFS('Data - Control'!$E$5:$E$296,'Data - Control'!$A$5:$A$296,$A136,'Data - Control'!$B$5:$B$296,$B136)</f>
        <v/>
      </c>
      <c r="F136" s="36">
        <f>SUMIFS('Data - Control'!$F$5:$F$296,'Data - Control'!$A$5:$A$296,$A136,'Data - Control'!$B$5:$B$296,$B136)</f>
        <v/>
      </c>
      <c r="G136" s="36">
        <f>SUMIFS('Data - Control'!$G$5:$G$296,'Data - Control'!$A$5:$A$296,$A136,'Data - Control'!$B$5:$B$296,$B136)</f>
        <v/>
      </c>
      <c r="H136" s="36">
        <f>SUMIFS('Data - Control'!$H$5:$H$296,'Data - Control'!$A$5:$A$296,$A136,'Data - Control'!$B$5:$B$296,$B136)</f>
        <v/>
      </c>
      <c r="I136" s="57">
        <f>IFERROR($G136/$C136,0)</f>
        <v/>
      </c>
      <c r="J136" s="57">
        <f>IFERROR($H136/$D136,0)</f>
        <v/>
      </c>
      <c r="K136" s="36">
        <f>$D136*$I136</f>
        <v/>
      </c>
      <c r="L136" s="36">
        <f>$D136*($J136-$I136)</f>
        <v/>
      </c>
      <c r="M136" s="45">
        <f>IFERROR($D136/$C136-1,"")</f>
        <v/>
      </c>
    </row>
    <row r="137">
      <c r="A137" s="43" t="inlineStr">
        <is>
          <t>Local Choice Inc</t>
        </is>
      </c>
      <c r="B137" s="43" t="inlineStr">
        <is>
          <t>Striped Pig</t>
        </is>
      </c>
      <c r="C137" s="33">
        <f>SUMIFS('Data - Control'!$C$5:$C$296,'Data - Control'!$A$5:$A$296,$A137,'Data - Control'!$B$5:$B$296,$B137)</f>
        <v/>
      </c>
      <c r="D137" s="33">
        <f>SUMIFS('Data - Control'!$D$5:$D$296,'Data - Control'!$A$5:$A$296,$A137,'Data - Control'!$B$5:$B$296,$B137)</f>
        <v/>
      </c>
      <c r="E137" s="36">
        <f>SUMIFS('Data - Control'!$E$5:$E$296,'Data - Control'!$A$5:$A$296,$A137,'Data - Control'!$B$5:$B$296,$B137)</f>
        <v/>
      </c>
      <c r="F137" s="36">
        <f>SUMIFS('Data - Control'!$F$5:$F$296,'Data - Control'!$A$5:$A$296,$A137,'Data - Control'!$B$5:$B$296,$B137)</f>
        <v/>
      </c>
      <c r="G137" s="36">
        <f>SUMIFS('Data - Control'!$G$5:$G$296,'Data - Control'!$A$5:$A$296,$A137,'Data - Control'!$B$5:$B$296,$B137)</f>
        <v/>
      </c>
      <c r="H137" s="36">
        <f>SUMIFS('Data - Control'!$H$5:$H$296,'Data - Control'!$A$5:$A$296,$A137,'Data - Control'!$B$5:$B$296,$B137)</f>
        <v/>
      </c>
      <c r="I137" s="57">
        <f>IFERROR($G137/$C137,0)</f>
        <v/>
      </c>
      <c r="J137" s="57">
        <f>IFERROR($H137/$D137,0)</f>
        <v/>
      </c>
      <c r="K137" s="36">
        <f>$D137*$I137</f>
        <v/>
      </c>
      <c r="L137" s="36">
        <f>$D137*($J137-$I137)</f>
        <v/>
      </c>
      <c r="M137" s="45">
        <f>IFERROR($D137/$C137-1,"")</f>
        <v/>
      </c>
    </row>
    <row r="138">
      <c r="A138" s="43" t="inlineStr">
        <is>
          <t>Lodo Brands</t>
        </is>
      </c>
      <c r="B138" s="43" t="inlineStr">
        <is>
          <t>LoDo</t>
        </is>
      </c>
      <c r="C138" s="33">
        <f>SUMIFS('Data - Control'!$C$5:$C$296,'Data - Control'!$A$5:$A$296,$A138,'Data - Control'!$B$5:$B$296,$B138)</f>
        <v/>
      </c>
      <c r="D138" s="33">
        <f>SUMIFS('Data - Control'!$D$5:$D$296,'Data - Control'!$A$5:$A$296,$A138,'Data - Control'!$B$5:$B$296,$B138)</f>
        <v/>
      </c>
      <c r="E138" s="36">
        <f>SUMIFS('Data - Control'!$E$5:$E$296,'Data - Control'!$A$5:$A$296,$A138,'Data - Control'!$B$5:$B$296,$B138)</f>
        <v/>
      </c>
      <c r="F138" s="36">
        <f>SUMIFS('Data - Control'!$F$5:$F$296,'Data - Control'!$A$5:$A$296,$A138,'Data - Control'!$B$5:$B$296,$B138)</f>
        <v/>
      </c>
      <c r="G138" s="36">
        <f>SUMIFS('Data - Control'!$G$5:$G$296,'Data - Control'!$A$5:$A$296,$A138,'Data - Control'!$B$5:$B$296,$B138)</f>
        <v/>
      </c>
      <c r="H138" s="36">
        <f>SUMIFS('Data - Control'!$H$5:$H$296,'Data - Control'!$A$5:$A$296,$A138,'Data - Control'!$B$5:$B$296,$B138)</f>
        <v/>
      </c>
      <c r="I138" s="57">
        <f>IFERROR($G138/$C138,0)</f>
        <v/>
      </c>
      <c r="J138" s="57">
        <f>IFERROR($H138/$D138,0)</f>
        <v/>
      </c>
      <c r="K138" s="36">
        <f>$D138*$I138</f>
        <v/>
      </c>
      <c r="L138" s="36">
        <f>$D138*($J138-$I138)</f>
        <v/>
      </c>
      <c r="M138" s="45">
        <f>IFERROR($D138/$C138-1,"")</f>
        <v/>
      </c>
    </row>
    <row r="139">
      <c r="A139" s="43" t="inlineStr">
        <is>
          <t>Mark Anthony</t>
        </is>
      </c>
      <c r="B139" s="43" t="inlineStr">
        <is>
          <t>Dillon's Cocktails</t>
        </is>
      </c>
      <c r="C139" s="33">
        <f>SUMIFS('Data - Control'!$C$5:$C$296,'Data - Control'!$A$5:$A$296,$A139,'Data - Control'!$B$5:$B$296,$B139)</f>
        <v/>
      </c>
      <c r="D139" s="33">
        <f>SUMIFS('Data - Control'!$D$5:$D$296,'Data - Control'!$A$5:$A$296,$A139,'Data - Control'!$B$5:$B$296,$B139)</f>
        <v/>
      </c>
      <c r="E139" s="36">
        <f>SUMIFS('Data - Control'!$E$5:$E$296,'Data - Control'!$A$5:$A$296,$A139,'Data - Control'!$B$5:$B$296,$B139)</f>
        <v/>
      </c>
      <c r="F139" s="36">
        <f>SUMIFS('Data - Control'!$F$5:$F$296,'Data - Control'!$A$5:$A$296,$A139,'Data - Control'!$B$5:$B$296,$B139)</f>
        <v/>
      </c>
      <c r="G139" s="36">
        <f>SUMIFS('Data - Control'!$G$5:$G$296,'Data - Control'!$A$5:$A$296,$A139,'Data - Control'!$B$5:$B$296,$B139)</f>
        <v/>
      </c>
      <c r="H139" s="36">
        <f>SUMIFS('Data - Control'!$H$5:$H$296,'Data - Control'!$A$5:$A$296,$A139,'Data - Control'!$B$5:$B$296,$B139)</f>
        <v/>
      </c>
      <c r="I139" s="57">
        <f>IFERROR($G139/$C139,0)</f>
        <v/>
      </c>
      <c r="J139" s="57">
        <f>IFERROR($H139/$D139,0)</f>
        <v/>
      </c>
      <c r="K139" s="36">
        <f>$D139*$I139</f>
        <v/>
      </c>
      <c r="L139" s="36">
        <f>$D139*($J139-$I139)</f>
        <v/>
      </c>
      <c r="M139" s="45">
        <f>IFERROR($D139/$C139-1,"")</f>
        <v/>
      </c>
    </row>
    <row r="140">
      <c r="A140" s="43" t="inlineStr">
        <is>
          <t>Mark Anthony</t>
        </is>
      </c>
      <c r="B140" s="43" t="inlineStr">
        <is>
          <t>Mike's Hard Dirty Lemonade</t>
        </is>
      </c>
      <c r="C140" s="33">
        <f>SUMIFS('Data - Control'!$C$5:$C$296,'Data - Control'!$A$5:$A$296,$A140,'Data - Control'!$B$5:$B$296,$B140)</f>
        <v/>
      </c>
      <c r="D140" s="33">
        <f>SUMIFS('Data - Control'!$D$5:$D$296,'Data - Control'!$A$5:$A$296,$A140,'Data - Control'!$B$5:$B$296,$B140)</f>
        <v/>
      </c>
      <c r="E140" s="36">
        <f>SUMIFS('Data - Control'!$E$5:$E$296,'Data - Control'!$A$5:$A$296,$A140,'Data - Control'!$B$5:$B$296,$B140)</f>
        <v/>
      </c>
      <c r="F140" s="36">
        <f>SUMIFS('Data - Control'!$F$5:$F$296,'Data - Control'!$A$5:$A$296,$A140,'Data - Control'!$B$5:$B$296,$B140)</f>
        <v/>
      </c>
      <c r="G140" s="36">
        <f>SUMIFS('Data - Control'!$G$5:$G$296,'Data - Control'!$A$5:$A$296,$A140,'Data - Control'!$B$5:$B$296,$B140)</f>
        <v/>
      </c>
      <c r="H140" s="36">
        <f>SUMIFS('Data - Control'!$H$5:$H$296,'Data - Control'!$A$5:$A$296,$A140,'Data - Control'!$B$5:$B$296,$B140)</f>
        <v/>
      </c>
      <c r="I140" s="57">
        <f>IFERROR($G140/$C140,0)</f>
        <v/>
      </c>
      <c r="J140" s="57">
        <f>IFERROR($H140/$D140,0)</f>
        <v/>
      </c>
      <c r="K140" s="36">
        <f>$D140*$I140</f>
        <v/>
      </c>
      <c r="L140" s="36">
        <f>$D140*($J140-$I140)</f>
        <v/>
      </c>
      <c r="M140" s="45">
        <f>IFERROR($D140/$C140-1,"")</f>
        <v/>
      </c>
    </row>
    <row r="141">
      <c r="A141" s="43" t="inlineStr">
        <is>
          <t>Mark Anthony</t>
        </is>
      </c>
      <c r="B141" s="43" t="inlineStr">
        <is>
          <t>Mike's Hard Lemonade</t>
        </is>
      </c>
      <c r="C141" s="33">
        <f>SUMIFS('Data - Control'!$C$5:$C$296,'Data - Control'!$A$5:$A$296,$A141,'Data - Control'!$B$5:$B$296,$B141)</f>
        <v/>
      </c>
      <c r="D141" s="33">
        <f>SUMIFS('Data - Control'!$D$5:$D$296,'Data - Control'!$A$5:$A$296,$A141,'Data - Control'!$B$5:$B$296,$B141)</f>
        <v/>
      </c>
      <c r="E141" s="36">
        <f>SUMIFS('Data - Control'!$E$5:$E$296,'Data - Control'!$A$5:$A$296,$A141,'Data - Control'!$B$5:$B$296,$B141)</f>
        <v/>
      </c>
      <c r="F141" s="36">
        <f>SUMIFS('Data - Control'!$F$5:$F$296,'Data - Control'!$A$5:$A$296,$A141,'Data - Control'!$B$5:$B$296,$B141)</f>
        <v/>
      </c>
      <c r="G141" s="36">
        <f>SUMIFS('Data - Control'!$G$5:$G$296,'Data - Control'!$A$5:$A$296,$A141,'Data - Control'!$B$5:$B$296,$B141)</f>
        <v/>
      </c>
      <c r="H141" s="36">
        <f>SUMIFS('Data - Control'!$H$5:$H$296,'Data - Control'!$A$5:$A$296,$A141,'Data - Control'!$B$5:$B$296,$B141)</f>
        <v/>
      </c>
      <c r="I141" s="57">
        <f>IFERROR($G141/$C141,0)</f>
        <v/>
      </c>
      <c r="J141" s="57">
        <f>IFERROR($H141/$D141,0)</f>
        <v/>
      </c>
      <c r="K141" s="36">
        <f>$D141*$I141</f>
        <v/>
      </c>
      <c r="L141" s="36">
        <f>$D141*($J141-$I141)</f>
        <v/>
      </c>
      <c r="M141" s="45">
        <f>IFERROR($D141/$C141-1,"")</f>
        <v/>
      </c>
    </row>
    <row r="142">
      <c r="A142" s="43" t="inlineStr">
        <is>
          <t>Mark Anthony</t>
        </is>
      </c>
      <c r="B142" s="43" t="inlineStr">
        <is>
          <t>Ole</t>
        </is>
      </c>
      <c r="C142" s="33">
        <f>SUMIFS('Data - Control'!$C$5:$C$296,'Data - Control'!$A$5:$A$296,$A142,'Data - Control'!$B$5:$B$296,$B142)</f>
        <v/>
      </c>
      <c r="D142" s="33">
        <f>SUMIFS('Data - Control'!$D$5:$D$296,'Data - Control'!$A$5:$A$296,$A142,'Data - Control'!$B$5:$B$296,$B142)</f>
        <v/>
      </c>
      <c r="E142" s="36">
        <f>SUMIFS('Data - Control'!$E$5:$E$296,'Data - Control'!$A$5:$A$296,$A142,'Data - Control'!$B$5:$B$296,$B142)</f>
        <v/>
      </c>
      <c r="F142" s="36">
        <f>SUMIFS('Data - Control'!$F$5:$F$296,'Data - Control'!$A$5:$A$296,$A142,'Data - Control'!$B$5:$B$296,$B142)</f>
        <v/>
      </c>
      <c r="G142" s="36">
        <f>SUMIFS('Data - Control'!$G$5:$G$296,'Data - Control'!$A$5:$A$296,$A142,'Data - Control'!$B$5:$B$296,$B142)</f>
        <v/>
      </c>
      <c r="H142" s="36">
        <f>SUMIFS('Data - Control'!$H$5:$H$296,'Data - Control'!$A$5:$A$296,$A142,'Data - Control'!$B$5:$B$296,$B142)</f>
        <v/>
      </c>
      <c r="I142" s="57">
        <f>IFERROR($G142/$C142,0)</f>
        <v/>
      </c>
      <c r="J142" s="57">
        <f>IFERROR($H142/$D142,0)</f>
        <v/>
      </c>
      <c r="K142" s="36">
        <f>$D142*$I142</f>
        <v/>
      </c>
      <c r="L142" s="36">
        <f>$D142*($J142-$I142)</f>
        <v/>
      </c>
      <c r="M142" s="45">
        <f>IFERROR($D142/$C142-1,"")</f>
        <v/>
      </c>
    </row>
    <row r="143">
      <c r="A143" s="43" t="inlineStr">
        <is>
          <t>Misc</t>
        </is>
      </c>
      <c r="B143" s="43" t="inlineStr">
        <is>
          <t>Misc</t>
        </is>
      </c>
      <c r="C143" s="33">
        <f>SUMIFS('Data - Control'!$C$5:$C$296,'Data - Control'!$A$5:$A$296,$A143,'Data - Control'!$B$5:$B$296,$B143)</f>
        <v/>
      </c>
      <c r="D143" s="33">
        <f>SUMIFS('Data - Control'!$D$5:$D$296,'Data - Control'!$A$5:$A$296,$A143,'Data - Control'!$B$5:$B$296,$B143)</f>
        <v/>
      </c>
      <c r="E143" s="36">
        <f>SUMIFS('Data - Control'!$E$5:$E$296,'Data - Control'!$A$5:$A$296,$A143,'Data - Control'!$B$5:$B$296,$B143)</f>
        <v/>
      </c>
      <c r="F143" s="36">
        <f>SUMIFS('Data - Control'!$F$5:$F$296,'Data - Control'!$A$5:$A$296,$A143,'Data - Control'!$B$5:$B$296,$B143)</f>
        <v/>
      </c>
      <c r="G143" s="36">
        <f>SUMIFS('Data - Control'!$G$5:$G$296,'Data - Control'!$A$5:$A$296,$A143,'Data - Control'!$B$5:$B$296,$B143)</f>
        <v/>
      </c>
      <c r="H143" s="36">
        <f>SUMIFS('Data - Control'!$H$5:$H$296,'Data - Control'!$A$5:$A$296,$A143,'Data - Control'!$B$5:$B$296,$B143)</f>
        <v/>
      </c>
      <c r="I143" s="57">
        <f>IFERROR($G143/$C143,0)</f>
        <v/>
      </c>
      <c r="J143" s="57">
        <f>IFERROR($H143/$D143,0)</f>
        <v/>
      </c>
      <c r="K143" s="36">
        <f>$D143*$I143</f>
        <v/>
      </c>
      <c r="L143" s="36">
        <f>$D143*($J143-$I143)</f>
        <v/>
      </c>
      <c r="M143" s="45">
        <f>IFERROR($D143/$C143-1,"")</f>
        <v/>
      </c>
    </row>
    <row r="144">
      <c r="A144" s="43" t="inlineStr">
        <is>
          <t>Modern Infusions</t>
        </is>
      </c>
      <c r="B144" s="43" t="inlineStr">
        <is>
          <t>Fiveislands</t>
        </is>
      </c>
      <c r="C144" s="33">
        <f>SUMIFS('Data - Control'!$C$5:$C$296,'Data - Control'!$A$5:$A$296,$A144,'Data - Control'!$B$5:$B$296,$B144)</f>
        <v/>
      </c>
      <c r="D144" s="33">
        <f>SUMIFS('Data - Control'!$D$5:$D$296,'Data - Control'!$A$5:$A$296,$A144,'Data - Control'!$B$5:$B$296,$B144)</f>
        <v/>
      </c>
      <c r="E144" s="36">
        <f>SUMIFS('Data - Control'!$E$5:$E$296,'Data - Control'!$A$5:$A$296,$A144,'Data - Control'!$B$5:$B$296,$B144)</f>
        <v/>
      </c>
      <c r="F144" s="36">
        <f>SUMIFS('Data - Control'!$F$5:$F$296,'Data - Control'!$A$5:$A$296,$A144,'Data - Control'!$B$5:$B$296,$B144)</f>
        <v/>
      </c>
      <c r="G144" s="36">
        <f>SUMIFS('Data - Control'!$G$5:$G$296,'Data - Control'!$A$5:$A$296,$A144,'Data - Control'!$B$5:$B$296,$B144)</f>
        <v/>
      </c>
      <c r="H144" s="36">
        <f>SUMIFS('Data - Control'!$H$5:$H$296,'Data - Control'!$A$5:$A$296,$A144,'Data - Control'!$B$5:$B$296,$B144)</f>
        <v/>
      </c>
      <c r="I144" s="57">
        <f>IFERROR($G144/$C144,0)</f>
        <v/>
      </c>
      <c r="J144" s="57">
        <f>IFERROR($H144/$D144,0)</f>
        <v/>
      </c>
      <c r="K144" s="36">
        <f>$D144*$I144</f>
        <v/>
      </c>
      <c r="L144" s="36">
        <f>$D144*($J144-$I144)</f>
        <v/>
      </c>
      <c r="M144" s="45">
        <f>IFERROR($D144/$C144-1,"")</f>
        <v/>
      </c>
    </row>
    <row r="145">
      <c r="A145" s="43" t="inlineStr">
        <is>
          <t>Modern Infusions</t>
        </is>
      </c>
      <c r="B145" s="43" t="inlineStr">
        <is>
          <t>Hi5</t>
        </is>
      </c>
      <c r="C145" s="33">
        <f>SUMIFS('Data - Control'!$C$5:$C$296,'Data - Control'!$A$5:$A$296,$A145,'Data - Control'!$B$5:$B$296,$B145)</f>
        <v/>
      </c>
      <c r="D145" s="33">
        <f>SUMIFS('Data - Control'!$D$5:$D$296,'Data - Control'!$A$5:$A$296,$A145,'Data - Control'!$B$5:$B$296,$B145)</f>
        <v/>
      </c>
      <c r="E145" s="36">
        <f>SUMIFS('Data - Control'!$E$5:$E$296,'Data - Control'!$A$5:$A$296,$A145,'Data - Control'!$B$5:$B$296,$B145)</f>
        <v/>
      </c>
      <c r="F145" s="36">
        <f>SUMIFS('Data - Control'!$F$5:$F$296,'Data - Control'!$A$5:$A$296,$A145,'Data - Control'!$B$5:$B$296,$B145)</f>
        <v/>
      </c>
      <c r="G145" s="36">
        <f>SUMIFS('Data - Control'!$G$5:$G$296,'Data - Control'!$A$5:$A$296,$A145,'Data - Control'!$B$5:$B$296,$B145)</f>
        <v/>
      </c>
      <c r="H145" s="36">
        <f>SUMIFS('Data - Control'!$H$5:$H$296,'Data - Control'!$A$5:$A$296,$A145,'Data - Control'!$B$5:$B$296,$B145)</f>
        <v/>
      </c>
      <c r="I145" s="57">
        <f>IFERROR($G145/$C145,0)</f>
        <v/>
      </c>
      <c r="J145" s="57">
        <f>IFERROR($H145/$D145,0)</f>
        <v/>
      </c>
      <c r="K145" s="36">
        <f>$D145*$I145</f>
        <v/>
      </c>
      <c r="L145" s="36">
        <f>$D145*($J145-$I145)</f>
        <v/>
      </c>
      <c r="M145" s="45">
        <f>IFERROR($D145/$C145-1,"")</f>
        <v/>
      </c>
    </row>
    <row r="146">
      <c r="A146" s="43" t="inlineStr">
        <is>
          <t>Molly's</t>
        </is>
      </c>
      <c r="B146" s="43" t="inlineStr">
        <is>
          <t>Molly's</t>
        </is>
      </c>
      <c r="C146" s="33">
        <f>SUMIFS('Data - Control'!$C$5:$C$296,'Data - Control'!$A$5:$A$296,$A146,'Data - Control'!$B$5:$B$296,$B146)</f>
        <v/>
      </c>
      <c r="D146" s="33">
        <f>SUMIFS('Data - Control'!$D$5:$D$296,'Data - Control'!$A$5:$A$296,$A146,'Data - Control'!$B$5:$B$296,$B146)</f>
        <v/>
      </c>
      <c r="E146" s="36">
        <f>SUMIFS('Data - Control'!$E$5:$E$296,'Data - Control'!$A$5:$A$296,$A146,'Data - Control'!$B$5:$B$296,$B146)</f>
        <v/>
      </c>
      <c r="F146" s="36">
        <f>SUMIFS('Data - Control'!$F$5:$F$296,'Data - Control'!$A$5:$A$296,$A146,'Data - Control'!$B$5:$B$296,$B146)</f>
        <v/>
      </c>
      <c r="G146" s="36">
        <f>SUMIFS('Data - Control'!$G$5:$G$296,'Data - Control'!$A$5:$A$296,$A146,'Data - Control'!$B$5:$B$296,$B146)</f>
        <v/>
      </c>
      <c r="H146" s="36">
        <f>SUMIFS('Data - Control'!$H$5:$H$296,'Data - Control'!$A$5:$A$296,$A146,'Data - Control'!$B$5:$B$296,$B146)</f>
        <v/>
      </c>
      <c r="I146" s="57">
        <f>IFERROR($G146/$C146,0)</f>
        <v/>
      </c>
      <c r="J146" s="57">
        <f>IFERROR($H146/$D146,0)</f>
        <v/>
      </c>
      <c r="K146" s="36">
        <f>$D146*$I146</f>
        <v/>
      </c>
      <c r="L146" s="36">
        <f>$D146*($J146-$I146)</f>
        <v/>
      </c>
      <c r="M146" s="45">
        <f>IFERROR($D146/$C146-1,"")</f>
        <v/>
      </c>
    </row>
    <row r="147">
      <c r="A147" s="43" t="inlineStr">
        <is>
          <t>MolsonCoors Beverage Company</t>
        </is>
      </c>
      <c r="B147" s="43" t="inlineStr">
        <is>
          <t>Aguila</t>
        </is>
      </c>
      <c r="C147" s="33">
        <f>SUMIFS('Data - Control'!$C$5:$C$296,'Data - Control'!$A$5:$A$296,$A147,'Data - Control'!$B$5:$B$296,$B147)</f>
        <v/>
      </c>
      <c r="D147" s="33">
        <f>SUMIFS('Data - Control'!$D$5:$D$296,'Data - Control'!$A$5:$A$296,$A147,'Data - Control'!$B$5:$B$296,$B147)</f>
        <v/>
      </c>
      <c r="E147" s="36">
        <f>SUMIFS('Data - Control'!$E$5:$E$296,'Data - Control'!$A$5:$A$296,$A147,'Data - Control'!$B$5:$B$296,$B147)</f>
        <v/>
      </c>
      <c r="F147" s="36">
        <f>SUMIFS('Data - Control'!$F$5:$F$296,'Data - Control'!$A$5:$A$296,$A147,'Data - Control'!$B$5:$B$296,$B147)</f>
        <v/>
      </c>
      <c r="G147" s="36">
        <f>SUMIFS('Data - Control'!$G$5:$G$296,'Data - Control'!$A$5:$A$296,$A147,'Data - Control'!$B$5:$B$296,$B147)</f>
        <v/>
      </c>
      <c r="H147" s="36">
        <f>SUMIFS('Data - Control'!$H$5:$H$296,'Data - Control'!$A$5:$A$296,$A147,'Data - Control'!$B$5:$B$296,$B147)</f>
        <v/>
      </c>
      <c r="I147" s="57">
        <f>IFERROR($G147/$C147,0)</f>
        <v/>
      </c>
      <c r="J147" s="57">
        <f>IFERROR($H147/$D147,0)</f>
        <v/>
      </c>
      <c r="K147" s="36">
        <f>$D147*$I147</f>
        <v/>
      </c>
      <c r="L147" s="36">
        <f>$D147*($J147-$I147)</f>
        <v/>
      </c>
      <c r="M147" s="45">
        <f>IFERROR($D147/$C147-1,"")</f>
        <v/>
      </c>
    </row>
    <row r="148">
      <c r="A148" s="43" t="inlineStr">
        <is>
          <t>MolsonCoors Beverage Company</t>
        </is>
      </c>
      <c r="B148" s="43" t="inlineStr">
        <is>
          <t>Arnold Palmer</t>
        </is>
      </c>
      <c r="C148" s="33">
        <f>SUMIFS('Data - Control'!$C$5:$C$296,'Data - Control'!$A$5:$A$296,$A148,'Data - Control'!$B$5:$B$296,$B148)</f>
        <v/>
      </c>
      <c r="D148" s="33">
        <f>SUMIFS('Data - Control'!$D$5:$D$296,'Data - Control'!$A$5:$A$296,$A148,'Data - Control'!$B$5:$B$296,$B148)</f>
        <v/>
      </c>
      <c r="E148" s="36">
        <f>SUMIFS('Data - Control'!$E$5:$E$296,'Data - Control'!$A$5:$A$296,$A148,'Data - Control'!$B$5:$B$296,$B148)</f>
        <v/>
      </c>
      <c r="F148" s="36">
        <f>SUMIFS('Data - Control'!$F$5:$F$296,'Data - Control'!$A$5:$A$296,$A148,'Data - Control'!$B$5:$B$296,$B148)</f>
        <v/>
      </c>
      <c r="G148" s="36">
        <f>SUMIFS('Data - Control'!$G$5:$G$296,'Data - Control'!$A$5:$A$296,$A148,'Data - Control'!$B$5:$B$296,$B148)</f>
        <v/>
      </c>
      <c r="H148" s="36">
        <f>SUMIFS('Data - Control'!$H$5:$H$296,'Data - Control'!$A$5:$A$296,$A148,'Data - Control'!$B$5:$B$296,$B148)</f>
        <v/>
      </c>
      <c r="I148" s="57">
        <f>IFERROR($G148/$C148,0)</f>
        <v/>
      </c>
      <c r="J148" s="57">
        <f>IFERROR($H148/$D148,0)</f>
        <v/>
      </c>
      <c r="K148" s="36">
        <f>$D148*$I148</f>
        <v/>
      </c>
      <c r="L148" s="36">
        <f>$D148*($J148-$I148)</f>
        <v/>
      </c>
      <c r="M148" s="45">
        <f>IFERROR($D148/$C148-1,"")</f>
        <v/>
      </c>
    </row>
    <row r="149">
      <c r="A149" s="43" t="inlineStr">
        <is>
          <t>MolsonCoors Beverage Company</t>
        </is>
      </c>
      <c r="B149" s="43" t="inlineStr">
        <is>
          <t>Coors 0.0</t>
        </is>
      </c>
      <c r="C149" s="33">
        <f>SUMIFS('Data - Control'!$C$5:$C$296,'Data - Control'!$A$5:$A$296,$A149,'Data - Control'!$B$5:$B$296,$B149)</f>
        <v/>
      </c>
      <c r="D149" s="33">
        <f>SUMIFS('Data - Control'!$D$5:$D$296,'Data - Control'!$A$5:$A$296,$A149,'Data - Control'!$B$5:$B$296,$B149)</f>
        <v/>
      </c>
      <c r="E149" s="36">
        <f>SUMIFS('Data - Control'!$E$5:$E$296,'Data - Control'!$A$5:$A$296,$A149,'Data - Control'!$B$5:$B$296,$B149)</f>
        <v/>
      </c>
      <c r="F149" s="36">
        <f>SUMIFS('Data - Control'!$F$5:$F$296,'Data - Control'!$A$5:$A$296,$A149,'Data - Control'!$B$5:$B$296,$B149)</f>
        <v/>
      </c>
      <c r="G149" s="36">
        <f>SUMIFS('Data - Control'!$G$5:$G$296,'Data - Control'!$A$5:$A$296,$A149,'Data - Control'!$B$5:$B$296,$B149)</f>
        <v/>
      </c>
      <c r="H149" s="36">
        <f>SUMIFS('Data - Control'!$H$5:$H$296,'Data - Control'!$A$5:$A$296,$A149,'Data - Control'!$B$5:$B$296,$B149)</f>
        <v/>
      </c>
      <c r="I149" s="57">
        <f>IFERROR($G149/$C149,0)</f>
        <v/>
      </c>
      <c r="J149" s="57">
        <f>IFERROR($H149/$D149,0)</f>
        <v/>
      </c>
      <c r="K149" s="36">
        <f>$D149*$I149</f>
        <v/>
      </c>
      <c r="L149" s="36">
        <f>$D149*($J149-$I149)</f>
        <v/>
      </c>
      <c r="M149" s="45">
        <f>IFERROR($D149/$C149-1,"")</f>
        <v/>
      </c>
    </row>
    <row r="150">
      <c r="A150" s="43" t="inlineStr">
        <is>
          <t>MolsonCoors Beverage Company</t>
        </is>
      </c>
      <c r="B150" s="43" t="inlineStr">
        <is>
          <t>Coors Edge</t>
        </is>
      </c>
      <c r="C150" s="33">
        <f>SUMIFS('Data - Control'!$C$5:$C$296,'Data - Control'!$A$5:$A$296,$A150,'Data - Control'!$B$5:$B$296,$B150)</f>
        <v/>
      </c>
      <c r="D150" s="33">
        <f>SUMIFS('Data - Control'!$D$5:$D$296,'Data - Control'!$A$5:$A$296,$A150,'Data - Control'!$B$5:$B$296,$B150)</f>
        <v/>
      </c>
      <c r="E150" s="36">
        <f>SUMIFS('Data - Control'!$E$5:$E$296,'Data - Control'!$A$5:$A$296,$A150,'Data - Control'!$B$5:$B$296,$B150)</f>
        <v/>
      </c>
      <c r="F150" s="36">
        <f>SUMIFS('Data - Control'!$F$5:$F$296,'Data - Control'!$A$5:$A$296,$A150,'Data - Control'!$B$5:$B$296,$B150)</f>
        <v/>
      </c>
      <c r="G150" s="36">
        <f>SUMIFS('Data - Control'!$G$5:$G$296,'Data - Control'!$A$5:$A$296,$A150,'Data - Control'!$B$5:$B$296,$B150)</f>
        <v/>
      </c>
      <c r="H150" s="36">
        <f>SUMIFS('Data - Control'!$H$5:$H$296,'Data - Control'!$A$5:$A$296,$A150,'Data - Control'!$B$5:$B$296,$B150)</f>
        <v/>
      </c>
      <c r="I150" s="57">
        <f>IFERROR($G150/$C150,0)</f>
        <v/>
      </c>
      <c r="J150" s="57">
        <f>IFERROR($H150/$D150,0)</f>
        <v/>
      </c>
      <c r="K150" s="36">
        <f>$D150*$I150</f>
        <v/>
      </c>
      <c r="L150" s="36">
        <f>$D150*($J150-$I150)</f>
        <v/>
      </c>
      <c r="M150" s="45">
        <f>IFERROR($D150/$C150-1,"")</f>
        <v/>
      </c>
    </row>
    <row r="151">
      <c r="A151" s="43" t="inlineStr">
        <is>
          <t>MolsonCoors Beverage Company</t>
        </is>
      </c>
      <c r="B151" s="43" t="inlineStr">
        <is>
          <t>Cusquena</t>
        </is>
      </c>
      <c r="C151" s="33">
        <f>SUMIFS('Data - Control'!$C$5:$C$296,'Data - Control'!$A$5:$A$296,$A151,'Data - Control'!$B$5:$B$296,$B151)</f>
        <v/>
      </c>
      <c r="D151" s="33">
        <f>SUMIFS('Data - Control'!$D$5:$D$296,'Data - Control'!$A$5:$A$296,$A151,'Data - Control'!$B$5:$B$296,$B151)</f>
        <v/>
      </c>
      <c r="E151" s="36">
        <f>SUMIFS('Data - Control'!$E$5:$E$296,'Data - Control'!$A$5:$A$296,$A151,'Data - Control'!$B$5:$B$296,$B151)</f>
        <v/>
      </c>
      <c r="F151" s="36">
        <f>SUMIFS('Data - Control'!$F$5:$F$296,'Data - Control'!$A$5:$A$296,$A151,'Data - Control'!$B$5:$B$296,$B151)</f>
        <v/>
      </c>
      <c r="G151" s="36">
        <f>SUMIFS('Data - Control'!$G$5:$G$296,'Data - Control'!$A$5:$A$296,$A151,'Data - Control'!$B$5:$B$296,$B151)</f>
        <v/>
      </c>
      <c r="H151" s="36">
        <f>SUMIFS('Data - Control'!$H$5:$H$296,'Data - Control'!$A$5:$A$296,$A151,'Data - Control'!$B$5:$B$296,$B151)</f>
        <v/>
      </c>
      <c r="I151" s="57">
        <f>IFERROR($G151/$C151,0)</f>
        <v/>
      </c>
      <c r="J151" s="57">
        <f>IFERROR($H151/$D151,0)</f>
        <v/>
      </c>
      <c r="K151" s="36">
        <f>$D151*$I151</f>
        <v/>
      </c>
      <c r="L151" s="36">
        <f>$D151*($J151-$I151)</f>
        <v/>
      </c>
      <c r="M151" s="45">
        <f>IFERROR($D151/$C151-1,"")</f>
        <v/>
      </c>
    </row>
    <row r="152">
      <c r="A152" s="43" t="inlineStr">
        <is>
          <t>MolsonCoors Beverage Company</t>
        </is>
      </c>
      <c r="B152" s="43" t="inlineStr">
        <is>
          <t>Fosters</t>
        </is>
      </c>
      <c r="C152" s="33">
        <f>SUMIFS('Data - Control'!$C$5:$C$296,'Data - Control'!$A$5:$A$296,$A152,'Data - Control'!$B$5:$B$296,$B152)</f>
        <v/>
      </c>
      <c r="D152" s="33">
        <f>SUMIFS('Data - Control'!$D$5:$D$296,'Data - Control'!$A$5:$A$296,$A152,'Data - Control'!$B$5:$B$296,$B152)</f>
        <v/>
      </c>
      <c r="E152" s="36">
        <f>SUMIFS('Data - Control'!$E$5:$E$296,'Data - Control'!$A$5:$A$296,$A152,'Data - Control'!$B$5:$B$296,$B152)</f>
        <v/>
      </c>
      <c r="F152" s="36">
        <f>SUMIFS('Data - Control'!$F$5:$F$296,'Data - Control'!$A$5:$A$296,$A152,'Data - Control'!$B$5:$B$296,$B152)</f>
        <v/>
      </c>
      <c r="G152" s="36">
        <f>SUMIFS('Data - Control'!$G$5:$G$296,'Data - Control'!$A$5:$A$296,$A152,'Data - Control'!$B$5:$B$296,$B152)</f>
        <v/>
      </c>
      <c r="H152" s="36">
        <f>SUMIFS('Data - Control'!$H$5:$H$296,'Data - Control'!$A$5:$A$296,$A152,'Data - Control'!$B$5:$B$296,$B152)</f>
        <v/>
      </c>
      <c r="I152" s="57">
        <f>IFERROR($G152/$C152,0)</f>
        <v/>
      </c>
      <c r="J152" s="57">
        <f>IFERROR($H152/$D152,0)</f>
        <v/>
      </c>
      <c r="K152" s="36">
        <f>$D152*$I152</f>
        <v/>
      </c>
      <c r="L152" s="36">
        <f>$D152*($J152-$I152)</f>
        <v/>
      </c>
      <c r="M152" s="45">
        <f>IFERROR($D152/$C152-1,"")</f>
        <v/>
      </c>
    </row>
    <row r="153">
      <c r="A153" s="43" t="inlineStr">
        <is>
          <t>MolsonCoors Beverage Company</t>
        </is>
      </c>
      <c r="B153" s="43" t="inlineStr">
        <is>
          <t>George Killian's</t>
        </is>
      </c>
      <c r="C153" s="33">
        <f>SUMIFS('Data - Control'!$C$5:$C$296,'Data - Control'!$A$5:$A$296,$A153,'Data - Control'!$B$5:$B$296,$B153)</f>
        <v/>
      </c>
      <c r="D153" s="33">
        <f>SUMIFS('Data - Control'!$D$5:$D$296,'Data - Control'!$A$5:$A$296,$A153,'Data - Control'!$B$5:$B$296,$B153)</f>
        <v/>
      </c>
      <c r="E153" s="36">
        <f>SUMIFS('Data - Control'!$E$5:$E$296,'Data - Control'!$A$5:$A$296,$A153,'Data - Control'!$B$5:$B$296,$B153)</f>
        <v/>
      </c>
      <c r="F153" s="36">
        <f>SUMIFS('Data - Control'!$F$5:$F$296,'Data - Control'!$A$5:$A$296,$A153,'Data - Control'!$B$5:$B$296,$B153)</f>
        <v/>
      </c>
      <c r="G153" s="36">
        <f>SUMIFS('Data - Control'!$G$5:$G$296,'Data - Control'!$A$5:$A$296,$A153,'Data - Control'!$B$5:$B$296,$B153)</f>
        <v/>
      </c>
      <c r="H153" s="36">
        <f>SUMIFS('Data - Control'!$H$5:$H$296,'Data - Control'!$A$5:$A$296,$A153,'Data - Control'!$B$5:$B$296,$B153)</f>
        <v/>
      </c>
      <c r="I153" s="57">
        <f>IFERROR($G153/$C153,0)</f>
        <v/>
      </c>
      <c r="J153" s="57">
        <f>IFERROR($H153/$D153,0)</f>
        <v/>
      </c>
      <c r="K153" s="36">
        <f>$D153*$I153</f>
        <v/>
      </c>
      <c r="L153" s="36">
        <f>$D153*($J153-$I153)</f>
        <v/>
      </c>
      <c r="M153" s="45">
        <f>IFERROR($D153/$C153-1,"")</f>
        <v/>
      </c>
    </row>
    <row r="154">
      <c r="A154" s="43" t="inlineStr">
        <is>
          <t>MolsonCoors Beverage Company</t>
        </is>
      </c>
      <c r="B154" s="43" t="inlineStr">
        <is>
          <t>Grolsch</t>
        </is>
      </c>
      <c r="C154" s="33">
        <f>SUMIFS('Data - Control'!$C$5:$C$296,'Data - Control'!$A$5:$A$296,$A154,'Data - Control'!$B$5:$B$296,$B154)</f>
        <v/>
      </c>
      <c r="D154" s="33">
        <f>SUMIFS('Data - Control'!$D$5:$D$296,'Data - Control'!$A$5:$A$296,$A154,'Data - Control'!$B$5:$B$296,$B154)</f>
        <v/>
      </c>
      <c r="E154" s="36">
        <f>SUMIFS('Data - Control'!$E$5:$E$296,'Data - Control'!$A$5:$A$296,$A154,'Data - Control'!$B$5:$B$296,$B154)</f>
        <v/>
      </c>
      <c r="F154" s="36">
        <f>SUMIFS('Data - Control'!$F$5:$F$296,'Data - Control'!$A$5:$A$296,$A154,'Data - Control'!$B$5:$B$296,$B154)</f>
        <v/>
      </c>
      <c r="G154" s="36">
        <f>SUMIFS('Data - Control'!$G$5:$G$296,'Data - Control'!$A$5:$A$296,$A154,'Data - Control'!$B$5:$B$296,$B154)</f>
        <v/>
      </c>
      <c r="H154" s="36">
        <f>SUMIFS('Data - Control'!$H$5:$H$296,'Data - Control'!$A$5:$A$296,$A154,'Data - Control'!$B$5:$B$296,$B154)</f>
        <v/>
      </c>
      <c r="I154" s="57">
        <f>IFERROR($G154/$C154,0)</f>
        <v/>
      </c>
      <c r="J154" s="57">
        <f>IFERROR($H154/$D154,0)</f>
        <v/>
      </c>
      <c r="K154" s="36">
        <f>$D154*$I154</f>
        <v/>
      </c>
      <c r="L154" s="36">
        <f>$D154*($J154-$I154)</f>
        <v/>
      </c>
      <c r="M154" s="45">
        <f>IFERROR($D154/$C154-1,"")</f>
        <v/>
      </c>
    </row>
    <row r="155">
      <c r="A155" s="43" t="inlineStr">
        <is>
          <t>MolsonCoors Beverage Company</t>
        </is>
      </c>
      <c r="B155" s="43" t="inlineStr">
        <is>
          <t>Hamm's</t>
        </is>
      </c>
      <c r="C155" s="33">
        <f>SUMIFS('Data - Control'!$C$5:$C$296,'Data - Control'!$A$5:$A$296,$A155,'Data - Control'!$B$5:$B$296,$B155)</f>
        <v/>
      </c>
      <c r="D155" s="33">
        <f>SUMIFS('Data - Control'!$D$5:$D$296,'Data - Control'!$A$5:$A$296,$A155,'Data - Control'!$B$5:$B$296,$B155)</f>
        <v/>
      </c>
      <c r="E155" s="36">
        <f>SUMIFS('Data - Control'!$E$5:$E$296,'Data - Control'!$A$5:$A$296,$A155,'Data - Control'!$B$5:$B$296,$B155)</f>
        <v/>
      </c>
      <c r="F155" s="36">
        <f>SUMIFS('Data - Control'!$F$5:$F$296,'Data - Control'!$A$5:$A$296,$A155,'Data - Control'!$B$5:$B$296,$B155)</f>
        <v/>
      </c>
      <c r="G155" s="36">
        <f>SUMIFS('Data - Control'!$G$5:$G$296,'Data - Control'!$A$5:$A$296,$A155,'Data - Control'!$B$5:$B$296,$B155)</f>
        <v/>
      </c>
      <c r="H155" s="36">
        <f>SUMIFS('Data - Control'!$H$5:$H$296,'Data - Control'!$A$5:$A$296,$A155,'Data - Control'!$B$5:$B$296,$B155)</f>
        <v/>
      </c>
      <c r="I155" s="57">
        <f>IFERROR($G155/$C155,0)</f>
        <v/>
      </c>
      <c r="J155" s="57">
        <f>IFERROR($H155/$D155,0)</f>
        <v/>
      </c>
      <c r="K155" s="36">
        <f>$D155*$I155</f>
        <v/>
      </c>
      <c r="L155" s="36">
        <f>$D155*($J155-$I155)</f>
        <v/>
      </c>
      <c r="M155" s="45">
        <f>IFERROR($D155/$C155-1,"")</f>
        <v/>
      </c>
    </row>
    <row r="156">
      <c r="A156" s="43" t="inlineStr">
        <is>
          <t>MolsonCoors Beverage Company</t>
        </is>
      </c>
      <c r="B156" s="43" t="inlineStr">
        <is>
          <t>Happy Thursday Spiked Refresher</t>
        </is>
      </c>
      <c r="C156" s="33">
        <f>SUMIFS('Data - Control'!$C$5:$C$296,'Data - Control'!$A$5:$A$296,$A156,'Data - Control'!$B$5:$B$296,$B156)</f>
        <v/>
      </c>
      <c r="D156" s="33">
        <f>SUMIFS('Data - Control'!$D$5:$D$296,'Data - Control'!$A$5:$A$296,$A156,'Data - Control'!$B$5:$B$296,$B156)</f>
        <v/>
      </c>
      <c r="E156" s="36">
        <f>SUMIFS('Data - Control'!$E$5:$E$296,'Data - Control'!$A$5:$A$296,$A156,'Data - Control'!$B$5:$B$296,$B156)</f>
        <v/>
      </c>
      <c r="F156" s="36">
        <f>SUMIFS('Data - Control'!$F$5:$F$296,'Data - Control'!$A$5:$A$296,$A156,'Data - Control'!$B$5:$B$296,$B156)</f>
        <v/>
      </c>
      <c r="G156" s="36">
        <f>SUMIFS('Data - Control'!$G$5:$G$296,'Data - Control'!$A$5:$A$296,$A156,'Data - Control'!$B$5:$B$296,$B156)</f>
        <v/>
      </c>
      <c r="H156" s="36">
        <f>SUMIFS('Data - Control'!$H$5:$H$296,'Data - Control'!$A$5:$A$296,$A156,'Data - Control'!$B$5:$B$296,$B156)</f>
        <v/>
      </c>
      <c r="I156" s="57">
        <f>IFERROR($G156/$C156,0)</f>
        <v/>
      </c>
      <c r="J156" s="57">
        <f>IFERROR($H156/$D156,0)</f>
        <v/>
      </c>
      <c r="K156" s="36">
        <f>$D156*$I156</f>
        <v/>
      </c>
      <c r="L156" s="36">
        <f>$D156*($J156-$I156)</f>
        <v/>
      </c>
      <c r="M156" s="45">
        <f>IFERROR($D156/$C156-1,"")</f>
        <v/>
      </c>
    </row>
    <row r="157">
      <c r="A157" s="43" t="inlineStr">
        <is>
          <t>MolsonCoors Beverage Company</t>
        </is>
      </c>
      <c r="B157" s="43" t="inlineStr">
        <is>
          <t>Keystone</t>
        </is>
      </c>
      <c r="C157" s="33">
        <f>SUMIFS('Data - Control'!$C$5:$C$296,'Data - Control'!$A$5:$A$296,$A157,'Data - Control'!$B$5:$B$296,$B157)</f>
        <v/>
      </c>
      <c r="D157" s="33">
        <f>SUMIFS('Data - Control'!$D$5:$D$296,'Data - Control'!$A$5:$A$296,$A157,'Data - Control'!$B$5:$B$296,$B157)</f>
        <v/>
      </c>
      <c r="E157" s="36">
        <f>SUMIFS('Data - Control'!$E$5:$E$296,'Data - Control'!$A$5:$A$296,$A157,'Data - Control'!$B$5:$B$296,$B157)</f>
        <v/>
      </c>
      <c r="F157" s="36">
        <f>SUMIFS('Data - Control'!$F$5:$F$296,'Data - Control'!$A$5:$A$296,$A157,'Data - Control'!$B$5:$B$296,$B157)</f>
        <v/>
      </c>
      <c r="G157" s="36">
        <f>SUMIFS('Data - Control'!$G$5:$G$296,'Data - Control'!$A$5:$A$296,$A157,'Data - Control'!$B$5:$B$296,$B157)</f>
        <v/>
      </c>
      <c r="H157" s="36">
        <f>SUMIFS('Data - Control'!$H$5:$H$296,'Data - Control'!$A$5:$A$296,$A157,'Data - Control'!$B$5:$B$296,$B157)</f>
        <v/>
      </c>
      <c r="I157" s="57">
        <f>IFERROR($G157/$C157,0)</f>
        <v/>
      </c>
      <c r="J157" s="57">
        <f>IFERROR($H157/$D157,0)</f>
        <v/>
      </c>
      <c r="K157" s="36">
        <f>$D157*$I157</f>
        <v/>
      </c>
      <c r="L157" s="36">
        <f>$D157*($J157-$I157)</f>
        <v/>
      </c>
      <c r="M157" s="45">
        <f>IFERROR($D157/$C157-1,"")</f>
        <v/>
      </c>
    </row>
    <row r="158">
      <c r="A158" s="43" t="inlineStr">
        <is>
          <t>MolsonCoors Beverage Company</t>
        </is>
      </c>
      <c r="B158" s="43" t="inlineStr">
        <is>
          <t>Leinenkugel</t>
        </is>
      </c>
      <c r="C158" s="33">
        <f>SUMIFS('Data - Control'!$C$5:$C$296,'Data - Control'!$A$5:$A$296,$A158,'Data - Control'!$B$5:$B$296,$B158)</f>
        <v/>
      </c>
      <c r="D158" s="33">
        <f>SUMIFS('Data - Control'!$D$5:$D$296,'Data - Control'!$A$5:$A$296,$A158,'Data - Control'!$B$5:$B$296,$B158)</f>
        <v/>
      </c>
      <c r="E158" s="36">
        <f>SUMIFS('Data - Control'!$E$5:$E$296,'Data - Control'!$A$5:$A$296,$A158,'Data - Control'!$B$5:$B$296,$B158)</f>
        <v/>
      </c>
      <c r="F158" s="36">
        <f>SUMIFS('Data - Control'!$F$5:$F$296,'Data - Control'!$A$5:$A$296,$A158,'Data - Control'!$B$5:$B$296,$B158)</f>
        <v/>
      </c>
      <c r="G158" s="36">
        <f>SUMIFS('Data - Control'!$G$5:$G$296,'Data - Control'!$A$5:$A$296,$A158,'Data - Control'!$B$5:$B$296,$B158)</f>
        <v/>
      </c>
      <c r="H158" s="36">
        <f>SUMIFS('Data - Control'!$H$5:$H$296,'Data - Control'!$A$5:$A$296,$A158,'Data - Control'!$B$5:$B$296,$B158)</f>
        <v/>
      </c>
      <c r="I158" s="57">
        <f>IFERROR($G158/$C158,0)</f>
        <v/>
      </c>
      <c r="J158" s="57">
        <f>IFERROR($H158/$D158,0)</f>
        <v/>
      </c>
      <c r="K158" s="36">
        <f>$D158*$I158</f>
        <v/>
      </c>
      <c r="L158" s="36">
        <f>$D158*($J158-$I158)</f>
        <v/>
      </c>
      <c r="M158" s="45">
        <f>IFERROR($D158/$C158-1,"")</f>
        <v/>
      </c>
    </row>
    <row r="159">
      <c r="A159" s="43" t="inlineStr">
        <is>
          <t>MolsonCoors Beverage Company</t>
        </is>
      </c>
      <c r="B159" s="43" t="inlineStr">
        <is>
          <t>Miller Extra Light</t>
        </is>
      </c>
      <c r="C159" s="33">
        <f>SUMIFS('Data - Control'!$C$5:$C$296,'Data - Control'!$A$5:$A$296,$A159,'Data - Control'!$B$5:$B$296,$B159)</f>
        <v/>
      </c>
      <c r="D159" s="33">
        <f>SUMIFS('Data - Control'!$D$5:$D$296,'Data - Control'!$A$5:$A$296,$A159,'Data - Control'!$B$5:$B$296,$B159)</f>
        <v/>
      </c>
      <c r="E159" s="36">
        <f>SUMIFS('Data - Control'!$E$5:$E$296,'Data - Control'!$A$5:$A$296,$A159,'Data - Control'!$B$5:$B$296,$B159)</f>
        <v/>
      </c>
      <c r="F159" s="36">
        <f>SUMIFS('Data - Control'!$F$5:$F$296,'Data - Control'!$A$5:$A$296,$A159,'Data - Control'!$B$5:$B$296,$B159)</f>
        <v/>
      </c>
      <c r="G159" s="36">
        <f>SUMIFS('Data - Control'!$G$5:$G$296,'Data - Control'!$A$5:$A$296,$A159,'Data - Control'!$B$5:$B$296,$B159)</f>
        <v/>
      </c>
      <c r="H159" s="36">
        <f>SUMIFS('Data - Control'!$H$5:$H$296,'Data - Control'!$A$5:$A$296,$A159,'Data - Control'!$B$5:$B$296,$B159)</f>
        <v/>
      </c>
      <c r="I159" s="57">
        <f>IFERROR($G159/$C159,0)</f>
        <v/>
      </c>
      <c r="J159" s="57">
        <f>IFERROR($H159/$D159,0)</f>
        <v/>
      </c>
      <c r="K159" s="36">
        <f>$D159*$I159</f>
        <v/>
      </c>
      <c r="L159" s="36">
        <f>$D159*($J159-$I159)</f>
        <v/>
      </c>
      <c r="M159" s="45">
        <f>IFERROR($D159/$C159-1,"")</f>
        <v/>
      </c>
    </row>
    <row r="160">
      <c r="A160" s="43" t="inlineStr">
        <is>
          <t>MolsonCoors Beverage Company</t>
        </is>
      </c>
      <c r="B160" s="43" t="inlineStr">
        <is>
          <t>Miller Genuine Draft</t>
        </is>
      </c>
      <c r="C160" s="33">
        <f>SUMIFS('Data - Control'!$C$5:$C$296,'Data - Control'!$A$5:$A$296,$A160,'Data - Control'!$B$5:$B$296,$B160)</f>
        <v/>
      </c>
      <c r="D160" s="33">
        <f>SUMIFS('Data - Control'!$D$5:$D$296,'Data - Control'!$A$5:$A$296,$A160,'Data - Control'!$B$5:$B$296,$B160)</f>
        <v/>
      </c>
      <c r="E160" s="36">
        <f>SUMIFS('Data - Control'!$E$5:$E$296,'Data - Control'!$A$5:$A$296,$A160,'Data - Control'!$B$5:$B$296,$B160)</f>
        <v/>
      </c>
      <c r="F160" s="36">
        <f>SUMIFS('Data - Control'!$F$5:$F$296,'Data - Control'!$A$5:$A$296,$A160,'Data - Control'!$B$5:$B$296,$B160)</f>
        <v/>
      </c>
      <c r="G160" s="36">
        <f>SUMIFS('Data - Control'!$G$5:$G$296,'Data - Control'!$A$5:$A$296,$A160,'Data - Control'!$B$5:$B$296,$B160)</f>
        <v/>
      </c>
      <c r="H160" s="36">
        <f>SUMIFS('Data - Control'!$H$5:$H$296,'Data - Control'!$A$5:$A$296,$A160,'Data - Control'!$B$5:$B$296,$B160)</f>
        <v/>
      </c>
      <c r="I160" s="57">
        <f>IFERROR($G160/$C160,0)</f>
        <v/>
      </c>
      <c r="J160" s="57">
        <f>IFERROR($H160/$D160,0)</f>
        <v/>
      </c>
      <c r="K160" s="36">
        <f>$D160*$I160</f>
        <v/>
      </c>
      <c r="L160" s="36">
        <f>$D160*($J160-$I160)</f>
        <v/>
      </c>
      <c r="M160" s="45">
        <f>IFERROR($D160/$C160-1,"")</f>
        <v/>
      </c>
    </row>
    <row r="161">
      <c r="A161" s="43" t="inlineStr">
        <is>
          <t>MolsonCoors Beverage Company</t>
        </is>
      </c>
      <c r="B161" s="43" t="inlineStr">
        <is>
          <t>Miller High Life</t>
        </is>
      </c>
      <c r="C161" s="33">
        <f>SUMIFS('Data - Control'!$C$5:$C$296,'Data - Control'!$A$5:$A$296,$A161,'Data - Control'!$B$5:$B$296,$B161)</f>
        <v/>
      </c>
      <c r="D161" s="33">
        <f>SUMIFS('Data - Control'!$D$5:$D$296,'Data - Control'!$A$5:$A$296,$A161,'Data - Control'!$B$5:$B$296,$B161)</f>
        <v/>
      </c>
      <c r="E161" s="36">
        <f>SUMIFS('Data - Control'!$E$5:$E$296,'Data - Control'!$A$5:$A$296,$A161,'Data - Control'!$B$5:$B$296,$B161)</f>
        <v/>
      </c>
      <c r="F161" s="36">
        <f>SUMIFS('Data - Control'!$F$5:$F$296,'Data - Control'!$A$5:$A$296,$A161,'Data - Control'!$B$5:$B$296,$B161)</f>
        <v/>
      </c>
      <c r="G161" s="36">
        <f>SUMIFS('Data - Control'!$G$5:$G$296,'Data - Control'!$A$5:$A$296,$A161,'Data - Control'!$B$5:$B$296,$B161)</f>
        <v/>
      </c>
      <c r="H161" s="36">
        <f>SUMIFS('Data - Control'!$H$5:$H$296,'Data - Control'!$A$5:$A$296,$A161,'Data - Control'!$B$5:$B$296,$B161)</f>
        <v/>
      </c>
      <c r="I161" s="57">
        <f>IFERROR($G161/$C161,0)</f>
        <v/>
      </c>
      <c r="J161" s="57">
        <f>IFERROR($H161/$D161,0)</f>
        <v/>
      </c>
      <c r="K161" s="36">
        <f>$D161*$I161</f>
        <v/>
      </c>
      <c r="L161" s="36">
        <f>$D161*($J161-$I161)</f>
        <v/>
      </c>
      <c r="M161" s="45">
        <f>IFERROR($D161/$C161-1,"")</f>
        <v/>
      </c>
    </row>
    <row r="162">
      <c r="A162" s="43" t="inlineStr">
        <is>
          <t>MolsonCoors Beverage Company</t>
        </is>
      </c>
      <c r="B162" s="43" t="inlineStr">
        <is>
          <t>Milwaukee's Best Ice</t>
        </is>
      </c>
      <c r="C162" s="33">
        <f>SUMIFS('Data - Control'!$C$5:$C$296,'Data - Control'!$A$5:$A$296,$A162,'Data - Control'!$B$5:$B$296,$B162)</f>
        <v/>
      </c>
      <c r="D162" s="33">
        <f>SUMIFS('Data - Control'!$D$5:$D$296,'Data - Control'!$A$5:$A$296,$A162,'Data - Control'!$B$5:$B$296,$B162)</f>
        <v/>
      </c>
      <c r="E162" s="36">
        <f>SUMIFS('Data - Control'!$E$5:$E$296,'Data - Control'!$A$5:$A$296,$A162,'Data - Control'!$B$5:$B$296,$B162)</f>
        <v/>
      </c>
      <c r="F162" s="36">
        <f>SUMIFS('Data - Control'!$F$5:$F$296,'Data - Control'!$A$5:$A$296,$A162,'Data - Control'!$B$5:$B$296,$B162)</f>
        <v/>
      </c>
      <c r="G162" s="36">
        <f>SUMIFS('Data - Control'!$G$5:$G$296,'Data - Control'!$A$5:$A$296,$A162,'Data - Control'!$B$5:$B$296,$B162)</f>
        <v/>
      </c>
      <c r="H162" s="36">
        <f>SUMIFS('Data - Control'!$H$5:$H$296,'Data - Control'!$A$5:$A$296,$A162,'Data - Control'!$B$5:$B$296,$B162)</f>
        <v/>
      </c>
      <c r="I162" s="57">
        <f>IFERROR($G162/$C162,0)</f>
        <v/>
      </c>
      <c r="J162" s="57">
        <f>IFERROR($H162/$D162,0)</f>
        <v/>
      </c>
      <c r="K162" s="36">
        <f>$D162*$I162</f>
        <v/>
      </c>
      <c r="L162" s="36">
        <f>$D162*($J162-$I162)</f>
        <v/>
      </c>
      <c r="M162" s="45">
        <f>IFERROR($D162/$C162-1,"")</f>
        <v/>
      </c>
    </row>
    <row r="163">
      <c r="A163" s="43" t="inlineStr">
        <is>
          <t>MolsonCoors Beverage Company</t>
        </is>
      </c>
      <c r="B163" s="43" t="inlineStr">
        <is>
          <t>Milwaukee's Best Light</t>
        </is>
      </c>
      <c r="C163" s="33">
        <f>SUMIFS('Data - Control'!$C$5:$C$296,'Data - Control'!$A$5:$A$296,$A163,'Data - Control'!$B$5:$B$296,$B163)</f>
        <v/>
      </c>
      <c r="D163" s="33">
        <f>SUMIFS('Data - Control'!$D$5:$D$296,'Data - Control'!$A$5:$A$296,$A163,'Data - Control'!$B$5:$B$296,$B163)</f>
        <v/>
      </c>
      <c r="E163" s="36">
        <f>SUMIFS('Data - Control'!$E$5:$E$296,'Data - Control'!$A$5:$A$296,$A163,'Data - Control'!$B$5:$B$296,$B163)</f>
        <v/>
      </c>
      <c r="F163" s="36">
        <f>SUMIFS('Data - Control'!$F$5:$F$296,'Data - Control'!$A$5:$A$296,$A163,'Data - Control'!$B$5:$B$296,$B163)</f>
        <v/>
      </c>
      <c r="G163" s="36">
        <f>SUMIFS('Data - Control'!$G$5:$G$296,'Data - Control'!$A$5:$A$296,$A163,'Data - Control'!$B$5:$B$296,$B163)</f>
        <v/>
      </c>
      <c r="H163" s="36">
        <f>SUMIFS('Data - Control'!$H$5:$H$296,'Data - Control'!$A$5:$A$296,$A163,'Data - Control'!$B$5:$B$296,$B163)</f>
        <v/>
      </c>
      <c r="I163" s="57">
        <f>IFERROR($G163/$C163,0)</f>
        <v/>
      </c>
      <c r="J163" s="57">
        <f>IFERROR($H163/$D163,0)</f>
        <v/>
      </c>
      <c r="K163" s="36">
        <f>$D163*$I163</f>
        <v/>
      </c>
      <c r="L163" s="36">
        <f>$D163*($J163-$I163)</f>
        <v/>
      </c>
      <c r="M163" s="45">
        <f>IFERROR($D163/$C163-1,"")</f>
        <v/>
      </c>
    </row>
    <row r="164">
      <c r="A164" s="43" t="inlineStr">
        <is>
          <t>MolsonCoors Beverage Company</t>
        </is>
      </c>
      <c r="B164" s="43" t="inlineStr">
        <is>
          <t>Molson</t>
        </is>
      </c>
      <c r="C164" s="33">
        <f>SUMIFS('Data - Control'!$C$5:$C$296,'Data - Control'!$A$5:$A$296,$A164,'Data - Control'!$B$5:$B$296,$B164)</f>
        <v/>
      </c>
      <c r="D164" s="33">
        <f>SUMIFS('Data - Control'!$D$5:$D$296,'Data - Control'!$A$5:$A$296,$A164,'Data - Control'!$B$5:$B$296,$B164)</f>
        <v/>
      </c>
      <c r="E164" s="36">
        <f>SUMIFS('Data - Control'!$E$5:$E$296,'Data - Control'!$A$5:$A$296,$A164,'Data - Control'!$B$5:$B$296,$B164)</f>
        <v/>
      </c>
      <c r="F164" s="36">
        <f>SUMIFS('Data - Control'!$F$5:$F$296,'Data - Control'!$A$5:$A$296,$A164,'Data - Control'!$B$5:$B$296,$B164)</f>
        <v/>
      </c>
      <c r="G164" s="36">
        <f>SUMIFS('Data - Control'!$G$5:$G$296,'Data - Control'!$A$5:$A$296,$A164,'Data - Control'!$B$5:$B$296,$B164)</f>
        <v/>
      </c>
      <c r="H164" s="36">
        <f>SUMIFS('Data - Control'!$H$5:$H$296,'Data - Control'!$A$5:$A$296,$A164,'Data - Control'!$B$5:$B$296,$B164)</f>
        <v/>
      </c>
      <c r="I164" s="57">
        <f>IFERROR($G164/$C164,0)</f>
        <v/>
      </c>
      <c r="J164" s="57">
        <f>IFERROR($H164/$D164,0)</f>
        <v/>
      </c>
      <c r="K164" s="36">
        <f>$D164*$I164</f>
        <v/>
      </c>
      <c r="L164" s="36">
        <f>$D164*($J164-$I164)</f>
        <v/>
      </c>
      <c r="M164" s="45">
        <f>IFERROR($D164/$C164-1,"")</f>
        <v/>
      </c>
    </row>
    <row r="165">
      <c r="A165" s="43" t="inlineStr">
        <is>
          <t>MolsonCoors Beverage Company</t>
        </is>
      </c>
      <c r="B165" s="43" t="inlineStr">
        <is>
          <t>Monaco</t>
        </is>
      </c>
      <c r="C165" s="33">
        <f>SUMIFS('Data - Control'!$C$5:$C$296,'Data - Control'!$A$5:$A$296,$A165,'Data - Control'!$B$5:$B$296,$B165)</f>
        <v/>
      </c>
      <c r="D165" s="33">
        <f>SUMIFS('Data - Control'!$D$5:$D$296,'Data - Control'!$A$5:$A$296,$A165,'Data - Control'!$B$5:$B$296,$B165)</f>
        <v/>
      </c>
      <c r="E165" s="36">
        <f>SUMIFS('Data - Control'!$E$5:$E$296,'Data - Control'!$A$5:$A$296,$A165,'Data - Control'!$B$5:$B$296,$B165)</f>
        <v/>
      </c>
      <c r="F165" s="36">
        <f>SUMIFS('Data - Control'!$F$5:$F$296,'Data - Control'!$A$5:$A$296,$A165,'Data - Control'!$B$5:$B$296,$B165)</f>
        <v/>
      </c>
      <c r="G165" s="36">
        <f>SUMIFS('Data - Control'!$G$5:$G$296,'Data - Control'!$A$5:$A$296,$A165,'Data - Control'!$B$5:$B$296,$B165)</f>
        <v/>
      </c>
      <c r="H165" s="36">
        <f>SUMIFS('Data - Control'!$H$5:$H$296,'Data - Control'!$A$5:$A$296,$A165,'Data - Control'!$B$5:$B$296,$B165)</f>
        <v/>
      </c>
      <c r="I165" s="57">
        <f>IFERROR($G165/$C165,0)</f>
        <v/>
      </c>
      <c r="J165" s="57">
        <f>IFERROR($H165/$D165,0)</f>
        <v/>
      </c>
      <c r="K165" s="36">
        <f>$D165*$I165</f>
        <v/>
      </c>
      <c r="L165" s="36">
        <f>$D165*($J165-$I165)</f>
        <v/>
      </c>
      <c r="M165" s="45">
        <f>IFERROR($D165/$C165-1,"")</f>
        <v/>
      </c>
    </row>
    <row r="166">
      <c r="A166" s="43" t="inlineStr">
        <is>
          <t>MolsonCoors Beverage Company</t>
        </is>
      </c>
      <c r="B166" s="43" t="inlineStr">
        <is>
          <t>NaKed Life</t>
        </is>
      </c>
      <c r="C166" s="33">
        <f>SUMIFS('Data - Control'!$C$5:$C$296,'Data - Control'!$A$5:$A$296,$A166,'Data - Control'!$B$5:$B$296,$B166)</f>
        <v/>
      </c>
      <c r="D166" s="33">
        <f>SUMIFS('Data - Control'!$D$5:$D$296,'Data - Control'!$A$5:$A$296,$A166,'Data - Control'!$B$5:$B$296,$B166)</f>
        <v/>
      </c>
      <c r="E166" s="36">
        <f>SUMIFS('Data - Control'!$E$5:$E$296,'Data - Control'!$A$5:$A$296,$A166,'Data - Control'!$B$5:$B$296,$B166)</f>
        <v/>
      </c>
      <c r="F166" s="36">
        <f>SUMIFS('Data - Control'!$F$5:$F$296,'Data - Control'!$A$5:$A$296,$A166,'Data - Control'!$B$5:$B$296,$B166)</f>
        <v/>
      </c>
      <c r="G166" s="36">
        <f>SUMIFS('Data - Control'!$G$5:$G$296,'Data - Control'!$A$5:$A$296,$A166,'Data - Control'!$B$5:$B$296,$B166)</f>
        <v/>
      </c>
      <c r="H166" s="36">
        <f>SUMIFS('Data - Control'!$H$5:$H$296,'Data - Control'!$A$5:$A$296,$A166,'Data - Control'!$B$5:$B$296,$B166)</f>
        <v/>
      </c>
      <c r="I166" s="57">
        <f>IFERROR($G166/$C166,0)</f>
        <v/>
      </c>
      <c r="J166" s="57">
        <f>IFERROR($H166/$D166,0)</f>
        <v/>
      </c>
      <c r="K166" s="36">
        <f>$D166*$I166</f>
        <v/>
      </c>
      <c r="L166" s="36">
        <f>$D166*($J166-$I166)</f>
        <v/>
      </c>
      <c r="M166" s="45">
        <f>IFERROR($D166/$C166-1,"")</f>
        <v/>
      </c>
    </row>
    <row r="167">
      <c r="A167" s="43" t="inlineStr">
        <is>
          <t>MolsonCoors Beverage Company</t>
        </is>
      </c>
      <c r="B167" s="43" t="inlineStr">
        <is>
          <t>Old English</t>
        </is>
      </c>
      <c r="C167" s="33">
        <f>SUMIFS('Data - Control'!$C$5:$C$296,'Data - Control'!$A$5:$A$296,$A167,'Data - Control'!$B$5:$B$296,$B167)</f>
        <v/>
      </c>
      <c r="D167" s="33">
        <f>SUMIFS('Data - Control'!$D$5:$D$296,'Data - Control'!$A$5:$A$296,$A167,'Data - Control'!$B$5:$B$296,$B167)</f>
        <v/>
      </c>
      <c r="E167" s="36">
        <f>SUMIFS('Data - Control'!$E$5:$E$296,'Data - Control'!$A$5:$A$296,$A167,'Data - Control'!$B$5:$B$296,$B167)</f>
        <v/>
      </c>
      <c r="F167" s="36">
        <f>SUMIFS('Data - Control'!$F$5:$F$296,'Data - Control'!$A$5:$A$296,$A167,'Data - Control'!$B$5:$B$296,$B167)</f>
        <v/>
      </c>
      <c r="G167" s="36">
        <f>SUMIFS('Data - Control'!$G$5:$G$296,'Data - Control'!$A$5:$A$296,$A167,'Data - Control'!$B$5:$B$296,$B167)</f>
        <v/>
      </c>
      <c r="H167" s="36">
        <f>SUMIFS('Data - Control'!$H$5:$H$296,'Data - Control'!$A$5:$A$296,$A167,'Data - Control'!$B$5:$B$296,$B167)</f>
        <v/>
      </c>
      <c r="I167" s="57">
        <f>IFERROR($G167/$C167,0)</f>
        <v/>
      </c>
      <c r="J167" s="57">
        <f>IFERROR($H167/$D167,0)</f>
        <v/>
      </c>
      <c r="K167" s="36">
        <f>$D167*$I167</f>
        <v/>
      </c>
      <c r="L167" s="36">
        <f>$D167*($J167-$I167)</f>
        <v/>
      </c>
      <c r="M167" s="45">
        <f>IFERROR($D167/$C167-1,"")</f>
        <v/>
      </c>
    </row>
    <row r="168">
      <c r="A168" s="43" t="inlineStr">
        <is>
          <t>MolsonCoors Beverage Company</t>
        </is>
      </c>
      <c r="B168" s="43" t="inlineStr">
        <is>
          <t>Pilsner Urquell</t>
        </is>
      </c>
      <c r="C168" s="33">
        <f>SUMIFS('Data - Control'!$C$5:$C$296,'Data - Control'!$A$5:$A$296,$A168,'Data - Control'!$B$5:$B$296,$B168)</f>
        <v/>
      </c>
      <c r="D168" s="33">
        <f>SUMIFS('Data - Control'!$D$5:$D$296,'Data - Control'!$A$5:$A$296,$A168,'Data - Control'!$B$5:$B$296,$B168)</f>
        <v/>
      </c>
      <c r="E168" s="36">
        <f>SUMIFS('Data - Control'!$E$5:$E$296,'Data - Control'!$A$5:$A$296,$A168,'Data - Control'!$B$5:$B$296,$B168)</f>
        <v/>
      </c>
      <c r="F168" s="36">
        <f>SUMIFS('Data - Control'!$F$5:$F$296,'Data - Control'!$A$5:$A$296,$A168,'Data - Control'!$B$5:$B$296,$B168)</f>
        <v/>
      </c>
      <c r="G168" s="36">
        <f>SUMIFS('Data - Control'!$G$5:$G$296,'Data - Control'!$A$5:$A$296,$A168,'Data - Control'!$B$5:$B$296,$B168)</f>
        <v/>
      </c>
      <c r="H168" s="36">
        <f>SUMIFS('Data - Control'!$H$5:$H$296,'Data - Control'!$A$5:$A$296,$A168,'Data - Control'!$B$5:$B$296,$B168)</f>
        <v/>
      </c>
      <c r="I168" s="57">
        <f>IFERROR($G168/$C168,0)</f>
        <v/>
      </c>
      <c r="J168" s="57">
        <f>IFERROR($H168/$D168,0)</f>
        <v/>
      </c>
      <c r="K168" s="36">
        <f>$D168*$I168</f>
        <v/>
      </c>
      <c r="L168" s="36">
        <f>$D168*($J168-$I168)</f>
        <v/>
      </c>
      <c r="M168" s="45">
        <f>IFERROR($D168/$C168-1,"")</f>
        <v/>
      </c>
    </row>
    <row r="169">
      <c r="A169" s="43" t="inlineStr">
        <is>
          <t>MolsonCoors Beverage Company</t>
        </is>
      </c>
      <c r="B169" s="43" t="inlineStr">
        <is>
          <t>Redd's</t>
        </is>
      </c>
      <c r="C169" s="33">
        <f>SUMIFS('Data - Control'!$C$5:$C$296,'Data - Control'!$A$5:$A$296,$A169,'Data - Control'!$B$5:$B$296,$B169)</f>
        <v/>
      </c>
      <c r="D169" s="33">
        <f>SUMIFS('Data - Control'!$D$5:$D$296,'Data - Control'!$A$5:$A$296,$A169,'Data - Control'!$B$5:$B$296,$B169)</f>
        <v/>
      </c>
      <c r="E169" s="36">
        <f>SUMIFS('Data - Control'!$E$5:$E$296,'Data - Control'!$A$5:$A$296,$A169,'Data - Control'!$B$5:$B$296,$B169)</f>
        <v/>
      </c>
      <c r="F169" s="36">
        <f>SUMIFS('Data - Control'!$F$5:$F$296,'Data - Control'!$A$5:$A$296,$A169,'Data - Control'!$B$5:$B$296,$B169)</f>
        <v/>
      </c>
      <c r="G169" s="36">
        <f>SUMIFS('Data - Control'!$G$5:$G$296,'Data - Control'!$A$5:$A$296,$A169,'Data - Control'!$B$5:$B$296,$B169)</f>
        <v/>
      </c>
      <c r="H169" s="36">
        <f>SUMIFS('Data - Control'!$H$5:$H$296,'Data - Control'!$A$5:$A$296,$A169,'Data - Control'!$B$5:$B$296,$B169)</f>
        <v/>
      </c>
      <c r="I169" s="57">
        <f>IFERROR($G169/$C169,0)</f>
        <v/>
      </c>
      <c r="J169" s="57">
        <f>IFERROR($H169/$D169,0)</f>
        <v/>
      </c>
      <c r="K169" s="36">
        <f>$D169*$I169</f>
        <v/>
      </c>
      <c r="L169" s="36">
        <f>$D169*($J169-$I169)</f>
        <v/>
      </c>
      <c r="M169" s="45">
        <f>IFERROR($D169/$C169-1,"")</f>
        <v/>
      </c>
    </row>
    <row r="170">
      <c r="A170" s="43" t="inlineStr">
        <is>
          <t>MolsonCoors Beverage Company</t>
        </is>
      </c>
      <c r="B170" s="43" t="inlineStr">
        <is>
          <t>Redd's Wicked</t>
        </is>
      </c>
      <c r="C170" s="33">
        <f>SUMIFS('Data - Control'!$C$5:$C$296,'Data - Control'!$A$5:$A$296,$A170,'Data - Control'!$B$5:$B$296,$B170)</f>
        <v/>
      </c>
      <c r="D170" s="33">
        <f>SUMIFS('Data - Control'!$D$5:$D$296,'Data - Control'!$A$5:$A$296,$A170,'Data - Control'!$B$5:$B$296,$B170)</f>
        <v/>
      </c>
      <c r="E170" s="36">
        <f>SUMIFS('Data - Control'!$E$5:$E$296,'Data - Control'!$A$5:$A$296,$A170,'Data - Control'!$B$5:$B$296,$B170)</f>
        <v/>
      </c>
      <c r="F170" s="36">
        <f>SUMIFS('Data - Control'!$F$5:$F$296,'Data - Control'!$A$5:$A$296,$A170,'Data - Control'!$B$5:$B$296,$B170)</f>
        <v/>
      </c>
      <c r="G170" s="36">
        <f>SUMIFS('Data - Control'!$G$5:$G$296,'Data - Control'!$A$5:$A$296,$A170,'Data - Control'!$B$5:$B$296,$B170)</f>
        <v/>
      </c>
      <c r="H170" s="36">
        <f>SUMIFS('Data - Control'!$H$5:$H$296,'Data - Control'!$A$5:$A$296,$A170,'Data - Control'!$B$5:$B$296,$B170)</f>
        <v/>
      </c>
      <c r="I170" s="57">
        <f>IFERROR($G170/$C170,0)</f>
        <v/>
      </c>
      <c r="J170" s="57">
        <f>IFERROR($H170/$D170,0)</f>
        <v/>
      </c>
      <c r="K170" s="36">
        <f>$D170*$I170</f>
        <v/>
      </c>
      <c r="L170" s="36">
        <f>$D170*($J170-$I170)</f>
        <v/>
      </c>
      <c r="M170" s="45">
        <f>IFERROR($D170/$C170-1,"")</f>
        <v/>
      </c>
    </row>
    <row r="171">
      <c r="A171" s="43" t="inlineStr">
        <is>
          <t>MolsonCoors Beverage Company</t>
        </is>
      </c>
      <c r="B171" s="43" t="inlineStr">
        <is>
          <t>Simply Spiked</t>
        </is>
      </c>
      <c r="C171" s="33">
        <f>SUMIFS('Data - Control'!$C$5:$C$296,'Data - Control'!$A$5:$A$296,$A171,'Data - Control'!$B$5:$B$296,$B171)</f>
        <v/>
      </c>
      <c r="D171" s="33">
        <f>SUMIFS('Data - Control'!$D$5:$D$296,'Data - Control'!$A$5:$A$296,$A171,'Data - Control'!$B$5:$B$296,$B171)</f>
        <v/>
      </c>
      <c r="E171" s="36">
        <f>SUMIFS('Data - Control'!$E$5:$E$296,'Data - Control'!$A$5:$A$296,$A171,'Data - Control'!$B$5:$B$296,$B171)</f>
        <v/>
      </c>
      <c r="F171" s="36">
        <f>SUMIFS('Data - Control'!$F$5:$F$296,'Data - Control'!$A$5:$A$296,$A171,'Data - Control'!$B$5:$B$296,$B171)</f>
        <v/>
      </c>
      <c r="G171" s="36">
        <f>SUMIFS('Data - Control'!$G$5:$G$296,'Data - Control'!$A$5:$A$296,$A171,'Data - Control'!$B$5:$B$296,$B171)</f>
        <v/>
      </c>
      <c r="H171" s="36">
        <f>SUMIFS('Data - Control'!$H$5:$H$296,'Data - Control'!$A$5:$A$296,$A171,'Data - Control'!$B$5:$B$296,$B171)</f>
        <v/>
      </c>
      <c r="I171" s="57">
        <f>IFERROR($G171/$C171,0)</f>
        <v/>
      </c>
      <c r="J171" s="57">
        <f>IFERROR($H171/$D171,0)</f>
        <v/>
      </c>
      <c r="K171" s="36">
        <f>$D171*$I171</f>
        <v/>
      </c>
      <c r="L171" s="36">
        <f>$D171*($J171-$I171)</f>
        <v/>
      </c>
      <c r="M171" s="45">
        <f>IFERROR($D171/$C171-1,"")</f>
        <v/>
      </c>
    </row>
    <row r="172">
      <c r="A172" s="43" t="inlineStr">
        <is>
          <t>MolsonCoors Beverage Company</t>
        </is>
      </c>
      <c r="B172" s="43" t="inlineStr">
        <is>
          <t>Sol</t>
        </is>
      </c>
      <c r="C172" s="33">
        <f>SUMIFS('Data - Control'!$C$5:$C$296,'Data - Control'!$A$5:$A$296,$A172,'Data - Control'!$B$5:$B$296,$B172)</f>
        <v/>
      </c>
      <c r="D172" s="33">
        <f>SUMIFS('Data - Control'!$D$5:$D$296,'Data - Control'!$A$5:$A$296,$A172,'Data - Control'!$B$5:$B$296,$B172)</f>
        <v/>
      </c>
      <c r="E172" s="36">
        <f>SUMIFS('Data - Control'!$E$5:$E$296,'Data - Control'!$A$5:$A$296,$A172,'Data - Control'!$B$5:$B$296,$B172)</f>
        <v/>
      </c>
      <c r="F172" s="36">
        <f>SUMIFS('Data - Control'!$F$5:$F$296,'Data - Control'!$A$5:$A$296,$A172,'Data - Control'!$B$5:$B$296,$B172)</f>
        <v/>
      </c>
      <c r="G172" s="36">
        <f>SUMIFS('Data - Control'!$G$5:$G$296,'Data - Control'!$A$5:$A$296,$A172,'Data - Control'!$B$5:$B$296,$B172)</f>
        <v/>
      </c>
      <c r="H172" s="36">
        <f>SUMIFS('Data - Control'!$H$5:$H$296,'Data - Control'!$A$5:$A$296,$A172,'Data - Control'!$B$5:$B$296,$B172)</f>
        <v/>
      </c>
      <c r="I172" s="57">
        <f>IFERROR($G172/$C172,0)</f>
        <v/>
      </c>
      <c r="J172" s="57">
        <f>IFERROR($H172/$D172,0)</f>
        <v/>
      </c>
      <c r="K172" s="36">
        <f>$D172*$I172</f>
        <v/>
      </c>
      <c r="L172" s="36">
        <f>$D172*($J172-$I172)</f>
        <v/>
      </c>
      <c r="M172" s="45">
        <f>IFERROR($D172/$C172-1,"")</f>
        <v/>
      </c>
    </row>
    <row r="173">
      <c r="A173" s="43" t="inlineStr">
        <is>
          <t>MolsonCoors Beverage Company</t>
        </is>
      </c>
      <c r="B173" s="43" t="inlineStr">
        <is>
          <t>Steel Reserve</t>
        </is>
      </c>
      <c r="C173" s="33">
        <f>SUMIFS('Data - Control'!$C$5:$C$296,'Data - Control'!$A$5:$A$296,$A173,'Data - Control'!$B$5:$B$296,$B173)</f>
        <v/>
      </c>
      <c r="D173" s="33">
        <f>SUMIFS('Data - Control'!$D$5:$D$296,'Data - Control'!$A$5:$A$296,$A173,'Data - Control'!$B$5:$B$296,$B173)</f>
        <v/>
      </c>
      <c r="E173" s="36">
        <f>SUMIFS('Data - Control'!$E$5:$E$296,'Data - Control'!$A$5:$A$296,$A173,'Data - Control'!$B$5:$B$296,$B173)</f>
        <v/>
      </c>
      <c r="F173" s="36">
        <f>SUMIFS('Data - Control'!$F$5:$F$296,'Data - Control'!$A$5:$A$296,$A173,'Data - Control'!$B$5:$B$296,$B173)</f>
        <v/>
      </c>
      <c r="G173" s="36">
        <f>SUMIFS('Data - Control'!$G$5:$G$296,'Data - Control'!$A$5:$A$296,$A173,'Data - Control'!$B$5:$B$296,$B173)</f>
        <v/>
      </c>
      <c r="H173" s="36">
        <f>SUMIFS('Data - Control'!$H$5:$H$296,'Data - Control'!$A$5:$A$296,$A173,'Data - Control'!$B$5:$B$296,$B173)</f>
        <v/>
      </c>
      <c r="I173" s="57">
        <f>IFERROR($G173/$C173,0)</f>
        <v/>
      </c>
      <c r="J173" s="57">
        <f>IFERROR($H173/$D173,0)</f>
        <v/>
      </c>
      <c r="K173" s="36">
        <f>$D173*$I173</f>
        <v/>
      </c>
      <c r="L173" s="36">
        <f>$D173*($J173-$I173)</f>
        <v/>
      </c>
      <c r="M173" s="45">
        <f>IFERROR($D173/$C173-1,"")</f>
        <v/>
      </c>
    </row>
    <row r="174">
      <c r="A174" s="43" t="inlineStr">
        <is>
          <t>MolsonCoors Beverage Company</t>
        </is>
      </c>
      <c r="B174" s="43" t="inlineStr">
        <is>
          <t>Steel Reserve Alloy Series</t>
        </is>
      </c>
      <c r="C174" s="33">
        <f>SUMIFS('Data - Control'!$C$5:$C$296,'Data - Control'!$A$5:$A$296,$A174,'Data - Control'!$B$5:$B$296,$B174)</f>
        <v/>
      </c>
      <c r="D174" s="33">
        <f>SUMIFS('Data - Control'!$D$5:$D$296,'Data - Control'!$A$5:$A$296,$A174,'Data - Control'!$B$5:$B$296,$B174)</f>
        <v/>
      </c>
      <c r="E174" s="36">
        <f>SUMIFS('Data - Control'!$E$5:$E$296,'Data - Control'!$A$5:$A$296,$A174,'Data - Control'!$B$5:$B$296,$B174)</f>
        <v/>
      </c>
      <c r="F174" s="36">
        <f>SUMIFS('Data - Control'!$F$5:$F$296,'Data - Control'!$A$5:$A$296,$A174,'Data - Control'!$B$5:$B$296,$B174)</f>
        <v/>
      </c>
      <c r="G174" s="36">
        <f>SUMIFS('Data - Control'!$G$5:$G$296,'Data - Control'!$A$5:$A$296,$A174,'Data - Control'!$B$5:$B$296,$B174)</f>
        <v/>
      </c>
      <c r="H174" s="36">
        <f>SUMIFS('Data - Control'!$H$5:$H$296,'Data - Control'!$A$5:$A$296,$A174,'Data - Control'!$B$5:$B$296,$B174)</f>
        <v/>
      </c>
      <c r="I174" s="57">
        <f>IFERROR($G174/$C174,0)</f>
        <v/>
      </c>
      <c r="J174" s="57">
        <f>IFERROR($H174/$D174,0)</f>
        <v/>
      </c>
      <c r="K174" s="36">
        <f>$D174*$I174</f>
        <v/>
      </c>
      <c r="L174" s="36">
        <f>$D174*($J174-$I174)</f>
        <v/>
      </c>
      <c r="M174" s="45">
        <f>IFERROR($D174/$C174-1,"")</f>
        <v/>
      </c>
    </row>
    <row r="175">
      <c r="A175" s="43" t="inlineStr">
        <is>
          <t>MolsonCoors Beverage Company</t>
        </is>
      </c>
      <c r="B175" s="43" t="inlineStr">
        <is>
          <t>Topo Chico</t>
        </is>
      </c>
      <c r="C175" s="33">
        <f>SUMIFS('Data - Control'!$C$5:$C$296,'Data - Control'!$A$5:$A$296,$A175,'Data - Control'!$B$5:$B$296,$B175)</f>
        <v/>
      </c>
      <c r="D175" s="33">
        <f>SUMIFS('Data - Control'!$D$5:$D$296,'Data - Control'!$A$5:$A$296,$A175,'Data - Control'!$B$5:$B$296,$B175)</f>
        <v/>
      </c>
      <c r="E175" s="36">
        <f>SUMIFS('Data - Control'!$E$5:$E$296,'Data - Control'!$A$5:$A$296,$A175,'Data - Control'!$B$5:$B$296,$B175)</f>
        <v/>
      </c>
      <c r="F175" s="36">
        <f>SUMIFS('Data - Control'!$F$5:$F$296,'Data - Control'!$A$5:$A$296,$A175,'Data - Control'!$B$5:$B$296,$B175)</f>
        <v/>
      </c>
      <c r="G175" s="36">
        <f>SUMIFS('Data - Control'!$G$5:$G$296,'Data - Control'!$A$5:$A$296,$A175,'Data - Control'!$B$5:$B$296,$B175)</f>
        <v/>
      </c>
      <c r="H175" s="36">
        <f>SUMIFS('Data - Control'!$H$5:$H$296,'Data - Control'!$A$5:$A$296,$A175,'Data - Control'!$B$5:$B$296,$B175)</f>
        <v/>
      </c>
      <c r="I175" s="57">
        <f>IFERROR($G175/$C175,0)</f>
        <v/>
      </c>
      <c r="J175" s="57">
        <f>IFERROR($H175/$D175,0)</f>
        <v/>
      </c>
      <c r="K175" s="36">
        <f>$D175*$I175</f>
        <v/>
      </c>
      <c r="L175" s="36">
        <f>$D175*($J175-$I175)</f>
        <v/>
      </c>
      <c r="M175" s="45">
        <f>IFERROR($D175/$C175-1,"")</f>
        <v/>
      </c>
    </row>
    <row r="176">
      <c r="A176" s="43" t="inlineStr">
        <is>
          <t>MolsonCoors Beverage Company</t>
        </is>
      </c>
      <c r="B176" s="43" t="inlineStr">
        <is>
          <t>Tyskie Gronie</t>
        </is>
      </c>
      <c r="C176" s="33">
        <f>SUMIFS('Data - Control'!$C$5:$C$296,'Data - Control'!$A$5:$A$296,$A176,'Data - Control'!$B$5:$B$296,$B176)</f>
        <v/>
      </c>
      <c r="D176" s="33">
        <f>SUMIFS('Data - Control'!$D$5:$D$296,'Data - Control'!$A$5:$A$296,$A176,'Data - Control'!$B$5:$B$296,$B176)</f>
        <v/>
      </c>
      <c r="E176" s="36">
        <f>SUMIFS('Data - Control'!$E$5:$E$296,'Data - Control'!$A$5:$A$296,$A176,'Data - Control'!$B$5:$B$296,$B176)</f>
        <v/>
      </c>
      <c r="F176" s="36">
        <f>SUMIFS('Data - Control'!$F$5:$F$296,'Data - Control'!$A$5:$A$296,$A176,'Data - Control'!$B$5:$B$296,$B176)</f>
        <v/>
      </c>
      <c r="G176" s="36">
        <f>SUMIFS('Data - Control'!$G$5:$G$296,'Data - Control'!$A$5:$A$296,$A176,'Data - Control'!$B$5:$B$296,$B176)</f>
        <v/>
      </c>
      <c r="H176" s="36">
        <f>SUMIFS('Data - Control'!$H$5:$H$296,'Data - Control'!$A$5:$A$296,$A176,'Data - Control'!$B$5:$B$296,$B176)</f>
        <v/>
      </c>
      <c r="I176" s="57">
        <f>IFERROR($G176/$C176,0)</f>
        <v/>
      </c>
      <c r="J176" s="57">
        <f>IFERROR($H176/$D176,0)</f>
        <v/>
      </c>
      <c r="K176" s="36">
        <f>$D176*$I176</f>
        <v/>
      </c>
      <c r="L176" s="36">
        <f>$D176*($J176-$I176)</f>
        <v/>
      </c>
      <c r="M176" s="45">
        <f>IFERROR($D176/$C176-1,"")</f>
        <v/>
      </c>
    </row>
    <row r="177">
      <c r="A177" s="43" t="inlineStr">
        <is>
          <t>MolsonCoors Beverage Company</t>
        </is>
      </c>
      <c r="B177" s="43" t="inlineStr">
        <is>
          <t>Vizzy</t>
        </is>
      </c>
      <c r="C177" s="33">
        <f>SUMIFS('Data - Control'!$C$5:$C$296,'Data - Control'!$A$5:$A$296,$A177,'Data - Control'!$B$5:$B$296,$B177)</f>
        <v/>
      </c>
      <c r="D177" s="33">
        <f>SUMIFS('Data - Control'!$D$5:$D$296,'Data - Control'!$A$5:$A$296,$A177,'Data - Control'!$B$5:$B$296,$B177)</f>
        <v/>
      </c>
      <c r="E177" s="36">
        <f>SUMIFS('Data - Control'!$E$5:$E$296,'Data - Control'!$A$5:$A$296,$A177,'Data - Control'!$B$5:$B$296,$B177)</f>
        <v/>
      </c>
      <c r="F177" s="36">
        <f>SUMIFS('Data - Control'!$F$5:$F$296,'Data - Control'!$A$5:$A$296,$A177,'Data - Control'!$B$5:$B$296,$B177)</f>
        <v/>
      </c>
      <c r="G177" s="36">
        <f>SUMIFS('Data - Control'!$G$5:$G$296,'Data - Control'!$A$5:$A$296,$A177,'Data - Control'!$B$5:$B$296,$B177)</f>
        <v/>
      </c>
      <c r="H177" s="36">
        <f>SUMIFS('Data - Control'!$H$5:$H$296,'Data - Control'!$A$5:$A$296,$A177,'Data - Control'!$B$5:$B$296,$B177)</f>
        <v/>
      </c>
      <c r="I177" s="57">
        <f>IFERROR($G177/$C177,0)</f>
        <v/>
      </c>
      <c r="J177" s="57">
        <f>IFERROR($H177/$D177,0)</f>
        <v/>
      </c>
      <c r="K177" s="36">
        <f>$D177*$I177</f>
        <v/>
      </c>
      <c r="L177" s="36">
        <f>$D177*($J177-$I177)</f>
        <v/>
      </c>
      <c r="M177" s="45">
        <f>IFERROR($D177/$C177-1,"")</f>
        <v/>
      </c>
    </row>
    <row r="178">
      <c r="A178" s="43" t="inlineStr">
        <is>
          <t>Montauk Brewing Co</t>
        </is>
      </c>
      <c r="B178" s="43" t="inlineStr">
        <is>
          <t>Montauk</t>
        </is>
      </c>
      <c r="C178" s="33">
        <f>SUMIFS('Data - Control'!$C$5:$C$296,'Data - Control'!$A$5:$A$296,$A178,'Data - Control'!$B$5:$B$296,$B178)</f>
        <v/>
      </c>
      <c r="D178" s="33">
        <f>SUMIFS('Data - Control'!$D$5:$D$296,'Data - Control'!$A$5:$A$296,$A178,'Data - Control'!$B$5:$B$296,$B178)</f>
        <v/>
      </c>
      <c r="E178" s="36">
        <f>SUMIFS('Data - Control'!$E$5:$E$296,'Data - Control'!$A$5:$A$296,$A178,'Data - Control'!$B$5:$B$296,$B178)</f>
        <v/>
      </c>
      <c r="F178" s="36">
        <f>SUMIFS('Data - Control'!$F$5:$F$296,'Data - Control'!$A$5:$A$296,$A178,'Data - Control'!$B$5:$B$296,$B178)</f>
        <v/>
      </c>
      <c r="G178" s="36">
        <f>SUMIFS('Data - Control'!$G$5:$G$296,'Data - Control'!$A$5:$A$296,$A178,'Data - Control'!$B$5:$B$296,$B178)</f>
        <v/>
      </c>
      <c r="H178" s="36">
        <f>SUMIFS('Data - Control'!$H$5:$H$296,'Data - Control'!$A$5:$A$296,$A178,'Data - Control'!$B$5:$B$296,$B178)</f>
        <v/>
      </c>
      <c r="I178" s="57">
        <f>IFERROR($G178/$C178,0)</f>
        <v/>
      </c>
      <c r="J178" s="57">
        <f>IFERROR($H178/$D178,0)</f>
        <v/>
      </c>
      <c r="K178" s="36">
        <f>$D178*$I178</f>
        <v/>
      </c>
      <c r="L178" s="36">
        <f>$D178*($J178-$I178)</f>
        <v/>
      </c>
      <c r="M178" s="45">
        <f>IFERROR($D178/$C178-1,"")</f>
        <v/>
      </c>
    </row>
    <row r="179">
      <c r="A179" s="43" t="inlineStr">
        <is>
          <t>Montauk Brewing Co</t>
        </is>
      </c>
      <c r="B179" s="43" t="inlineStr">
        <is>
          <t>Popsicle Hard</t>
        </is>
      </c>
      <c r="C179" s="33">
        <f>SUMIFS('Data - Control'!$C$5:$C$296,'Data - Control'!$A$5:$A$296,$A179,'Data - Control'!$B$5:$B$296,$B179)</f>
        <v/>
      </c>
      <c r="D179" s="33">
        <f>SUMIFS('Data - Control'!$D$5:$D$296,'Data - Control'!$A$5:$A$296,$A179,'Data - Control'!$B$5:$B$296,$B179)</f>
        <v/>
      </c>
      <c r="E179" s="36">
        <f>SUMIFS('Data - Control'!$E$5:$E$296,'Data - Control'!$A$5:$A$296,$A179,'Data - Control'!$B$5:$B$296,$B179)</f>
        <v/>
      </c>
      <c r="F179" s="36">
        <f>SUMIFS('Data - Control'!$F$5:$F$296,'Data - Control'!$A$5:$A$296,$A179,'Data - Control'!$B$5:$B$296,$B179)</f>
        <v/>
      </c>
      <c r="G179" s="36">
        <f>SUMIFS('Data - Control'!$G$5:$G$296,'Data - Control'!$A$5:$A$296,$A179,'Data - Control'!$B$5:$B$296,$B179)</f>
        <v/>
      </c>
      <c r="H179" s="36">
        <f>SUMIFS('Data - Control'!$H$5:$H$296,'Data - Control'!$A$5:$A$296,$A179,'Data - Control'!$B$5:$B$296,$B179)</f>
        <v/>
      </c>
      <c r="I179" s="57">
        <f>IFERROR($G179/$C179,0)</f>
        <v/>
      </c>
      <c r="J179" s="57">
        <f>IFERROR($H179/$D179,0)</f>
        <v/>
      </c>
      <c r="K179" s="36">
        <f>$D179*$I179</f>
        <v/>
      </c>
      <c r="L179" s="36">
        <f>$D179*($J179-$I179)</f>
        <v/>
      </c>
      <c r="M179" s="45">
        <f>IFERROR($D179/$C179-1,"")</f>
        <v/>
      </c>
    </row>
    <row r="180">
      <c r="A180" s="43" t="inlineStr">
        <is>
          <t>Narragansett</t>
        </is>
      </c>
      <c r="B180" s="43" t="inlineStr">
        <is>
          <t>Del's Shandy</t>
        </is>
      </c>
      <c r="C180" s="33">
        <f>SUMIFS('Data - Control'!$C$5:$C$296,'Data - Control'!$A$5:$A$296,$A180,'Data - Control'!$B$5:$B$296,$B180)</f>
        <v/>
      </c>
      <c r="D180" s="33">
        <f>SUMIFS('Data - Control'!$D$5:$D$296,'Data - Control'!$A$5:$A$296,$A180,'Data - Control'!$B$5:$B$296,$B180)</f>
        <v/>
      </c>
      <c r="E180" s="36">
        <f>SUMIFS('Data - Control'!$E$5:$E$296,'Data - Control'!$A$5:$A$296,$A180,'Data - Control'!$B$5:$B$296,$B180)</f>
        <v/>
      </c>
      <c r="F180" s="36">
        <f>SUMIFS('Data - Control'!$F$5:$F$296,'Data - Control'!$A$5:$A$296,$A180,'Data - Control'!$B$5:$B$296,$B180)</f>
        <v/>
      </c>
      <c r="G180" s="36">
        <f>SUMIFS('Data - Control'!$G$5:$G$296,'Data - Control'!$A$5:$A$296,$A180,'Data - Control'!$B$5:$B$296,$B180)</f>
        <v/>
      </c>
      <c r="H180" s="36">
        <f>SUMIFS('Data - Control'!$H$5:$H$296,'Data - Control'!$A$5:$A$296,$A180,'Data - Control'!$B$5:$B$296,$B180)</f>
        <v/>
      </c>
      <c r="I180" s="57">
        <f>IFERROR($G180/$C180,0)</f>
        <v/>
      </c>
      <c r="J180" s="57">
        <f>IFERROR($H180/$D180,0)</f>
        <v/>
      </c>
      <c r="K180" s="36">
        <f>$D180*$I180</f>
        <v/>
      </c>
      <c r="L180" s="36">
        <f>$D180*($J180-$I180)</f>
        <v/>
      </c>
      <c r="M180" s="45">
        <f>IFERROR($D180/$C180-1,"")</f>
        <v/>
      </c>
    </row>
    <row r="181">
      <c r="A181" s="43" t="inlineStr">
        <is>
          <t>Narragansett</t>
        </is>
      </c>
      <c r="B181" s="43" t="inlineStr">
        <is>
          <t>Narragansett</t>
        </is>
      </c>
      <c r="C181" s="33">
        <f>SUMIFS('Data - Control'!$C$5:$C$296,'Data - Control'!$A$5:$A$296,$A181,'Data - Control'!$B$5:$B$296,$B181)</f>
        <v/>
      </c>
      <c r="D181" s="33">
        <f>SUMIFS('Data - Control'!$D$5:$D$296,'Data - Control'!$A$5:$A$296,$A181,'Data - Control'!$B$5:$B$296,$B181)</f>
        <v/>
      </c>
      <c r="E181" s="36">
        <f>SUMIFS('Data - Control'!$E$5:$E$296,'Data - Control'!$A$5:$A$296,$A181,'Data - Control'!$B$5:$B$296,$B181)</f>
        <v/>
      </c>
      <c r="F181" s="36">
        <f>SUMIFS('Data - Control'!$F$5:$F$296,'Data - Control'!$A$5:$A$296,$A181,'Data - Control'!$B$5:$B$296,$B181)</f>
        <v/>
      </c>
      <c r="G181" s="36">
        <f>SUMIFS('Data - Control'!$G$5:$G$296,'Data - Control'!$A$5:$A$296,$A181,'Data - Control'!$B$5:$B$296,$B181)</f>
        <v/>
      </c>
      <c r="H181" s="36">
        <f>SUMIFS('Data - Control'!$H$5:$H$296,'Data - Control'!$A$5:$A$296,$A181,'Data - Control'!$B$5:$B$296,$B181)</f>
        <v/>
      </c>
      <c r="I181" s="57">
        <f>IFERROR($G181/$C181,0)</f>
        <v/>
      </c>
      <c r="J181" s="57">
        <f>IFERROR($H181/$D181,0)</f>
        <v/>
      </c>
      <c r="K181" s="36">
        <f>$D181*$I181</f>
        <v/>
      </c>
      <c r="L181" s="36">
        <f>$D181*($J181-$I181)</f>
        <v/>
      </c>
      <c r="M181" s="45">
        <f>IFERROR($D181/$C181-1,"")</f>
        <v/>
      </c>
    </row>
    <row r="182">
      <c r="A182" s="43" t="inlineStr">
        <is>
          <t>New Belgium Brewing Company</t>
        </is>
      </c>
      <c r="B182" s="43" t="inlineStr">
        <is>
          <t>Kirin Light</t>
        </is>
      </c>
      <c r="C182" s="33">
        <f>SUMIFS('Data - Control'!$C$5:$C$296,'Data - Control'!$A$5:$A$296,$A182,'Data - Control'!$B$5:$B$296,$B182)</f>
        <v/>
      </c>
      <c r="D182" s="33">
        <f>SUMIFS('Data - Control'!$D$5:$D$296,'Data - Control'!$A$5:$A$296,$A182,'Data - Control'!$B$5:$B$296,$B182)</f>
        <v/>
      </c>
      <c r="E182" s="36">
        <f>SUMIFS('Data - Control'!$E$5:$E$296,'Data - Control'!$A$5:$A$296,$A182,'Data - Control'!$B$5:$B$296,$B182)</f>
        <v/>
      </c>
      <c r="F182" s="36">
        <f>SUMIFS('Data - Control'!$F$5:$F$296,'Data - Control'!$A$5:$A$296,$A182,'Data - Control'!$B$5:$B$296,$B182)</f>
        <v/>
      </c>
      <c r="G182" s="36">
        <f>SUMIFS('Data - Control'!$G$5:$G$296,'Data - Control'!$A$5:$A$296,$A182,'Data - Control'!$B$5:$B$296,$B182)</f>
        <v/>
      </c>
      <c r="H182" s="36">
        <f>SUMIFS('Data - Control'!$H$5:$H$296,'Data - Control'!$A$5:$A$296,$A182,'Data - Control'!$B$5:$B$296,$B182)</f>
        <v/>
      </c>
      <c r="I182" s="57">
        <f>IFERROR($G182/$C182,0)</f>
        <v/>
      </c>
      <c r="J182" s="57">
        <f>IFERROR($H182/$D182,0)</f>
        <v/>
      </c>
      <c r="K182" s="36">
        <f>$D182*$I182</f>
        <v/>
      </c>
      <c r="L182" s="36">
        <f>$D182*($J182-$I182)</f>
        <v/>
      </c>
      <c r="M182" s="45">
        <f>IFERROR($D182/$C182-1,"")</f>
        <v/>
      </c>
    </row>
    <row r="183">
      <c r="A183" s="43" t="inlineStr">
        <is>
          <t>New Belgium Brewing Company</t>
        </is>
      </c>
      <c r="B183" s="43" t="inlineStr">
        <is>
          <t>Lightstrike</t>
        </is>
      </c>
      <c r="C183" s="33">
        <f>SUMIFS('Data - Control'!$C$5:$C$296,'Data - Control'!$A$5:$A$296,$A183,'Data - Control'!$B$5:$B$296,$B183)</f>
        <v/>
      </c>
      <c r="D183" s="33">
        <f>SUMIFS('Data - Control'!$D$5:$D$296,'Data - Control'!$A$5:$A$296,$A183,'Data - Control'!$B$5:$B$296,$B183)</f>
        <v/>
      </c>
      <c r="E183" s="36">
        <f>SUMIFS('Data - Control'!$E$5:$E$296,'Data - Control'!$A$5:$A$296,$A183,'Data - Control'!$B$5:$B$296,$B183)</f>
        <v/>
      </c>
      <c r="F183" s="36">
        <f>SUMIFS('Data - Control'!$F$5:$F$296,'Data - Control'!$A$5:$A$296,$A183,'Data - Control'!$B$5:$B$296,$B183)</f>
        <v/>
      </c>
      <c r="G183" s="36">
        <f>SUMIFS('Data - Control'!$G$5:$G$296,'Data - Control'!$A$5:$A$296,$A183,'Data - Control'!$B$5:$B$296,$B183)</f>
        <v/>
      </c>
      <c r="H183" s="36">
        <f>SUMIFS('Data - Control'!$H$5:$H$296,'Data - Control'!$A$5:$A$296,$A183,'Data - Control'!$B$5:$B$296,$B183)</f>
        <v/>
      </c>
      <c r="I183" s="57">
        <f>IFERROR($G183/$C183,0)</f>
        <v/>
      </c>
      <c r="J183" s="57">
        <f>IFERROR($H183/$D183,0)</f>
        <v/>
      </c>
      <c r="K183" s="36">
        <f>$D183*$I183</f>
        <v/>
      </c>
      <c r="L183" s="36">
        <f>$D183*($J183-$I183)</f>
        <v/>
      </c>
      <c r="M183" s="45">
        <f>IFERROR($D183/$C183-1,"")</f>
        <v/>
      </c>
    </row>
    <row r="184">
      <c r="A184" s="43" t="inlineStr">
        <is>
          <t>New Belgium Brewing Company</t>
        </is>
      </c>
      <c r="B184" s="43" t="inlineStr">
        <is>
          <t>New Belgium Brewing Company</t>
        </is>
      </c>
      <c r="C184" s="33">
        <f>SUMIFS('Data - Control'!$C$5:$C$296,'Data - Control'!$A$5:$A$296,$A184,'Data - Control'!$B$5:$B$296,$B184)</f>
        <v/>
      </c>
      <c r="D184" s="33">
        <f>SUMIFS('Data - Control'!$D$5:$D$296,'Data - Control'!$A$5:$A$296,$A184,'Data - Control'!$B$5:$B$296,$B184)</f>
        <v/>
      </c>
      <c r="E184" s="36">
        <f>SUMIFS('Data - Control'!$E$5:$E$296,'Data - Control'!$A$5:$A$296,$A184,'Data - Control'!$B$5:$B$296,$B184)</f>
        <v/>
      </c>
      <c r="F184" s="36">
        <f>SUMIFS('Data - Control'!$F$5:$F$296,'Data - Control'!$A$5:$A$296,$A184,'Data - Control'!$B$5:$B$296,$B184)</f>
        <v/>
      </c>
      <c r="G184" s="36">
        <f>SUMIFS('Data - Control'!$G$5:$G$296,'Data - Control'!$A$5:$A$296,$A184,'Data - Control'!$B$5:$B$296,$B184)</f>
        <v/>
      </c>
      <c r="H184" s="36">
        <f>SUMIFS('Data - Control'!$H$5:$H$296,'Data - Control'!$A$5:$A$296,$A184,'Data - Control'!$B$5:$B$296,$B184)</f>
        <v/>
      </c>
      <c r="I184" s="57">
        <f>IFERROR($G184/$C184,0)</f>
        <v/>
      </c>
      <c r="J184" s="57">
        <f>IFERROR($H184/$D184,0)</f>
        <v/>
      </c>
      <c r="K184" s="36">
        <f>$D184*$I184</f>
        <v/>
      </c>
      <c r="L184" s="36">
        <f>$D184*($J184-$I184)</f>
        <v/>
      </c>
      <c r="M184" s="45">
        <f>IFERROR($D184/$C184-1,"")</f>
        <v/>
      </c>
    </row>
    <row r="185">
      <c r="A185" s="43" t="inlineStr">
        <is>
          <t>New Belgium Brewing Company</t>
        </is>
      </c>
      <c r="B185" s="43" t="inlineStr">
        <is>
          <t>Voodoo Hardcharged</t>
        </is>
      </c>
      <c r="C185" s="33">
        <f>SUMIFS('Data - Control'!$C$5:$C$296,'Data - Control'!$A$5:$A$296,$A185,'Data - Control'!$B$5:$B$296,$B185)</f>
        <v/>
      </c>
      <c r="D185" s="33">
        <f>SUMIFS('Data - Control'!$D$5:$D$296,'Data - Control'!$A$5:$A$296,$A185,'Data - Control'!$B$5:$B$296,$B185)</f>
        <v/>
      </c>
      <c r="E185" s="36">
        <f>SUMIFS('Data - Control'!$E$5:$E$296,'Data - Control'!$A$5:$A$296,$A185,'Data - Control'!$B$5:$B$296,$B185)</f>
        <v/>
      </c>
      <c r="F185" s="36">
        <f>SUMIFS('Data - Control'!$F$5:$F$296,'Data - Control'!$A$5:$A$296,$A185,'Data - Control'!$B$5:$B$296,$B185)</f>
        <v/>
      </c>
      <c r="G185" s="36">
        <f>SUMIFS('Data - Control'!$G$5:$G$296,'Data - Control'!$A$5:$A$296,$A185,'Data - Control'!$B$5:$B$296,$B185)</f>
        <v/>
      </c>
      <c r="H185" s="36">
        <f>SUMIFS('Data - Control'!$H$5:$H$296,'Data - Control'!$A$5:$A$296,$A185,'Data - Control'!$B$5:$B$296,$B185)</f>
        <v/>
      </c>
      <c r="I185" s="57">
        <f>IFERROR($G185/$C185,0)</f>
        <v/>
      </c>
      <c r="J185" s="57">
        <f>IFERROR($H185/$D185,0)</f>
        <v/>
      </c>
      <c r="K185" s="36">
        <f>$D185*$I185</f>
        <v/>
      </c>
      <c r="L185" s="36">
        <f>$D185*($J185-$I185)</f>
        <v/>
      </c>
      <c r="M185" s="45">
        <f>IFERROR($D185/$C185-1,"")</f>
        <v/>
      </c>
    </row>
    <row r="186">
      <c r="A186" s="43" t="inlineStr">
        <is>
          <t>Newburgh Brewing</t>
        </is>
      </c>
      <c r="B186" s="43" t="inlineStr">
        <is>
          <t>Newburgh</t>
        </is>
      </c>
      <c r="C186" s="33">
        <f>SUMIFS('Data - Control'!$C$5:$C$296,'Data - Control'!$A$5:$A$296,$A186,'Data - Control'!$B$5:$B$296,$B186)</f>
        <v/>
      </c>
      <c r="D186" s="33">
        <f>SUMIFS('Data - Control'!$D$5:$D$296,'Data - Control'!$A$5:$A$296,$A186,'Data - Control'!$B$5:$B$296,$B186)</f>
        <v/>
      </c>
      <c r="E186" s="36">
        <f>SUMIFS('Data - Control'!$E$5:$E$296,'Data - Control'!$A$5:$A$296,$A186,'Data - Control'!$B$5:$B$296,$B186)</f>
        <v/>
      </c>
      <c r="F186" s="36">
        <f>SUMIFS('Data - Control'!$F$5:$F$296,'Data - Control'!$A$5:$A$296,$A186,'Data - Control'!$B$5:$B$296,$B186)</f>
        <v/>
      </c>
      <c r="G186" s="36">
        <f>SUMIFS('Data - Control'!$G$5:$G$296,'Data - Control'!$A$5:$A$296,$A186,'Data - Control'!$B$5:$B$296,$B186)</f>
        <v/>
      </c>
      <c r="H186" s="36">
        <f>SUMIFS('Data - Control'!$H$5:$H$296,'Data - Control'!$A$5:$A$296,$A186,'Data - Control'!$B$5:$B$296,$B186)</f>
        <v/>
      </c>
      <c r="I186" s="57">
        <f>IFERROR($G186/$C186,0)</f>
        <v/>
      </c>
      <c r="J186" s="57">
        <f>IFERROR($H186/$D186,0)</f>
        <v/>
      </c>
      <c r="K186" s="36">
        <f>$D186*$I186</f>
        <v/>
      </c>
      <c r="L186" s="36">
        <f>$D186*($J186-$I186)</f>
        <v/>
      </c>
      <c r="M186" s="45">
        <f>IFERROR($D186/$C186-1,"")</f>
        <v/>
      </c>
    </row>
    <row r="187">
      <c r="A187" s="43" t="inlineStr">
        <is>
          <t>Noca Beverages</t>
        </is>
      </c>
      <c r="B187" s="43" t="inlineStr">
        <is>
          <t>Noca</t>
        </is>
      </c>
      <c r="C187" s="33">
        <f>SUMIFS('Data - Control'!$C$5:$C$296,'Data - Control'!$A$5:$A$296,$A187,'Data - Control'!$B$5:$B$296,$B187)</f>
        <v/>
      </c>
      <c r="D187" s="33">
        <f>SUMIFS('Data - Control'!$D$5:$D$296,'Data - Control'!$A$5:$A$296,$A187,'Data - Control'!$B$5:$B$296,$B187)</f>
        <v/>
      </c>
      <c r="E187" s="36">
        <f>SUMIFS('Data - Control'!$E$5:$E$296,'Data - Control'!$A$5:$A$296,$A187,'Data - Control'!$B$5:$B$296,$B187)</f>
        <v/>
      </c>
      <c r="F187" s="36">
        <f>SUMIFS('Data - Control'!$F$5:$F$296,'Data - Control'!$A$5:$A$296,$A187,'Data - Control'!$B$5:$B$296,$B187)</f>
        <v/>
      </c>
      <c r="G187" s="36">
        <f>SUMIFS('Data - Control'!$G$5:$G$296,'Data - Control'!$A$5:$A$296,$A187,'Data - Control'!$B$5:$B$296,$B187)</f>
        <v/>
      </c>
      <c r="H187" s="36">
        <f>SUMIFS('Data - Control'!$H$5:$H$296,'Data - Control'!$A$5:$A$296,$A187,'Data - Control'!$B$5:$B$296,$B187)</f>
        <v/>
      </c>
      <c r="I187" s="57">
        <f>IFERROR($G187/$C187,0)</f>
        <v/>
      </c>
      <c r="J187" s="57">
        <f>IFERROR($H187/$D187,0)</f>
        <v/>
      </c>
      <c r="K187" s="36">
        <f>$D187*$I187</f>
        <v/>
      </c>
      <c r="L187" s="36">
        <f>$D187*($J187-$I187)</f>
        <v/>
      </c>
      <c r="M187" s="45">
        <f>IFERROR($D187/$C187-1,"")</f>
        <v/>
      </c>
    </row>
    <row r="188">
      <c r="A188" s="43" t="inlineStr">
        <is>
          <t>OVO Vodka LLC</t>
        </is>
      </c>
      <c r="B188" s="43" t="inlineStr">
        <is>
          <t>OVO Vodka</t>
        </is>
      </c>
      <c r="C188" s="33">
        <f>SUMIFS('Data - Control'!$C$5:$C$296,'Data - Control'!$A$5:$A$296,$A188,'Data - Control'!$B$5:$B$296,$B188)</f>
        <v/>
      </c>
      <c r="D188" s="33">
        <f>SUMIFS('Data - Control'!$D$5:$D$296,'Data - Control'!$A$5:$A$296,$A188,'Data - Control'!$B$5:$B$296,$B188)</f>
        <v/>
      </c>
      <c r="E188" s="36">
        <f>SUMIFS('Data - Control'!$E$5:$E$296,'Data - Control'!$A$5:$A$296,$A188,'Data - Control'!$B$5:$B$296,$B188)</f>
        <v/>
      </c>
      <c r="F188" s="36">
        <f>SUMIFS('Data - Control'!$F$5:$F$296,'Data - Control'!$A$5:$A$296,$A188,'Data - Control'!$B$5:$B$296,$B188)</f>
        <v/>
      </c>
      <c r="G188" s="36">
        <f>SUMIFS('Data - Control'!$G$5:$G$296,'Data - Control'!$A$5:$A$296,$A188,'Data - Control'!$B$5:$B$296,$B188)</f>
        <v/>
      </c>
      <c r="H188" s="36">
        <f>SUMIFS('Data - Control'!$H$5:$H$296,'Data - Control'!$A$5:$A$296,$A188,'Data - Control'!$B$5:$B$296,$B188)</f>
        <v/>
      </c>
      <c r="I188" s="57">
        <f>IFERROR($G188/$C188,0)</f>
        <v/>
      </c>
      <c r="J188" s="57">
        <f>IFERROR($H188/$D188,0)</f>
        <v/>
      </c>
      <c r="K188" s="36">
        <f>$D188*$I188</f>
        <v/>
      </c>
      <c r="L188" s="36">
        <f>$D188*($J188-$I188)</f>
        <v/>
      </c>
      <c r="M188" s="45">
        <f>IFERROR($D188/$C188-1,"")</f>
        <v/>
      </c>
    </row>
    <row r="189">
      <c r="A189" s="43" t="inlineStr">
        <is>
          <t>Oceano</t>
        </is>
      </c>
      <c r="B189" s="43" t="inlineStr">
        <is>
          <t>Oceano</t>
        </is>
      </c>
      <c r="C189" s="33">
        <f>SUMIFS('Data - Control'!$C$5:$C$296,'Data - Control'!$A$5:$A$296,$A189,'Data - Control'!$B$5:$B$296,$B189)</f>
        <v/>
      </c>
      <c r="D189" s="33">
        <f>SUMIFS('Data - Control'!$D$5:$D$296,'Data - Control'!$A$5:$A$296,$A189,'Data - Control'!$B$5:$B$296,$B189)</f>
        <v/>
      </c>
      <c r="E189" s="36">
        <f>SUMIFS('Data - Control'!$E$5:$E$296,'Data - Control'!$A$5:$A$296,$A189,'Data - Control'!$B$5:$B$296,$B189)</f>
        <v/>
      </c>
      <c r="F189" s="36">
        <f>SUMIFS('Data - Control'!$F$5:$F$296,'Data - Control'!$A$5:$A$296,$A189,'Data - Control'!$B$5:$B$296,$B189)</f>
        <v/>
      </c>
      <c r="G189" s="36">
        <f>SUMIFS('Data - Control'!$G$5:$G$296,'Data - Control'!$A$5:$A$296,$A189,'Data - Control'!$B$5:$B$296,$B189)</f>
        <v/>
      </c>
      <c r="H189" s="36">
        <f>SUMIFS('Data - Control'!$H$5:$H$296,'Data - Control'!$A$5:$A$296,$A189,'Data - Control'!$B$5:$B$296,$B189)</f>
        <v/>
      </c>
      <c r="I189" s="57">
        <f>IFERROR($G189/$C189,0)</f>
        <v/>
      </c>
      <c r="J189" s="57">
        <f>IFERROR($H189/$D189,0)</f>
        <v/>
      </c>
      <c r="K189" s="36">
        <f>$D189*$I189</f>
        <v/>
      </c>
      <c r="L189" s="36">
        <f>$D189*($J189-$I189)</f>
        <v/>
      </c>
      <c r="M189" s="45">
        <f>IFERROR($D189/$C189-1,"")</f>
        <v/>
      </c>
    </row>
    <row r="190">
      <c r="A190" s="43" t="inlineStr">
        <is>
          <t>Pabst Brewing Company</t>
        </is>
      </c>
      <c r="B190" s="43" t="inlineStr">
        <is>
          <t>Colt 45</t>
        </is>
      </c>
      <c r="C190" s="33">
        <f>SUMIFS('Data - Control'!$C$5:$C$296,'Data - Control'!$A$5:$A$296,$A190,'Data - Control'!$B$5:$B$296,$B190)</f>
        <v/>
      </c>
      <c r="D190" s="33">
        <f>SUMIFS('Data - Control'!$D$5:$D$296,'Data - Control'!$A$5:$A$296,$A190,'Data - Control'!$B$5:$B$296,$B190)</f>
        <v/>
      </c>
      <c r="E190" s="36">
        <f>SUMIFS('Data - Control'!$E$5:$E$296,'Data - Control'!$A$5:$A$296,$A190,'Data - Control'!$B$5:$B$296,$B190)</f>
        <v/>
      </c>
      <c r="F190" s="36">
        <f>SUMIFS('Data - Control'!$F$5:$F$296,'Data - Control'!$A$5:$A$296,$A190,'Data - Control'!$B$5:$B$296,$B190)</f>
        <v/>
      </c>
      <c r="G190" s="36">
        <f>SUMIFS('Data - Control'!$G$5:$G$296,'Data - Control'!$A$5:$A$296,$A190,'Data - Control'!$B$5:$B$296,$B190)</f>
        <v/>
      </c>
      <c r="H190" s="36">
        <f>SUMIFS('Data - Control'!$H$5:$H$296,'Data - Control'!$A$5:$A$296,$A190,'Data - Control'!$B$5:$B$296,$B190)</f>
        <v/>
      </c>
      <c r="I190" s="57">
        <f>IFERROR($G190/$C190,0)</f>
        <v/>
      </c>
      <c r="J190" s="57">
        <f>IFERROR($H190/$D190,0)</f>
        <v/>
      </c>
      <c r="K190" s="36">
        <f>$D190*$I190</f>
        <v/>
      </c>
      <c r="L190" s="36">
        <f>$D190*($J190-$I190)</f>
        <v/>
      </c>
      <c r="M190" s="45">
        <f>IFERROR($D190/$C190-1,"")</f>
        <v/>
      </c>
    </row>
    <row r="191">
      <c r="A191" s="43" t="inlineStr">
        <is>
          <t>Pabst Brewing Company</t>
        </is>
      </c>
      <c r="B191" s="43" t="inlineStr">
        <is>
          <t>Country Club</t>
        </is>
      </c>
      <c r="C191" s="33">
        <f>SUMIFS('Data - Control'!$C$5:$C$296,'Data - Control'!$A$5:$A$296,$A191,'Data - Control'!$B$5:$B$296,$B191)</f>
        <v/>
      </c>
      <c r="D191" s="33">
        <f>SUMIFS('Data - Control'!$D$5:$D$296,'Data - Control'!$A$5:$A$296,$A191,'Data - Control'!$B$5:$B$296,$B191)</f>
        <v/>
      </c>
      <c r="E191" s="36">
        <f>SUMIFS('Data - Control'!$E$5:$E$296,'Data - Control'!$A$5:$A$296,$A191,'Data - Control'!$B$5:$B$296,$B191)</f>
        <v/>
      </c>
      <c r="F191" s="36">
        <f>SUMIFS('Data - Control'!$F$5:$F$296,'Data - Control'!$A$5:$A$296,$A191,'Data - Control'!$B$5:$B$296,$B191)</f>
        <v/>
      </c>
      <c r="G191" s="36">
        <f>SUMIFS('Data - Control'!$G$5:$G$296,'Data - Control'!$A$5:$A$296,$A191,'Data - Control'!$B$5:$B$296,$B191)</f>
        <v/>
      </c>
      <c r="H191" s="36">
        <f>SUMIFS('Data - Control'!$H$5:$H$296,'Data - Control'!$A$5:$A$296,$A191,'Data - Control'!$B$5:$B$296,$B191)</f>
        <v/>
      </c>
      <c r="I191" s="57">
        <f>IFERROR($G191/$C191,0)</f>
        <v/>
      </c>
      <c r="J191" s="57">
        <f>IFERROR($H191/$D191,0)</f>
        <v/>
      </c>
      <c r="K191" s="36">
        <f>$D191*$I191</f>
        <v/>
      </c>
      <c r="L191" s="36">
        <f>$D191*($J191-$I191)</f>
        <v/>
      </c>
      <c r="M191" s="45">
        <f>IFERROR($D191/$C191-1,"")</f>
        <v/>
      </c>
    </row>
    <row r="192">
      <c r="A192" s="43" t="inlineStr">
        <is>
          <t>Pabst Brewing Company</t>
        </is>
      </c>
      <c r="B192" s="43" t="inlineStr">
        <is>
          <t>EL Jimador</t>
        </is>
      </c>
      <c r="C192" s="33">
        <f>SUMIFS('Data - Control'!$C$5:$C$296,'Data - Control'!$A$5:$A$296,$A192,'Data - Control'!$B$5:$B$296,$B192)</f>
        <v/>
      </c>
      <c r="D192" s="33">
        <f>SUMIFS('Data - Control'!$D$5:$D$296,'Data - Control'!$A$5:$A$296,$A192,'Data - Control'!$B$5:$B$296,$B192)</f>
        <v/>
      </c>
      <c r="E192" s="36">
        <f>SUMIFS('Data - Control'!$E$5:$E$296,'Data - Control'!$A$5:$A$296,$A192,'Data - Control'!$B$5:$B$296,$B192)</f>
        <v/>
      </c>
      <c r="F192" s="36">
        <f>SUMIFS('Data - Control'!$F$5:$F$296,'Data - Control'!$A$5:$A$296,$A192,'Data - Control'!$B$5:$B$296,$B192)</f>
        <v/>
      </c>
      <c r="G192" s="36">
        <f>SUMIFS('Data - Control'!$G$5:$G$296,'Data - Control'!$A$5:$A$296,$A192,'Data - Control'!$B$5:$B$296,$B192)</f>
        <v/>
      </c>
      <c r="H192" s="36">
        <f>SUMIFS('Data - Control'!$H$5:$H$296,'Data - Control'!$A$5:$A$296,$A192,'Data - Control'!$B$5:$B$296,$B192)</f>
        <v/>
      </c>
      <c r="I192" s="57">
        <f>IFERROR($G192/$C192,0)</f>
        <v/>
      </c>
      <c r="J192" s="57">
        <f>IFERROR($H192/$D192,0)</f>
        <v/>
      </c>
      <c r="K192" s="36">
        <f>$D192*$I192</f>
        <v/>
      </c>
      <c r="L192" s="36">
        <f>$D192*($J192-$I192)</f>
        <v/>
      </c>
      <c r="M192" s="45">
        <f>IFERROR($D192/$C192-1,"")</f>
        <v/>
      </c>
    </row>
    <row r="193">
      <c r="A193" s="43" t="inlineStr">
        <is>
          <t>Pabst Brewing Company</t>
        </is>
      </c>
      <c r="B193" s="43" t="inlineStr">
        <is>
          <t>Jack Daniels Country Cocktails</t>
        </is>
      </c>
      <c r="C193" s="33">
        <f>SUMIFS('Data - Control'!$C$5:$C$296,'Data - Control'!$A$5:$A$296,$A193,'Data - Control'!$B$5:$B$296,$B193)</f>
        <v/>
      </c>
      <c r="D193" s="33">
        <f>SUMIFS('Data - Control'!$D$5:$D$296,'Data - Control'!$A$5:$A$296,$A193,'Data - Control'!$B$5:$B$296,$B193)</f>
        <v/>
      </c>
      <c r="E193" s="36">
        <f>SUMIFS('Data - Control'!$E$5:$E$296,'Data - Control'!$A$5:$A$296,$A193,'Data - Control'!$B$5:$B$296,$B193)</f>
        <v/>
      </c>
      <c r="F193" s="36">
        <f>SUMIFS('Data - Control'!$F$5:$F$296,'Data - Control'!$A$5:$A$296,$A193,'Data - Control'!$B$5:$B$296,$B193)</f>
        <v/>
      </c>
      <c r="G193" s="36">
        <f>SUMIFS('Data - Control'!$G$5:$G$296,'Data - Control'!$A$5:$A$296,$A193,'Data - Control'!$B$5:$B$296,$B193)</f>
        <v/>
      </c>
      <c r="H193" s="36">
        <f>SUMIFS('Data - Control'!$H$5:$H$296,'Data - Control'!$A$5:$A$296,$A193,'Data - Control'!$B$5:$B$296,$B193)</f>
        <v/>
      </c>
      <c r="I193" s="57">
        <f>IFERROR($G193/$C193,0)</f>
        <v/>
      </c>
      <c r="J193" s="57">
        <f>IFERROR($H193/$D193,0)</f>
        <v/>
      </c>
      <c r="K193" s="36">
        <f>$D193*$I193</f>
        <v/>
      </c>
      <c r="L193" s="36">
        <f>$D193*($J193-$I193)</f>
        <v/>
      </c>
      <c r="M193" s="45">
        <f>IFERROR($D193/$C193-1,"")</f>
        <v/>
      </c>
    </row>
    <row r="194">
      <c r="A194" s="43" t="inlineStr">
        <is>
          <t>Pabst Brewing Company</t>
        </is>
      </c>
      <c r="B194" s="43" t="inlineStr">
        <is>
          <t>Lone Star</t>
        </is>
      </c>
      <c r="C194" s="33">
        <f>SUMIFS('Data - Control'!$C$5:$C$296,'Data - Control'!$A$5:$A$296,$A194,'Data - Control'!$B$5:$B$296,$B194)</f>
        <v/>
      </c>
      <c r="D194" s="33">
        <f>SUMIFS('Data - Control'!$D$5:$D$296,'Data - Control'!$A$5:$A$296,$A194,'Data - Control'!$B$5:$B$296,$B194)</f>
        <v/>
      </c>
      <c r="E194" s="36">
        <f>SUMIFS('Data - Control'!$E$5:$E$296,'Data - Control'!$A$5:$A$296,$A194,'Data - Control'!$B$5:$B$296,$B194)</f>
        <v/>
      </c>
      <c r="F194" s="36">
        <f>SUMIFS('Data - Control'!$F$5:$F$296,'Data - Control'!$A$5:$A$296,$A194,'Data - Control'!$B$5:$B$296,$B194)</f>
        <v/>
      </c>
      <c r="G194" s="36">
        <f>SUMIFS('Data - Control'!$G$5:$G$296,'Data - Control'!$A$5:$A$296,$A194,'Data - Control'!$B$5:$B$296,$B194)</f>
        <v/>
      </c>
      <c r="H194" s="36">
        <f>SUMIFS('Data - Control'!$H$5:$H$296,'Data - Control'!$A$5:$A$296,$A194,'Data - Control'!$B$5:$B$296,$B194)</f>
        <v/>
      </c>
      <c r="I194" s="57">
        <f>IFERROR($G194/$C194,0)</f>
        <v/>
      </c>
      <c r="J194" s="57">
        <f>IFERROR($H194/$D194,0)</f>
        <v/>
      </c>
      <c r="K194" s="36">
        <f>$D194*$I194</f>
        <v/>
      </c>
      <c r="L194" s="36">
        <f>$D194*($J194-$I194)</f>
        <v/>
      </c>
      <c r="M194" s="45">
        <f>IFERROR($D194/$C194-1,"")</f>
        <v/>
      </c>
    </row>
    <row r="195">
      <c r="A195" s="43" t="inlineStr">
        <is>
          <t>Pabst Brewing Company</t>
        </is>
      </c>
      <c r="B195" s="43" t="inlineStr">
        <is>
          <t>New Holland Brewing Co</t>
        </is>
      </c>
      <c r="C195" s="33">
        <f>SUMIFS('Data - Control'!$C$5:$C$296,'Data - Control'!$A$5:$A$296,$A195,'Data - Control'!$B$5:$B$296,$B195)</f>
        <v/>
      </c>
      <c r="D195" s="33">
        <f>SUMIFS('Data - Control'!$D$5:$D$296,'Data - Control'!$A$5:$A$296,$A195,'Data - Control'!$B$5:$B$296,$B195)</f>
        <v/>
      </c>
      <c r="E195" s="36">
        <f>SUMIFS('Data - Control'!$E$5:$E$296,'Data - Control'!$A$5:$A$296,$A195,'Data - Control'!$B$5:$B$296,$B195)</f>
        <v/>
      </c>
      <c r="F195" s="36">
        <f>SUMIFS('Data - Control'!$F$5:$F$296,'Data - Control'!$A$5:$A$296,$A195,'Data - Control'!$B$5:$B$296,$B195)</f>
        <v/>
      </c>
      <c r="G195" s="36">
        <f>SUMIFS('Data - Control'!$G$5:$G$296,'Data - Control'!$A$5:$A$296,$A195,'Data - Control'!$B$5:$B$296,$B195)</f>
        <v/>
      </c>
      <c r="H195" s="36">
        <f>SUMIFS('Data - Control'!$H$5:$H$296,'Data - Control'!$A$5:$A$296,$A195,'Data - Control'!$B$5:$B$296,$B195)</f>
        <v/>
      </c>
      <c r="I195" s="57">
        <f>IFERROR($G195/$C195,0)</f>
        <v/>
      </c>
      <c r="J195" s="57">
        <f>IFERROR($H195/$D195,0)</f>
        <v/>
      </c>
      <c r="K195" s="36">
        <f>$D195*$I195</f>
        <v/>
      </c>
      <c r="L195" s="36">
        <f>$D195*($J195-$I195)</f>
        <v/>
      </c>
      <c r="M195" s="45">
        <f>IFERROR($D195/$C195-1,"")</f>
        <v/>
      </c>
    </row>
    <row r="196">
      <c r="A196" s="43" t="inlineStr">
        <is>
          <t>Pabst Brewing Company</t>
        </is>
      </c>
      <c r="B196" s="43" t="inlineStr">
        <is>
          <t>Old Milwaukee</t>
        </is>
      </c>
      <c r="C196" s="33">
        <f>SUMIFS('Data - Control'!$C$5:$C$296,'Data - Control'!$A$5:$A$296,$A196,'Data - Control'!$B$5:$B$296,$B196)</f>
        <v/>
      </c>
      <c r="D196" s="33">
        <f>SUMIFS('Data - Control'!$D$5:$D$296,'Data - Control'!$A$5:$A$296,$A196,'Data - Control'!$B$5:$B$296,$B196)</f>
        <v/>
      </c>
      <c r="E196" s="36">
        <f>SUMIFS('Data - Control'!$E$5:$E$296,'Data - Control'!$A$5:$A$296,$A196,'Data - Control'!$B$5:$B$296,$B196)</f>
        <v/>
      </c>
      <c r="F196" s="36">
        <f>SUMIFS('Data - Control'!$F$5:$F$296,'Data - Control'!$A$5:$A$296,$A196,'Data - Control'!$B$5:$B$296,$B196)</f>
        <v/>
      </c>
      <c r="G196" s="36">
        <f>SUMIFS('Data - Control'!$G$5:$G$296,'Data - Control'!$A$5:$A$296,$A196,'Data - Control'!$B$5:$B$296,$B196)</f>
        <v/>
      </c>
      <c r="H196" s="36">
        <f>SUMIFS('Data - Control'!$H$5:$H$296,'Data - Control'!$A$5:$A$296,$A196,'Data - Control'!$B$5:$B$296,$B196)</f>
        <v/>
      </c>
      <c r="I196" s="57">
        <f>IFERROR($G196/$C196,0)</f>
        <v/>
      </c>
      <c r="J196" s="57">
        <f>IFERROR($H196/$D196,0)</f>
        <v/>
      </c>
      <c r="K196" s="36">
        <f>$D196*$I196</f>
        <v/>
      </c>
      <c r="L196" s="36">
        <f>$D196*($J196-$I196)</f>
        <v/>
      </c>
      <c r="M196" s="45">
        <f>IFERROR($D196/$C196-1,"")</f>
        <v/>
      </c>
    </row>
    <row r="197">
      <c r="A197" s="43" t="inlineStr">
        <is>
          <t>Pabst Brewing Company</t>
        </is>
      </c>
      <c r="B197" s="43" t="inlineStr">
        <is>
          <t>Pabst Blue Ribbon</t>
        </is>
      </c>
      <c r="C197" s="33">
        <f>SUMIFS('Data - Control'!$C$5:$C$296,'Data - Control'!$A$5:$A$296,$A197,'Data - Control'!$B$5:$B$296,$B197)</f>
        <v/>
      </c>
      <c r="D197" s="33">
        <f>SUMIFS('Data - Control'!$D$5:$D$296,'Data - Control'!$A$5:$A$296,$A197,'Data - Control'!$B$5:$B$296,$B197)</f>
        <v/>
      </c>
      <c r="E197" s="36">
        <f>SUMIFS('Data - Control'!$E$5:$E$296,'Data - Control'!$A$5:$A$296,$A197,'Data - Control'!$B$5:$B$296,$B197)</f>
        <v/>
      </c>
      <c r="F197" s="36">
        <f>SUMIFS('Data - Control'!$F$5:$F$296,'Data - Control'!$A$5:$A$296,$A197,'Data - Control'!$B$5:$B$296,$B197)</f>
        <v/>
      </c>
      <c r="G197" s="36">
        <f>SUMIFS('Data - Control'!$G$5:$G$296,'Data - Control'!$A$5:$A$296,$A197,'Data - Control'!$B$5:$B$296,$B197)</f>
        <v/>
      </c>
      <c r="H197" s="36">
        <f>SUMIFS('Data - Control'!$H$5:$H$296,'Data - Control'!$A$5:$A$296,$A197,'Data - Control'!$B$5:$B$296,$B197)</f>
        <v/>
      </c>
      <c r="I197" s="57">
        <f>IFERROR($G197/$C197,0)</f>
        <v/>
      </c>
      <c r="J197" s="57">
        <f>IFERROR($H197/$D197,0)</f>
        <v/>
      </c>
      <c r="K197" s="36">
        <f>$D197*$I197</f>
        <v/>
      </c>
      <c r="L197" s="36">
        <f>$D197*($J197-$I197)</f>
        <v/>
      </c>
      <c r="M197" s="45">
        <f>IFERROR($D197/$C197-1,"")</f>
        <v/>
      </c>
    </row>
    <row r="198">
      <c r="A198" s="43" t="inlineStr">
        <is>
          <t>Pabst Brewing Company</t>
        </is>
      </c>
      <c r="B198" s="43" t="inlineStr">
        <is>
          <t>Pabst Light</t>
        </is>
      </c>
      <c r="C198" s="33">
        <f>SUMIFS('Data - Control'!$C$5:$C$296,'Data - Control'!$A$5:$A$296,$A198,'Data - Control'!$B$5:$B$296,$B198)</f>
        <v/>
      </c>
      <c r="D198" s="33">
        <f>SUMIFS('Data - Control'!$D$5:$D$296,'Data - Control'!$A$5:$A$296,$A198,'Data - Control'!$B$5:$B$296,$B198)</f>
        <v/>
      </c>
      <c r="E198" s="36">
        <f>SUMIFS('Data - Control'!$E$5:$E$296,'Data - Control'!$A$5:$A$296,$A198,'Data - Control'!$B$5:$B$296,$B198)</f>
        <v/>
      </c>
      <c r="F198" s="36">
        <f>SUMIFS('Data - Control'!$F$5:$F$296,'Data - Control'!$A$5:$A$296,$A198,'Data - Control'!$B$5:$B$296,$B198)</f>
        <v/>
      </c>
      <c r="G198" s="36">
        <f>SUMIFS('Data - Control'!$G$5:$G$296,'Data - Control'!$A$5:$A$296,$A198,'Data - Control'!$B$5:$B$296,$B198)</f>
        <v/>
      </c>
      <c r="H198" s="36">
        <f>SUMIFS('Data - Control'!$H$5:$H$296,'Data - Control'!$A$5:$A$296,$A198,'Data - Control'!$B$5:$B$296,$B198)</f>
        <v/>
      </c>
      <c r="I198" s="57">
        <f>IFERROR($G198/$C198,0)</f>
        <v/>
      </c>
      <c r="J198" s="57">
        <f>IFERROR($H198/$D198,0)</f>
        <v/>
      </c>
      <c r="K198" s="36">
        <f>$D198*$I198</f>
        <v/>
      </c>
      <c r="L198" s="36">
        <f>$D198*($J198-$I198)</f>
        <v/>
      </c>
      <c r="M198" s="45">
        <f>IFERROR($D198/$C198-1,"")</f>
        <v/>
      </c>
    </row>
    <row r="199">
      <c r="A199" s="43" t="inlineStr">
        <is>
          <t>Pabst Brewing Company</t>
        </is>
      </c>
      <c r="B199" s="43" t="inlineStr">
        <is>
          <t>Schaefer</t>
        </is>
      </c>
      <c r="C199" s="33">
        <f>SUMIFS('Data - Control'!$C$5:$C$296,'Data - Control'!$A$5:$A$296,$A199,'Data - Control'!$B$5:$B$296,$B199)</f>
        <v/>
      </c>
      <c r="D199" s="33">
        <f>SUMIFS('Data - Control'!$D$5:$D$296,'Data - Control'!$A$5:$A$296,$A199,'Data - Control'!$B$5:$B$296,$B199)</f>
        <v/>
      </c>
      <c r="E199" s="36">
        <f>SUMIFS('Data - Control'!$E$5:$E$296,'Data - Control'!$A$5:$A$296,$A199,'Data - Control'!$B$5:$B$296,$B199)</f>
        <v/>
      </c>
      <c r="F199" s="36">
        <f>SUMIFS('Data - Control'!$F$5:$F$296,'Data - Control'!$A$5:$A$296,$A199,'Data - Control'!$B$5:$B$296,$B199)</f>
        <v/>
      </c>
      <c r="G199" s="36">
        <f>SUMIFS('Data - Control'!$G$5:$G$296,'Data - Control'!$A$5:$A$296,$A199,'Data - Control'!$B$5:$B$296,$B199)</f>
        <v/>
      </c>
      <c r="H199" s="36">
        <f>SUMIFS('Data - Control'!$H$5:$H$296,'Data - Control'!$A$5:$A$296,$A199,'Data - Control'!$B$5:$B$296,$B199)</f>
        <v/>
      </c>
      <c r="I199" s="57">
        <f>IFERROR($G199/$C199,0)</f>
        <v/>
      </c>
      <c r="J199" s="57">
        <f>IFERROR($H199/$D199,0)</f>
        <v/>
      </c>
      <c r="K199" s="36">
        <f>$D199*$I199</f>
        <v/>
      </c>
      <c r="L199" s="36">
        <f>$D199*($J199-$I199)</f>
        <v/>
      </c>
      <c r="M199" s="45">
        <f>IFERROR($D199/$C199-1,"")</f>
        <v/>
      </c>
    </row>
    <row r="200">
      <c r="A200" s="43" t="inlineStr">
        <is>
          <t>Pabst Brewing Company</t>
        </is>
      </c>
      <c r="B200" s="43" t="inlineStr">
        <is>
          <t>Schlitz Malt</t>
        </is>
      </c>
      <c r="C200" s="33">
        <f>SUMIFS('Data - Control'!$C$5:$C$296,'Data - Control'!$A$5:$A$296,$A200,'Data - Control'!$B$5:$B$296,$B200)</f>
        <v/>
      </c>
      <c r="D200" s="33">
        <f>SUMIFS('Data - Control'!$D$5:$D$296,'Data - Control'!$A$5:$A$296,$A200,'Data - Control'!$B$5:$B$296,$B200)</f>
        <v/>
      </c>
      <c r="E200" s="36">
        <f>SUMIFS('Data - Control'!$E$5:$E$296,'Data - Control'!$A$5:$A$296,$A200,'Data - Control'!$B$5:$B$296,$B200)</f>
        <v/>
      </c>
      <c r="F200" s="36">
        <f>SUMIFS('Data - Control'!$F$5:$F$296,'Data - Control'!$A$5:$A$296,$A200,'Data - Control'!$B$5:$B$296,$B200)</f>
        <v/>
      </c>
      <c r="G200" s="36">
        <f>SUMIFS('Data - Control'!$G$5:$G$296,'Data - Control'!$A$5:$A$296,$A200,'Data - Control'!$B$5:$B$296,$B200)</f>
        <v/>
      </c>
      <c r="H200" s="36">
        <f>SUMIFS('Data - Control'!$H$5:$H$296,'Data - Control'!$A$5:$A$296,$A200,'Data - Control'!$B$5:$B$296,$B200)</f>
        <v/>
      </c>
      <c r="I200" s="57">
        <f>IFERROR($G200/$C200,0)</f>
        <v/>
      </c>
      <c r="J200" s="57">
        <f>IFERROR($H200/$D200,0)</f>
        <v/>
      </c>
      <c r="K200" s="36">
        <f>$D200*$I200</f>
        <v/>
      </c>
      <c r="L200" s="36">
        <f>$D200*($J200-$I200)</f>
        <v/>
      </c>
      <c r="M200" s="45">
        <f>IFERROR($D200/$C200-1,"")</f>
        <v/>
      </c>
    </row>
    <row r="201">
      <c r="A201" s="43" t="inlineStr">
        <is>
          <t>Pabst Brewing Company</t>
        </is>
      </c>
      <c r="B201" s="43" t="inlineStr">
        <is>
          <t>Small Town</t>
        </is>
      </c>
      <c r="C201" s="33">
        <f>SUMIFS('Data - Control'!$C$5:$C$296,'Data - Control'!$A$5:$A$296,$A201,'Data - Control'!$B$5:$B$296,$B201)</f>
        <v/>
      </c>
      <c r="D201" s="33">
        <f>SUMIFS('Data - Control'!$D$5:$D$296,'Data - Control'!$A$5:$A$296,$A201,'Data - Control'!$B$5:$B$296,$B201)</f>
        <v/>
      </c>
      <c r="E201" s="36">
        <f>SUMIFS('Data - Control'!$E$5:$E$296,'Data - Control'!$A$5:$A$296,$A201,'Data - Control'!$B$5:$B$296,$B201)</f>
        <v/>
      </c>
      <c r="F201" s="36">
        <f>SUMIFS('Data - Control'!$F$5:$F$296,'Data - Control'!$A$5:$A$296,$A201,'Data - Control'!$B$5:$B$296,$B201)</f>
        <v/>
      </c>
      <c r="G201" s="36">
        <f>SUMIFS('Data - Control'!$G$5:$G$296,'Data - Control'!$A$5:$A$296,$A201,'Data - Control'!$B$5:$B$296,$B201)</f>
        <v/>
      </c>
      <c r="H201" s="36">
        <f>SUMIFS('Data - Control'!$H$5:$H$296,'Data - Control'!$A$5:$A$296,$A201,'Data - Control'!$B$5:$B$296,$B201)</f>
        <v/>
      </c>
      <c r="I201" s="57">
        <f>IFERROR($G201/$C201,0)</f>
        <v/>
      </c>
      <c r="J201" s="57">
        <f>IFERROR($H201/$D201,0)</f>
        <v/>
      </c>
      <c r="K201" s="36">
        <f>$D201*$I201</f>
        <v/>
      </c>
      <c r="L201" s="36">
        <f>$D201*($J201-$I201)</f>
        <v/>
      </c>
      <c r="M201" s="45">
        <f>IFERROR($D201/$C201-1,"")</f>
        <v/>
      </c>
    </row>
    <row r="202">
      <c r="A202" s="43" t="inlineStr">
        <is>
          <t>Pabst Brewing Company</t>
        </is>
      </c>
      <c r="B202" s="43" t="inlineStr">
        <is>
          <t>St Ides</t>
        </is>
      </c>
      <c r="C202" s="33">
        <f>SUMIFS('Data - Control'!$C$5:$C$296,'Data - Control'!$A$5:$A$296,$A202,'Data - Control'!$B$5:$B$296,$B202)</f>
        <v/>
      </c>
      <c r="D202" s="33">
        <f>SUMIFS('Data - Control'!$D$5:$D$296,'Data - Control'!$A$5:$A$296,$A202,'Data - Control'!$B$5:$B$296,$B202)</f>
        <v/>
      </c>
      <c r="E202" s="36">
        <f>SUMIFS('Data - Control'!$E$5:$E$296,'Data - Control'!$A$5:$A$296,$A202,'Data - Control'!$B$5:$B$296,$B202)</f>
        <v/>
      </c>
      <c r="F202" s="36">
        <f>SUMIFS('Data - Control'!$F$5:$F$296,'Data - Control'!$A$5:$A$296,$A202,'Data - Control'!$B$5:$B$296,$B202)</f>
        <v/>
      </c>
      <c r="G202" s="36">
        <f>SUMIFS('Data - Control'!$G$5:$G$296,'Data - Control'!$A$5:$A$296,$A202,'Data - Control'!$B$5:$B$296,$B202)</f>
        <v/>
      </c>
      <c r="H202" s="36">
        <f>SUMIFS('Data - Control'!$H$5:$H$296,'Data - Control'!$A$5:$A$296,$A202,'Data - Control'!$B$5:$B$296,$B202)</f>
        <v/>
      </c>
      <c r="I202" s="57">
        <f>IFERROR($G202/$C202,0)</f>
        <v/>
      </c>
      <c r="J202" s="57">
        <f>IFERROR($H202/$D202,0)</f>
        <v/>
      </c>
      <c r="K202" s="36">
        <f>$D202*$I202</f>
        <v/>
      </c>
      <c r="L202" s="36">
        <f>$D202*($J202-$I202)</f>
        <v/>
      </c>
      <c r="M202" s="45">
        <f>IFERROR($D202/$C202-1,"")</f>
        <v/>
      </c>
    </row>
    <row r="203">
      <c r="A203" s="43" t="inlineStr">
        <is>
          <t>Pampa Beverages</t>
        </is>
      </c>
      <c r="B203" s="43" t="inlineStr">
        <is>
          <t>Quilmes</t>
        </is>
      </c>
      <c r="C203" s="33">
        <f>SUMIFS('Data - Control'!$C$5:$C$296,'Data - Control'!$A$5:$A$296,$A203,'Data - Control'!$B$5:$B$296,$B203)</f>
        <v/>
      </c>
      <c r="D203" s="33">
        <f>SUMIFS('Data - Control'!$D$5:$D$296,'Data - Control'!$A$5:$A$296,$A203,'Data - Control'!$B$5:$B$296,$B203)</f>
        <v/>
      </c>
      <c r="E203" s="36">
        <f>SUMIFS('Data - Control'!$E$5:$E$296,'Data - Control'!$A$5:$A$296,$A203,'Data - Control'!$B$5:$B$296,$B203)</f>
        <v/>
      </c>
      <c r="F203" s="36">
        <f>SUMIFS('Data - Control'!$F$5:$F$296,'Data - Control'!$A$5:$A$296,$A203,'Data - Control'!$B$5:$B$296,$B203)</f>
        <v/>
      </c>
      <c r="G203" s="36">
        <f>SUMIFS('Data - Control'!$G$5:$G$296,'Data - Control'!$A$5:$A$296,$A203,'Data - Control'!$B$5:$B$296,$B203)</f>
        <v/>
      </c>
      <c r="H203" s="36">
        <f>SUMIFS('Data - Control'!$H$5:$H$296,'Data - Control'!$A$5:$A$296,$A203,'Data - Control'!$B$5:$B$296,$B203)</f>
        <v/>
      </c>
      <c r="I203" s="57">
        <f>IFERROR($G203/$C203,0)</f>
        <v/>
      </c>
      <c r="J203" s="57">
        <f>IFERROR($H203/$D203,0)</f>
        <v/>
      </c>
      <c r="K203" s="36">
        <f>$D203*$I203</f>
        <v/>
      </c>
      <c r="L203" s="36">
        <f>$D203*($J203-$I203)</f>
        <v/>
      </c>
      <c r="M203" s="45">
        <f>IFERROR($D203/$C203-1,"")</f>
        <v/>
      </c>
    </row>
    <row r="204">
      <c r="A204" s="43" t="inlineStr">
        <is>
          <t>Paradisse Spirits LLC</t>
        </is>
      </c>
      <c r="B204" s="43" t="inlineStr">
        <is>
          <t>Paradisse</t>
        </is>
      </c>
      <c r="C204" s="33">
        <f>SUMIFS('Data - Control'!$C$5:$C$296,'Data - Control'!$A$5:$A$296,$A204,'Data - Control'!$B$5:$B$296,$B204)</f>
        <v/>
      </c>
      <c r="D204" s="33">
        <f>SUMIFS('Data - Control'!$D$5:$D$296,'Data - Control'!$A$5:$A$296,$A204,'Data - Control'!$B$5:$B$296,$B204)</f>
        <v/>
      </c>
      <c r="E204" s="36">
        <f>SUMIFS('Data - Control'!$E$5:$E$296,'Data - Control'!$A$5:$A$296,$A204,'Data - Control'!$B$5:$B$296,$B204)</f>
        <v/>
      </c>
      <c r="F204" s="36">
        <f>SUMIFS('Data - Control'!$F$5:$F$296,'Data - Control'!$A$5:$A$296,$A204,'Data - Control'!$B$5:$B$296,$B204)</f>
        <v/>
      </c>
      <c r="G204" s="36">
        <f>SUMIFS('Data - Control'!$G$5:$G$296,'Data - Control'!$A$5:$A$296,$A204,'Data - Control'!$B$5:$B$296,$B204)</f>
        <v/>
      </c>
      <c r="H204" s="36">
        <f>SUMIFS('Data - Control'!$H$5:$H$296,'Data - Control'!$A$5:$A$296,$A204,'Data - Control'!$B$5:$B$296,$B204)</f>
        <v/>
      </c>
      <c r="I204" s="57">
        <f>IFERROR($G204/$C204,0)</f>
        <v/>
      </c>
      <c r="J204" s="57">
        <f>IFERROR($H204/$D204,0)</f>
        <v/>
      </c>
      <c r="K204" s="36">
        <f>$D204*$I204</f>
        <v/>
      </c>
      <c r="L204" s="36">
        <f>$D204*($J204-$I204)</f>
        <v/>
      </c>
      <c r="M204" s="45">
        <f>IFERROR($D204/$C204-1,"")</f>
        <v/>
      </c>
    </row>
    <row r="205">
      <c r="A205" s="43" t="inlineStr">
        <is>
          <t>Park Street Imports</t>
        </is>
      </c>
      <c r="B205" s="43" t="inlineStr">
        <is>
          <t>Plaid Duck</t>
        </is>
      </c>
      <c r="C205" s="33">
        <f>SUMIFS('Data - Control'!$C$5:$C$296,'Data - Control'!$A$5:$A$296,$A205,'Data - Control'!$B$5:$B$296,$B205)</f>
        <v/>
      </c>
      <c r="D205" s="33">
        <f>SUMIFS('Data - Control'!$D$5:$D$296,'Data - Control'!$A$5:$A$296,$A205,'Data - Control'!$B$5:$B$296,$B205)</f>
        <v/>
      </c>
      <c r="E205" s="36">
        <f>SUMIFS('Data - Control'!$E$5:$E$296,'Data - Control'!$A$5:$A$296,$A205,'Data - Control'!$B$5:$B$296,$B205)</f>
        <v/>
      </c>
      <c r="F205" s="36">
        <f>SUMIFS('Data - Control'!$F$5:$F$296,'Data - Control'!$A$5:$A$296,$A205,'Data - Control'!$B$5:$B$296,$B205)</f>
        <v/>
      </c>
      <c r="G205" s="36">
        <f>SUMIFS('Data - Control'!$G$5:$G$296,'Data - Control'!$A$5:$A$296,$A205,'Data - Control'!$B$5:$B$296,$B205)</f>
        <v/>
      </c>
      <c r="H205" s="36">
        <f>SUMIFS('Data - Control'!$H$5:$H$296,'Data - Control'!$A$5:$A$296,$A205,'Data - Control'!$B$5:$B$296,$B205)</f>
        <v/>
      </c>
      <c r="I205" s="57">
        <f>IFERROR($G205/$C205,0)</f>
        <v/>
      </c>
      <c r="J205" s="57">
        <f>IFERROR($H205/$D205,0)</f>
        <v/>
      </c>
      <c r="K205" s="36">
        <f>$D205*$I205</f>
        <v/>
      </c>
      <c r="L205" s="36">
        <f>$D205*($J205-$I205)</f>
        <v/>
      </c>
      <c r="M205" s="45">
        <f>IFERROR($D205/$C205-1,"")</f>
        <v/>
      </c>
    </row>
    <row r="206">
      <c r="A206" s="43" t="inlineStr">
        <is>
          <t>Passion Tree Co</t>
        </is>
      </c>
      <c r="B206" s="43" t="inlineStr">
        <is>
          <t>Pop Sips</t>
        </is>
      </c>
      <c r="C206" s="33">
        <f>SUMIFS('Data - Control'!$C$5:$C$296,'Data - Control'!$A$5:$A$296,$A206,'Data - Control'!$B$5:$B$296,$B206)</f>
        <v/>
      </c>
      <c r="D206" s="33">
        <f>SUMIFS('Data - Control'!$D$5:$D$296,'Data - Control'!$A$5:$A$296,$A206,'Data - Control'!$B$5:$B$296,$B206)</f>
        <v/>
      </c>
      <c r="E206" s="36">
        <f>SUMIFS('Data - Control'!$E$5:$E$296,'Data - Control'!$A$5:$A$296,$A206,'Data - Control'!$B$5:$B$296,$B206)</f>
        <v/>
      </c>
      <c r="F206" s="36">
        <f>SUMIFS('Data - Control'!$F$5:$F$296,'Data - Control'!$A$5:$A$296,$A206,'Data - Control'!$B$5:$B$296,$B206)</f>
        <v/>
      </c>
      <c r="G206" s="36">
        <f>SUMIFS('Data - Control'!$G$5:$G$296,'Data - Control'!$A$5:$A$296,$A206,'Data - Control'!$B$5:$B$296,$B206)</f>
        <v/>
      </c>
      <c r="H206" s="36">
        <f>SUMIFS('Data - Control'!$H$5:$H$296,'Data - Control'!$A$5:$A$296,$A206,'Data - Control'!$B$5:$B$296,$B206)</f>
        <v/>
      </c>
      <c r="I206" s="57">
        <f>IFERROR($G206/$C206,0)</f>
        <v/>
      </c>
      <c r="J206" s="57">
        <f>IFERROR($H206/$D206,0)</f>
        <v/>
      </c>
      <c r="K206" s="36">
        <f>$D206*$I206</f>
        <v/>
      </c>
      <c r="L206" s="36">
        <f>$D206*($J206-$I206)</f>
        <v/>
      </c>
      <c r="M206" s="45">
        <f>IFERROR($D206/$C206-1,"")</f>
        <v/>
      </c>
    </row>
    <row r="207">
      <c r="A207" s="43" t="inlineStr">
        <is>
          <t>Paulaner</t>
        </is>
      </c>
      <c r="B207" s="43" t="inlineStr">
        <is>
          <t>Fuller's</t>
        </is>
      </c>
      <c r="C207" s="33">
        <f>SUMIFS('Data - Control'!$C$5:$C$296,'Data - Control'!$A$5:$A$296,$A207,'Data - Control'!$B$5:$B$296,$B207)</f>
        <v/>
      </c>
      <c r="D207" s="33">
        <f>SUMIFS('Data - Control'!$D$5:$D$296,'Data - Control'!$A$5:$A$296,$A207,'Data - Control'!$B$5:$B$296,$B207)</f>
        <v/>
      </c>
      <c r="E207" s="36">
        <f>SUMIFS('Data - Control'!$E$5:$E$296,'Data - Control'!$A$5:$A$296,$A207,'Data - Control'!$B$5:$B$296,$B207)</f>
        <v/>
      </c>
      <c r="F207" s="36">
        <f>SUMIFS('Data - Control'!$F$5:$F$296,'Data - Control'!$A$5:$A$296,$A207,'Data - Control'!$B$5:$B$296,$B207)</f>
        <v/>
      </c>
      <c r="G207" s="36">
        <f>SUMIFS('Data - Control'!$G$5:$G$296,'Data - Control'!$A$5:$A$296,$A207,'Data - Control'!$B$5:$B$296,$B207)</f>
        <v/>
      </c>
      <c r="H207" s="36">
        <f>SUMIFS('Data - Control'!$H$5:$H$296,'Data - Control'!$A$5:$A$296,$A207,'Data - Control'!$B$5:$B$296,$B207)</f>
        <v/>
      </c>
      <c r="I207" s="57">
        <f>IFERROR($G207/$C207,0)</f>
        <v/>
      </c>
      <c r="J207" s="57">
        <f>IFERROR($H207/$D207,0)</f>
        <v/>
      </c>
      <c r="K207" s="36">
        <f>$D207*$I207</f>
        <v/>
      </c>
      <c r="L207" s="36">
        <f>$D207*($J207-$I207)</f>
        <v/>
      </c>
      <c r="M207" s="45">
        <f>IFERROR($D207/$C207-1,"")</f>
        <v/>
      </c>
    </row>
    <row r="208">
      <c r="A208" s="43" t="inlineStr">
        <is>
          <t>Paulaner</t>
        </is>
      </c>
      <c r="B208" s="43" t="inlineStr">
        <is>
          <t>Hacker-Pschorr</t>
        </is>
      </c>
      <c r="C208" s="33">
        <f>SUMIFS('Data - Control'!$C$5:$C$296,'Data - Control'!$A$5:$A$296,$A208,'Data - Control'!$B$5:$B$296,$B208)</f>
        <v/>
      </c>
      <c r="D208" s="33">
        <f>SUMIFS('Data - Control'!$D$5:$D$296,'Data - Control'!$A$5:$A$296,$A208,'Data - Control'!$B$5:$B$296,$B208)</f>
        <v/>
      </c>
      <c r="E208" s="36">
        <f>SUMIFS('Data - Control'!$E$5:$E$296,'Data - Control'!$A$5:$A$296,$A208,'Data - Control'!$B$5:$B$296,$B208)</f>
        <v/>
      </c>
      <c r="F208" s="36">
        <f>SUMIFS('Data - Control'!$F$5:$F$296,'Data - Control'!$A$5:$A$296,$A208,'Data - Control'!$B$5:$B$296,$B208)</f>
        <v/>
      </c>
      <c r="G208" s="36">
        <f>SUMIFS('Data - Control'!$G$5:$G$296,'Data - Control'!$A$5:$A$296,$A208,'Data - Control'!$B$5:$B$296,$B208)</f>
        <v/>
      </c>
      <c r="H208" s="36">
        <f>SUMIFS('Data - Control'!$H$5:$H$296,'Data - Control'!$A$5:$A$296,$A208,'Data - Control'!$B$5:$B$296,$B208)</f>
        <v/>
      </c>
      <c r="I208" s="57">
        <f>IFERROR($G208/$C208,0)</f>
        <v/>
      </c>
      <c r="J208" s="57">
        <f>IFERROR($H208/$D208,0)</f>
        <v/>
      </c>
      <c r="K208" s="36">
        <f>$D208*$I208</f>
        <v/>
      </c>
      <c r="L208" s="36">
        <f>$D208*($J208-$I208)</f>
        <v/>
      </c>
      <c r="M208" s="45">
        <f>IFERROR($D208/$C208-1,"")</f>
        <v/>
      </c>
    </row>
    <row r="209">
      <c r="A209" s="43" t="inlineStr">
        <is>
          <t>Paulaner</t>
        </is>
      </c>
      <c r="B209" s="43" t="inlineStr">
        <is>
          <t>Paulaner</t>
        </is>
      </c>
      <c r="C209" s="33">
        <f>SUMIFS('Data - Control'!$C$5:$C$296,'Data - Control'!$A$5:$A$296,$A209,'Data - Control'!$B$5:$B$296,$B209)</f>
        <v/>
      </c>
      <c r="D209" s="33">
        <f>SUMIFS('Data - Control'!$D$5:$D$296,'Data - Control'!$A$5:$A$296,$A209,'Data - Control'!$B$5:$B$296,$B209)</f>
        <v/>
      </c>
      <c r="E209" s="36">
        <f>SUMIFS('Data - Control'!$E$5:$E$296,'Data - Control'!$A$5:$A$296,$A209,'Data - Control'!$B$5:$B$296,$B209)</f>
        <v/>
      </c>
      <c r="F209" s="36">
        <f>SUMIFS('Data - Control'!$F$5:$F$296,'Data - Control'!$A$5:$A$296,$A209,'Data - Control'!$B$5:$B$296,$B209)</f>
        <v/>
      </c>
      <c r="G209" s="36">
        <f>SUMIFS('Data - Control'!$G$5:$G$296,'Data - Control'!$A$5:$A$296,$A209,'Data - Control'!$B$5:$B$296,$B209)</f>
        <v/>
      </c>
      <c r="H209" s="36">
        <f>SUMIFS('Data - Control'!$H$5:$H$296,'Data - Control'!$A$5:$A$296,$A209,'Data - Control'!$B$5:$B$296,$B209)</f>
        <v/>
      </c>
      <c r="I209" s="57">
        <f>IFERROR($G209/$C209,0)</f>
        <v/>
      </c>
      <c r="J209" s="57">
        <f>IFERROR($H209/$D209,0)</f>
        <v/>
      </c>
      <c r="K209" s="36">
        <f>$D209*$I209</f>
        <v/>
      </c>
      <c r="L209" s="36">
        <f>$D209*($J209-$I209)</f>
        <v/>
      </c>
      <c r="M209" s="45">
        <f>IFERROR($D209/$C209-1,"")</f>
        <v/>
      </c>
    </row>
    <row r="210">
      <c r="A210" s="43" t="inlineStr">
        <is>
          <t>Paulaner</t>
        </is>
      </c>
      <c r="B210" s="43" t="inlineStr">
        <is>
          <t>Tsingtao</t>
        </is>
      </c>
      <c r="C210" s="33">
        <f>SUMIFS('Data - Control'!$C$5:$C$296,'Data - Control'!$A$5:$A$296,$A210,'Data - Control'!$B$5:$B$296,$B210)</f>
        <v/>
      </c>
      <c r="D210" s="33">
        <f>SUMIFS('Data - Control'!$D$5:$D$296,'Data - Control'!$A$5:$A$296,$A210,'Data - Control'!$B$5:$B$296,$B210)</f>
        <v/>
      </c>
      <c r="E210" s="36">
        <f>SUMIFS('Data - Control'!$E$5:$E$296,'Data - Control'!$A$5:$A$296,$A210,'Data - Control'!$B$5:$B$296,$B210)</f>
        <v/>
      </c>
      <c r="F210" s="36">
        <f>SUMIFS('Data - Control'!$F$5:$F$296,'Data - Control'!$A$5:$A$296,$A210,'Data - Control'!$B$5:$B$296,$B210)</f>
        <v/>
      </c>
      <c r="G210" s="36">
        <f>SUMIFS('Data - Control'!$G$5:$G$296,'Data - Control'!$A$5:$A$296,$A210,'Data - Control'!$B$5:$B$296,$B210)</f>
        <v/>
      </c>
      <c r="H210" s="36">
        <f>SUMIFS('Data - Control'!$H$5:$H$296,'Data - Control'!$A$5:$A$296,$A210,'Data - Control'!$B$5:$B$296,$B210)</f>
        <v/>
      </c>
      <c r="I210" s="57">
        <f>IFERROR($G210/$C210,0)</f>
        <v/>
      </c>
      <c r="J210" s="57">
        <f>IFERROR($H210/$D210,0)</f>
        <v/>
      </c>
      <c r="K210" s="36">
        <f>$D210*$I210</f>
        <v/>
      </c>
      <c r="L210" s="36">
        <f>$D210*($J210-$I210)</f>
        <v/>
      </c>
      <c r="M210" s="45">
        <f>IFERROR($D210/$C210-1,"")</f>
        <v/>
      </c>
    </row>
    <row r="211">
      <c r="A211" s="43" t="inlineStr">
        <is>
          <t>Phusion Projects</t>
        </is>
      </c>
      <c r="B211" s="43" t="inlineStr">
        <is>
          <t>Earthquake</t>
        </is>
      </c>
      <c r="C211" s="33">
        <f>SUMIFS('Data - Control'!$C$5:$C$296,'Data - Control'!$A$5:$A$296,$A211,'Data - Control'!$B$5:$B$296,$B211)</f>
        <v/>
      </c>
      <c r="D211" s="33">
        <f>SUMIFS('Data - Control'!$D$5:$D$296,'Data - Control'!$A$5:$A$296,$A211,'Data - Control'!$B$5:$B$296,$B211)</f>
        <v/>
      </c>
      <c r="E211" s="36">
        <f>SUMIFS('Data - Control'!$E$5:$E$296,'Data - Control'!$A$5:$A$296,$A211,'Data - Control'!$B$5:$B$296,$B211)</f>
        <v/>
      </c>
      <c r="F211" s="36">
        <f>SUMIFS('Data - Control'!$F$5:$F$296,'Data - Control'!$A$5:$A$296,$A211,'Data - Control'!$B$5:$B$296,$B211)</f>
        <v/>
      </c>
      <c r="G211" s="36">
        <f>SUMIFS('Data - Control'!$G$5:$G$296,'Data - Control'!$A$5:$A$296,$A211,'Data - Control'!$B$5:$B$296,$B211)</f>
        <v/>
      </c>
      <c r="H211" s="36">
        <f>SUMIFS('Data - Control'!$H$5:$H$296,'Data - Control'!$A$5:$A$296,$A211,'Data - Control'!$B$5:$B$296,$B211)</f>
        <v/>
      </c>
      <c r="I211" s="57">
        <f>IFERROR($G211/$C211,0)</f>
        <v/>
      </c>
      <c r="J211" s="57">
        <f>IFERROR($H211/$D211,0)</f>
        <v/>
      </c>
      <c r="K211" s="36">
        <f>$D211*$I211</f>
        <v/>
      </c>
      <c r="L211" s="36">
        <f>$D211*($J211-$I211)</f>
        <v/>
      </c>
      <c r="M211" s="45">
        <f>IFERROR($D211/$C211-1,"")</f>
        <v/>
      </c>
    </row>
    <row r="212">
      <c r="A212" s="43" t="inlineStr">
        <is>
          <t>Phusion Projects</t>
        </is>
      </c>
      <c r="B212" s="43" t="inlineStr">
        <is>
          <t>Four Loko</t>
        </is>
      </c>
      <c r="C212" s="33">
        <f>SUMIFS('Data - Control'!$C$5:$C$296,'Data - Control'!$A$5:$A$296,$A212,'Data - Control'!$B$5:$B$296,$B212)</f>
        <v/>
      </c>
      <c r="D212" s="33">
        <f>SUMIFS('Data - Control'!$D$5:$D$296,'Data - Control'!$A$5:$A$296,$A212,'Data - Control'!$B$5:$B$296,$B212)</f>
        <v/>
      </c>
      <c r="E212" s="36">
        <f>SUMIFS('Data - Control'!$E$5:$E$296,'Data - Control'!$A$5:$A$296,$A212,'Data - Control'!$B$5:$B$296,$B212)</f>
        <v/>
      </c>
      <c r="F212" s="36">
        <f>SUMIFS('Data - Control'!$F$5:$F$296,'Data - Control'!$A$5:$A$296,$A212,'Data - Control'!$B$5:$B$296,$B212)</f>
        <v/>
      </c>
      <c r="G212" s="36">
        <f>SUMIFS('Data - Control'!$G$5:$G$296,'Data - Control'!$A$5:$A$296,$A212,'Data - Control'!$B$5:$B$296,$B212)</f>
        <v/>
      </c>
      <c r="H212" s="36">
        <f>SUMIFS('Data - Control'!$H$5:$H$296,'Data - Control'!$A$5:$A$296,$A212,'Data - Control'!$B$5:$B$296,$B212)</f>
        <v/>
      </c>
      <c r="I212" s="57">
        <f>IFERROR($G212/$C212,0)</f>
        <v/>
      </c>
      <c r="J212" s="57">
        <f>IFERROR($H212/$D212,0)</f>
        <v/>
      </c>
      <c r="K212" s="36">
        <f>$D212*$I212</f>
        <v/>
      </c>
      <c r="L212" s="36">
        <f>$D212*($J212-$I212)</f>
        <v/>
      </c>
      <c r="M212" s="45">
        <f>IFERROR($D212/$C212-1,"")</f>
        <v/>
      </c>
    </row>
    <row r="213">
      <c r="A213" s="43" t="inlineStr">
        <is>
          <t>Phusion Projects</t>
        </is>
      </c>
      <c r="B213" s="43" t="inlineStr">
        <is>
          <t>Mamita's</t>
        </is>
      </c>
      <c r="C213" s="33">
        <f>SUMIFS('Data - Control'!$C$5:$C$296,'Data - Control'!$A$5:$A$296,$A213,'Data - Control'!$B$5:$B$296,$B213)</f>
        <v/>
      </c>
      <c r="D213" s="33">
        <f>SUMIFS('Data - Control'!$D$5:$D$296,'Data - Control'!$A$5:$A$296,$A213,'Data - Control'!$B$5:$B$296,$B213)</f>
        <v/>
      </c>
      <c r="E213" s="36">
        <f>SUMIFS('Data - Control'!$E$5:$E$296,'Data - Control'!$A$5:$A$296,$A213,'Data - Control'!$B$5:$B$296,$B213)</f>
        <v/>
      </c>
      <c r="F213" s="36">
        <f>SUMIFS('Data - Control'!$F$5:$F$296,'Data - Control'!$A$5:$A$296,$A213,'Data - Control'!$B$5:$B$296,$B213)</f>
        <v/>
      </c>
      <c r="G213" s="36">
        <f>SUMIFS('Data - Control'!$G$5:$G$296,'Data - Control'!$A$5:$A$296,$A213,'Data - Control'!$B$5:$B$296,$B213)</f>
        <v/>
      </c>
      <c r="H213" s="36">
        <f>SUMIFS('Data - Control'!$H$5:$H$296,'Data - Control'!$A$5:$A$296,$A213,'Data - Control'!$B$5:$B$296,$B213)</f>
        <v/>
      </c>
      <c r="I213" s="57">
        <f>IFERROR($G213/$C213,0)</f>
        <v/>
      </c>
      <c r="J213" s="57">
        <f>IFERROR($H213/$D213,0)</f>
        <v/>
      </c>
      <c r="K213" s="36">
        <f>$D213*$I213</f>
        <v/>
      </c>
      <c r="L213" s="36">
        <f>$D213*($J213-$I213)</f>
        <v/>
      </c>
      <c r="M213" s="45">
        <f>IFERROR($D213/$C213-1,"")</f>
        <v/>
      </c>
    </row>
    <row r="214">
      <c r="A214" s="43" t="inlineStr">
        <is>
          <t>Pio Imports</t>
        </is>
      </c>
      <c r="B214" s="43" t="inlineStr">
        <is>
          <t>Bloom Bubbles</t>
        </is>
      </c>
      <c r="C214" s="33">
        <f>SUMIFS('Data - Control'!$C$5:$C$296,'Data - Control'!$A$5:$A$296,$A214,'Data - Control'!$B$5:$B$296,$B214)</f>
        <v/>
      </c>
      <c r="D214" s="33">
        <f>SUMIFS('Data - Control'!$D$5:$D$296,'Data - Control'!$A$5:$A$296,$A214,'Data - Control'!$B$5:$B$296,$B214)</f>
        <v/>
      </c>
      <c r="E214" s="36">
        <f>SUMIFS('Data - Control'!$E$5:$E$296,'Data - Control'!$A$5:$A$296,$A214,'Data - Control'!$B$5:$B$296,$B214)</f>
        <v/>
      </c>
      <c r="F214" s="36">
        <f>SUMIFS('Data - Control'!$F$5:$F$296,'Data - Control'!$A$5:$A$296,$A214,'Data - Control'!$B$5:$B$296,$B214)</f>
        <v/>
      </c>
      <c r="G214" s="36">
        <f>SUMIFS('Data - Control'!$G$5:$G$296,'Data - Control'!$A$5:$A$296,$A214,'Data - Control'!$B$5:$B$296,$B214)</f>
        <v/>
      </c>
      <c r="H214" s="36">
        <f>SUMIFS('Data - Control'!$H$5:$H$296,'Data - Control'!$A$5:$A$296,$A214,'Data - Control'!$B$5:$B$296,$B214)</f>
        <v/>
      </c>
      <c r="I214" s="57">
        <f>IFERROR($G214/$C214,0)</f>
        <v/>
      </c>
      <c r="J214" s="57">
        <f>IFERROR($H214/$D214,0)</f>
        <v/>
      </c>
      <c r="K214" s="36">
        <f>$D214*$I214</f>
        <v/>
      </c>
      <c r="L214" s="36">
        <f>$D214*($J214-$I214)</f>
        <v/>
      </c>
      <c r="M214" s="45">
        <f>IFERROR($D214/$C214-1,"")</f>
        <v/>
      </c>
    </row>
    <row r="215">
      <c r="A215" s="43" t="inlineStr">
        <is>
          <t>Point Brewing</t>
        </is>
      </c>
      <c r="B215" s="43" t="inlineStr">
        <is>
          <t>Whole Hog</t>
        </is>
      </c>
      <c r="C215" s="33">
        <f>SUMIFS('Data - Control'!$C$5:$C$296,'Data - Control'!$A$5:$A$296,$A215,'Data - Control'!$B$5:$B$296,$B215)</f>
        <v/>
      </c>
      <c r="D215" s="33">
        <f>SUMIFS('Data - Control'!$D$5:$D$296,'Data - Control'!$A$5:$A$296,$A215,'Data - Control'!$B$5:$B$296,$B215)</f>
        <v/>
      </c>
      <c r="E215" s="36">
        <f>SUMIFS('Data - Control'!$E$5:$E$296,'Data - Control'!$A$5:$A$296,$A215,'Data - Control'!$B$5:$B$296,$B215)</f>
        <v/>
      </c>
      <c r="F215" s="36">
        <f>SUMIFS('Data - Control'!$F$5:$F$296,'Data - Control'!$A$5:$A$296,$A215,'Data - Control'!$B$5:$B$296,$B215)</f>
        <v/>
      </c>
      <c r="G215" s="36">
        <f>SUMIFS('Data - Control'!$G$5:$G$296,'Data - Control'!$A$5:$A$296,$A215,'Data - Control'!$B$5:$B$296,$B215)</f>
        <v/>
      </c>
      <c r="H215" s="36">
        <f>SUMIFS('Data - Control'!$H$5:$H$296,'Data - Control'!$A$5:$A$296,$A215,'Data - Control'!$B$5:$B$296,$B215)</f>
        <v/>
      </c>
      <c r="I215" s="57">
        <f>IFERROR($G215/$C215,0)</f>
        <v/>
      </c>
      <c r="J215" s="57">
        <f>IFERROR($H215/$D215,0)</f>
        <v/>
      </c>
      <c r="K215" s="36">
        <f>$D215*$I215</f>
        <v/>
      </c>
      <c r="L215" s="36">
        <f>$D215*($J215-$I215)</f>
        <v/>
      </c>
      <c r="M215" s="45">
        <f>IFERROR($D215/$C215-1,"")</f>
        <v/>
      </c>
    </row>
    <row r="216">
      <c r="A216" s="43" t="inlineStr">
        <is>
          <t>Power Distribution LLC</t>
        </is>
      </c>
      <c r="B216" s="43" t="inlineStr">
        <is>
          <t>Belize Breeze</t>
        </is>
      </c>
      <c r="C216" s="33">
        <f>SUMIFS('Data - Control'!$C$5:$C$296,'Data - Control'!$A$5:$A$296,$A216,'Data - Control'!$B$5:$B$296,$B216)</f>
        <v/>
      </c>
      <c r="D216" s="33">
        <f>SUMIFS('Data - Control'!$D$5:$D$296,'Data - Control'!$A$5:$A$296,$A216,'Data - Control'!$B$5:$B$296,$B216)</f>
        <v/>
      </c>
      <c r="E216" s="36">
        <f>SUMIFS('Data - Control'!$E$5:$E$296,'Data - Control'!$A$5:$A$296,$A216,'Data - Control'!$B$5:$B$296,$B216)</f>
        <v/>
      </c>
      <c r="F216" s="36">
        <f>SUMIFS('Data - Control'!$F$5:$F$296,'Data - Control'!$A$5:$A$296,$A216,'Data - Control'!$B$5:$B$296,$B216)</f>
        <v/>
      </c>
      <c r="G216" s="36">
        <f>SUMIFS('Data - Control'!$G$5:$G$296,'Data - Control'!$A$5:$A$296,$A216,'Data - Control'!$B$5:$B$296,$B216)</f>
        <v/>
      </c>
      <c r="H216" s="36">
        <f>SUMIFS('Data - Control'!$H$5:$H$296,'Data - Control'!$A$5:$A$296,$A216,'Data - Control'!$B$5:$B$296,$B216)</f>
        <v/>
      </c>
      <c r="I216" s="57">
        <f>IFERROR($G216/$C216,0)</f>
        <v/>
      </c>
      <c r="J216" s="57">
        <f>IFERROR($H216/$D216,0)</f>
        <v/>
      </c>
      <c r="K216" s="36">
        <f>$D216*$I216</f>
        <v/>
      </c>
      <c r="L216" s="36">
        <f>$D216*($J216-$I216)</f>
        <v/>
      </c>
      <c r="M216" s="45">
        <f>IFERROR($D216/$C216-1,"")</f>
        <v/>
      </c>
    </row>
    <row r="217">
      <c r="A217" s="43" t="inlineStr">
        <is>
          <t>Prestige</t>
        </is>
      </c>
      <c r="B217" s="43" t="inlineStr">
        <is>
          <t>Fix Hellas</t>
        </is>
      </c>
      <c r="C217" s="33">
        <f>SUMIFS('Data - Control'!$C$5:$C$296,'Data - Control'!$A$5:$A$296,$A217,'Data - Control'!$B$5:$B$296,$B217)</f>
        <v/>
      </c>
      <c r="D217" s="33">
        <f>SUMIFS('Data - Control'!$D$5:$D$296,'Data - Control'!$A$5:$A$296,$A217,'Data - Control'!$B$5:$B$296,$B217)</f>
        <v/>
      </c>
      <c r="E217" s="36">
        <f>SUMIFS('Data - Control'!$E$5:$E$296,'Data - Control'!$A$5:$A$296,$A217,'Data - Control'!$B$5:$B$296,$B217)</f>
        <v/>
      </c>
      <c r="F217" s="36">
        <f>SUMIFS('Data - Control'!$F$5:$F$296,'Data - Control'!$A$5:$A$296,$A217,'Data - Control'!$B$5:$B$296,$B217)</f>
        <v/>
      </c>
      <c r="G217" s="36">
        <f>SUMIFS('Data - Control'!$G$5:$G$296,'Data - Control'!$A$5:$A$296,$A217,'Data - Control'!$B$5:$B$296,$B217)</f>
        <v/>
      </c>
      <c r="H217" s="36">
        <f>SUMIFS('Data - Control'!$H$5:$H$296,'Data - Control'!$A$5:$A$296,$A217,'Data - Control'!$B$5:$B$296,$B217)</f>
        <v/>
      </c>
      <c r="I217" s="57">
        <f>IFERROR($G217/$C217,0)</f>
        <v/>
      </c>
      <c r="J217" s="57">
        <f>IFERROR($H217/$D217,0)</f>
        <v/>
      </c>
      <c r="K217" s="36">
        <f>$D217*$I217</f>
        <v/>
      </c>
      <c r="L217" s="36">
        <f>$D217*($J217-$I217)</f>
        <v/>
      </c>
      <c r="M217" s="45">
        <f>IFERROR($D217/$C217-1,"")</f>
        <v/>
      </c>
    </row>
    <row r="218">
      <c r="A218" s="43" t="inlineStr">
        <is>
          <t>Prestige</t>
        </is>
      </c>
      <c r="B218" s="43" t="inlineStr">
        <is>
          <t>Greek Spirits</t>
        </is>
      </c>
      <c r="C218" s="33">
        <f>SUMIFS('Data - Control'!$C$5:$C$296,'Data - Control'!$A$5:$A$296,$A218,'Data - Control'!$B$5:$B$296,$B218)</f>
        <v/>
      </c>
      <c r="D218" s="33">
        <f>SUMIFS('Data - Control'!$D$5:$D$296,'Data - Control'!$A$5:$A$296,$A218,'Data - Control'!$B$5:$B$296,$B218)</f>
        <v/>
      </c>
      <c r="E218" s="36">
        <f>SUMIFS('Data - Control'!$E$5:$E$296,'Data - Control'!$A$5:$A$296,$A218,'Data - Control'!$B$5:$B$296,$B218)</f>
        <v/>
      </c>
      <c r="F218" s="36">
        <f>SUMIFS('Data - Control'!$F$5:$F$296,'Data - Control'!$A$5:$A$296,$A218,'Data - Control'!$B$5:$B$296,$B218)</f>
        <v/>
      </c>
      <c r="G218" s="36">
        <f>SUMIFS('Data - Control'!$G$5:$G$296,'Data - Control'!$A$5:$A$296,$A218,'Data - Control'!$B$5:$B$296,$B218)</f>
        <v/>
      </c>
      <c r="H218" s="36">
        <f>SUMIFS('Data - Control'!$H$5:$H$296,'Data - Control'!$A$5:$A$296,$A218,'Data - Control'!$B$5:$B$296,$B218)</f>
        <v/>
      </c>
      <c r="I218" s="57">
        <f>IFERROR($G218/$C218,0)</f>
        <v/>
      </c>
      <c r="J218" s="57">
        <f>IFERROR($H218/$D218,0)</f>
        <v/>
      </c>
      <c r="K218" s="36">
        <f>$D218*$I218</f>
        <v/>
      </c>
      <c r="L218" s="36">
        <f>$D218*($J218-$I218)</f>
        <v/>
      </c>
      <c r="M218" s="45">
        <f>IFERROR($D218/$C218-1,"")</f>
        <v/>
      </c>
    </row>
    <row r="219">
      <c r="A219" s="43" t="inlineStr">
        <is>
          <t>Prestige</t>
        </is>
      </c>
      <c r="B219" s="43" t="inlineStr">
        <is>
          <t>Greek Wines</t>
        </is>
      </c>
      <c r="C219" s="33">
        <f>SUMIFS('Data - Control'!$C$5:$C$296,'Data - Control'!$A$5:$A$296,$A219,'Data - Control'!$B$5:$B$296,$B219)</f>
        <v/>
      </c>
      <c r="D219" s="33">
        <f>SUMIFS('Data - Control'!$D$5:$D$296,'Data - Control'!$A$5:$A$296,$A219,'Data - Control'!$B$5:$B$296,$B219)</f>
        <v/>
      </c>
      <c r="E219" s="36">
        <f>SUMIFS('Data - Control'!$E$5:$E$296,'Data - Control'!$A$5:$A$296,$A219,'Data - Control'!$B$5:$B$296,$B219)</f>
        <v/>
      </c>
      <c r="F219" s="36">
        <f>SUMIFS('Data - Control'!$F$5:$F$296,'Data - Control'!$A$5:$A$296,$A219,'Data - Control'!$B$5:$B$296,$B219)</f>
        <v/>
      </c>
      <c r="G219" s="36">
        <f>SUMIFS('Data - Control'!$G$5:$G$296,'Data - Control'!$A$5:$A$296,$A219,'Data - Control'!$B$5:$B$296,$B219)</f>
        <v/>
      </c>
      <c r="H219" s="36">
        <f>SUMIFS('Data - Control'!$H$5:$H$296,'Data - Control'!$A$5:$A$296,$A219,'Data - Control'!$B$5:$B$296,$B219)</f>
        <v/>
      </c>
      <c r="I219" s="57">
        <f>IFERROR($G219/$C219,0)</f>
        <v/>
      </c>
      <c r="J219" s="57">
        <f>IFERROR($H219/$D219,0)</f>
        <v/>
      </c>
      <c r="K219" s="36">
        <f>$D219*$I219</f>
        <v/>
      </c>
      <c r="L219" s="36">
        <f>$D219*($J219-$I219)</f>
        <v/>
      </c>
      <c r="M219" s="45">
        <f>IFERROR($D219/$C219-1,"")</f>
        <v/>
      </c>
    </row>
    <row r="220">
      <c r="A220" s="43" t="inlineStr">
        <is>
          <t>Prestige</t>
        </is>
      </c>
      <c r="B220" s="43" t="inlineStr">
        <is>
          <t>Mythos</t>
        </is>
      </c>
      <c r="C220" s="33">
        <f>SUMIFS('Data - Control'!$C$5:$C$296,'Data - Control'!$A$5:$A$296,$A220,'Data - Control'!$B$5:$B$296,$B220)</f>
        <v/>
      </c>
      <c r="D220" s="33">
        <f>SUMIFS('Data - Control'!$D$5:$D$296,'Data - Control'!$A$5:$A$296,$A220,'Data - Control'!$B$5:$B$296,$B220)</f>
        <v/>
      </c>
      <c r="E220" s="36">
        <f>SUMIFS('Data - Control'!$E$5:$E$296,'Data - Control'!$A$5:$A$296,$A220,'Data - Control'!$B$5:$B$296,$B220)</f>
        <v/>
      </c>
      <c r="F220" s="36">
        <f>SUMIFS('Data - Control'!$F$5:$F$296,'Data - Control'!$A$5:$A$296,$A220,'Data - Control'!$B$5:$B$296,$B220)</f>
        <v/>
      </c>
      <c r="G220" s="36">
        <f>SUMIFS('Data - Control'!$G$5:$G$296,'Data - Control'!$A$5:$A$296,$A220,'Data - Control'!$B$5:$B$296,$B220)</f>
        <v/>
      </c>
      <c r="H220" s="36">
        <f>SUMIFS('Data - Control'!$H$5:$H$296,'Data - Control'!$A$5:$A$296,$A220,'Data - Control'!$B$5:$B$296,$B220)</f>
        <v/>
      </c>
      <c r="I220" s="57">
        <f>IFERROR($G220/$C220,0)</f>
        <v/>
      </c>
      <c r="J220" s="57">
        <f>IFERROR($H220/$D220,0)</f>
        <v/>
      </c>
      <c r="K220" s="36">
        <f>$D220*$I220</f>
        <v/>
      </c>
      <c r="L220" s="36">
        <f>$D220*($J220-$I220)</f>
        <v/>
      </c>
      <c r="M220" s="45">
        <f>IFERROR($D220/$C220-1,"")</f>
        <v/>
      </c>
    </row>
    <row r="221">
      <c r="A221" s="43" t="inlineStr">
        <is>
          <t>Prestige Beverage Group</t>
        </is>
      </c>
      <c r="B221" s="43" t="inlineStr">
        <is>
          <t>2XO</t>
        </is>
      </c>
      <c r="C221" s="33">
        <f>SUMIFS('Data - Control'!$C$5:$C$296,'Data - Control'!$A$5:$A$296,$A221,'Data - Control'!$B$5:$B$296,$B221)</f>
        <v/>
      </c>
      <c r="D221" s="33">
        <f>SUMIFS('Data - Control'!$D$5:$D$296,'Data - Control'!$A$5:$A$296,$A221,'Data - Control'!$B$5:$B$296,$B221)</f>
        <v/>
      </c>
      <c r="E221" s="36">
        <f>SUMIFS('Data - Control'!$E$5:$E$296,'Data - Control'!$A$5:$A$296,$A221,'Data - Control'!$B$5:$B$296,$B221)</f>
        <v/>
      </c>
      <c r="F221" s="36">
        <f>SUMIFS('Data - Control'!$F$5:$F$296,'Data - Control'!$A$5:$A$296,$A221,'Data - Control'!$B$5:$B$296,$B221)</f>
        <v/>
      </c>
      <c r="G221" s="36">
        <f>SUMIFS('Data - Control'!$G$5:$G$296,'Data - Control'!$A$5:$A$296,$A221,'Data - Control'!$B$5:$B$296,$B221)</f>
        <v/>
      </c>
      <c r="H221" s="36">
        <f>SUMIFS('Data - Control'!$H$5:$H$296,'Data - Control'!$A$5:$A$296,$A221,'Data - Control'!$B$5:$B$296,$B221)</f>
        <v/>
      </c>
      <c r="I221" s="57">
        <f>IFERROR($G221/$C221,0)</f>
        <v/>
      </c>
      <c r="J221" s="57">
        <f>IFERROR($H221/$D221,0)</f>
        <v/>
      </c>
      <c r="K221" s="36">
        <f>$D221*$I221</f>
        <v/>
      </c>
      <c r="L221" s="36">
        <f>$D221*($J221-$I221)</f>
        <v/>
      </c>
      <c r="M221" s="45">
        <f>IFERROR($D221/$C221-1,"")</f>
        <v/>
      </c>
    </row>
    <row r="222">
      <c r="A222" s="43" t="inlineStr">
        <is>
          <t>Prestige Beverage Group</t>
        </is>
      </c>
      <c r="B222" s="43" t="inlineStr">
        <is>
          <t>Gionelli</t>
        </is>
      </c>
      <c r="C222" s="33">
        <f>SUMIFS('Data - Control'!$C$5:$C$296,'Data - Control'!$A$5:$A$296,$A222,'Data - Control'!$B$5:$B$296,$B222)</f>
        <v/>
      </c>
      <c r="D222" s="33">
        <f>SUMIFS('Data - Control'!$D$5:$D$296,'Data - Control'!$A$5:$A$296,$A222,'Data - Control'!$B$5:$B$296,$B222)</f>
        <v/>
      </c>
      <c r="E222" s="36">
        <f>SUMIFS('Data - Control'!$E$5:$E$296,'Data - Control'!$A$5:$A$296,$A222,'Data - Control'!$B$5:$B$296,$B222)</f>
        <v/>
      </c>
      <c r="F222" s="36">
        <f>SUMIFS('Data - Control'!$F$5:$F$296,'Data - Control'!$A$5:$A$296,$A222,'Data - Control'!$B$5:$B$296,$B222)</f>
        <v/>
      </c>
      <c r="G222" s="36">
        <f>SUMIFS('Data - Control'!$G$5:$G$296,'Data - Control'!$A$5:$A$296,$A222,'Data - Control'!$B$5:$B$296,$B222)</f>
        <v/>
      </c>
      <c r="H222" s="36">
        <f>SUMIFS('Data - Control'!$H$5:$H$296,'Data - Control'!$A$5:$A$296,$A222,'Data - Control'!$B$5:$B$296,$B222)</f>
        <v/>
      </c>
      <c r="I222" s="57">
        <f>IFERROR($G222/$C222,0)</f>
        <v/>
      </c>
      <c r="J222" s="57">
        <f>IFERROR($H222/$D222,0)</f>
        <v/>
      </c>
      <c r="K222" s="36">
        <f>$D222*$I222</f>
        <v/>
      </c>
      <c r="L222" s="36">
        <f>$D222*($J222-$I222)</f>
        <v/>
      </c>
      <c r="M222" s="45">
        <f>IFERROR($D222/$C222-1,"")</f>
        <v/>
      </c>
    </row>
    <row r="223">
      <c r="A223" s="43" t="inlineStr">
        <is>
          <t>Prestige Beverage Group</t>
        </is>
      </c>
      <c r="B223" s="43" t="inlineStr">
        <is>
          <t>Le Grand Noir</t>
        </is>
      </c>
      <c r="C223" s="33">
        <f>SUMIFS('Data - Control'!$C$5:$C$296,'Data - Control'!$A$5:$A$296,$A223,'Data - Control'!$B$5:$B$296,$B223)</f>
        <v/>
      </c>
      <c r="D223" s="33">
        <f>SUMIFS('Data - Control'!$D$5:$D$296,'Data - Control'!$A$5:$A$296,$A223,'Data - Control'!$B$5:$B$296,$B223)</f>
        <v/>
      </c>
      <c r="E223" s="36">
        <f>SUMIFS('Data - Control'!$E$5:$E$296,'Data - Control'!$A$5:$A$296,$A223,'Data - Control'!$B$5:$B$296,$B223)</f>
        <v/>
      </c>
      <c r="F223" s="36">
        <f>SUMIFS('Data - Control'!$F$5:$F$296,'Data - Control'!$A$5:$A$296,$A223,'Data - Control'!$B$5:$B$296,$B223)</f>
        <v/>
      </c>
      <c r="G223" s="36">
        <f>SUMIFS('Data - Control'!$G$5:$G$296,'Data - Control'!$A$5:$A$296,$A223,'Data - Control'!$B$5:$B$296,$B223)</f>
        <v/>
      </c>
      <c r="H223" s="36">
        <f>SUMIFS('Data - Control'!$H$5:$H$296,'Data - Control'!$A$5:$A$296,$A223,'Data - Control'!$B$5:$B$296,$B223)</f>
        <v/>
      </c>
      <c r="I223" s="57">
        <f>IFERROR($G223/$C223,0)</f>
        <v/>
      </c>
      <c r="J223" s="57">
        <f>IFERROR($H223/$D223,0)</f>
        <v/>
      </c>
      <c r="K223" s="36">
        <f>$D223*$I223</f>
        <v/>
      </c>
      <c r="L223" s="36">
        <f>$D223*($J223-$I223)</f>
        <v/>
      </c>
      <c r="M223" s="45">
        <f>IFERROR($D223/$C223-1,"")</f>
        <v/>
      </c>
    </row>
    <row r="224">
      <c r="A224" s="43" t="inlineStr">
        <is>
          <t>Prestige Beverage Group</t>
        </is>
      </c>
      <c r="B224" s="43" t="inlineStr">
        <is>
          <t>Overstone</t>
        </is>
      </c>
      <c r="C224" s="33">
        <f>SUMIFS('Data - Control'!$C$5:$C$296,'Data - Control'!$A$5:$A$296,$A224,'Data - Control'!$B$5:$B$296,$B224)</f>
        <v/>
      </c>
      <c r="D224" s="33">
        <f>SUMIFS('Data - Control'!$D$5:$D$296,'Data - Control'!$A$5:$A$296,$A224,'Data - Control'!$B$5:$B$296,$B224)</f>
        <v/>
      </c>
      <c r="E224" s="36">
        <f>SUMIFS('Data - Control'!$E$5:$E$296,'Data - Control'!$A$5:$A$296,$A224,'Data - Control'!$B$5:$B$296,$B224)</f>
        <v/>
      </c>
      <c r="F224" s="36">
        <f>SUMIFS('Data - Control'!$F$5:$F$296,'Data - Control'!$A$5:$A$296,$A224,'Data - Control'!$B$5:$B$296,$B224)</f>
        <v/>
      </c>
      <c r="G224" s="36">
        <f>SUMIFS('Data - Control'!$G$5:$G$296,'Data - Control'!$A$5:$A$296,$A224,'Data - Control'!$B$5:$B$296,$B224)</f>
        <v/>
      </c>
      <c r="H224" s="36">
        <f>SUMIFS('Data - Control'!$H$5:$H$296,'Data - Control'!$A$5:$A$296,$A224,'Data - Control'!$B$5:$B$296,$B224)</f>
        <v/>
      </c>
      <c r="I224" s="57">
        <f>IFERROR($G224/$C224,0)</f>
        <v/>
      </c>
      <c r="J224" s="57">
        <f>IFERROR($H224/$D224,0)</f>
        <v/>
      </c>
      <c r="K224" s="36">
        <f>$D224*$I224</f>
        <v/>
      </c>
      <c r="L224" s="36">
        <f>$D224*($J224-$I224)</f>
        <v/>
      </c>
      <c r="M224" s="45">
        <f>IFERROR($D224/$C224-1,"")</f>
        <v/>
      </c>
    </row>
    <row r="225">
      <c r="A225" s="43" t="inlineStr">
        <is>
          <t>Pride &amp; Clarke</t>
        </is>
      </c>
      <c r="B225" s="43" t="inlineStr">
        <is>
          <t>Pride &amp; Clarke</t>
        </is>
      </c>
      <c r="C225" s="33">
        <f>SUMIFS('Data - Control'!$C$5:$C$296,'Data - Control'!$A$5:$A$296,$A225,'Data - Control'!$B$5:$B$296,$B225)</f>
        <v/>
      </c>
      <c r="D225" s="33">
        <f>SUMIFS('Data - Control'!$D$5:$D$296,'Data - Control'!$A$5:$A$296,$A225,'Data - Control'!$B$5:$B$296,$B225)</f>
        <v/>
      </c>
      <c r="E225" s="36">
        <f>SUMIFS('Data - Control'!$E$5:$E$296,'Data - Control'!$A$5:$A$296,$A225,'Data - Control'!$B$5:$B$296,$B225)</f>
        <v/>
      </c>
      <c r="F225" s="36">
        <f>SUMIFS('Data - Control'!$F$5:$F$296,'Data - Control'!$A$5:$A$296,$A225,'Data - Control'!$B$5:$B$296,$B225)</f>
        <v/>
      </c>
      <c r="G225" s="36">
        <f>SUMIFS('Data - Control'!$G$5:$G$296,'Data - Control'!$A$5:$A$296,$A225,'Data - Control'!$B$5:$B$296,$B225)</f>
        <v/>
      </c>
      <c r="H225" s="36">
        <f>SUMIFS('Data - Control'!$H$5:$H$296,'Data - Control'!$A$5:$A$296,$A225,'Data - Control'!$B$5:$B$296,$B225)</f>
        <v/>
      </c>
      <c r="I225" s="57">
        <f>IFERROR($G225/$C225,0)</f>
        <v/>
      </c>
      <c r="J225" s="57">
        <f>IFERROR($H225/$D225,0)</f>
        <v/>
      </c>
      <c r="K225" s="36">
        <f>$D225*$I225</f>
        <v/>
      </c>
      <c r="L225" s="36">
        <f>$D225*($J225-$I225)</f>
        <v/>
      </c>
      <c r="M225" s="45">
        <f>IFERROR($D225/$C225-1,"")</f>
        <v/>
      </c>
    </row>
    <row r="226">
      <c r="A226" s="43" t="inlineStr">
        <is>
          <t>Primos Imports LLC</t>
        </is>
      </c>
      <c r="B226" s="43" t="inlineStr">
        <is>
          <t>Charro</t>
        </is>
      </c>
      <c r="C226" s="33">
        <f>SUMIFS('Data - Control'!$C$5:$C$296,'Data - Control'!$A$5:$A$296,$A226,'Data - Control'!$B$5:$B$296,$B226)</f>
        <v/>
      </c>
      <c r="D226" s="33">
        <f>SUMIFS('Data - Control'!$D$5:$D$296,'Data - Control'!$A$5:$A$296,$A226,'Data - Control'!$B$5:$B$296,$B226)</f>
        <v/>
      </c>
      <c r="E226" s="36">
        <f>SUMIFS('Data - Control'!$E$5:$E$296,'Data - Control'!$A$5:$A$296,$A226,'Data - Control'!$B$5:$B$296,$B226)</f>
        <v/>
      </c>
      <c r="F226" s="36">
        <f>SUMIFS('Data - Control'!$F$5:$F$296,'Data - Control'!$A$5:$A$296,$A226,'Data - Control'!$B$5:$B$296,$B226)</f>
        <v/>
      </c>
      <c r="G226" s="36">
        <f>SUMIFS('Data - Control'!$G$5:$G$296,'Data - Control'!$A$5:$A$296,$A226,'Data - Control'!$B$5:$B$296,$B226)</f>
        <v/>
      </c>
      <c r="H226" s="36">
        <f>SUMIFS('Data - Control'!$H$5:$H$296,'Data - Control'!$A$5:$A$296,$A226,'Data - Control'!$B$5:$B$296,$B226)</f>
        <v/>
      </c>
      <c r="I226" s="57">
        <f>IFERROR($G226/$C226,0)</f>
        <v/>
      </c>
      <c r="J226" s="57">
        <f>IFERROR($H226/$D226,0)</f>
        <v/>
      </c>
      <c r="K226" s="36">
        <f>$D226*$I226</f>
        <v/>
      </c>
      <c r="L226" s="36">
        <f>$D226*($J226-$I226)</f>
        <v/>
      </c>
      <c r="M226" s="45">
        <f>IFERROR($D226/$C226-1,"")</f>
        <v/>
      </c>
    </row>
    <row r="227">
      <c r="A227" s="43" t="inlineStr">
        <is>
          <t>Primos Imports LLC</t>
        </is>
      </c>
      <c r="B227" s="43" t="inlineStr">
        <is>
          <t>Monte Xanic</t>
        </is>
      </c>
      <c r="C227" s="33">
        <f>SUMIFS('Data - Control'!$C$5:$C$296,'Data - Control'!$A$5:$A$296,$A227,'Data - Control'!$B$5:$B$296,$B227)</f>
        <v/>
      </c>
      <c r="D227" s="33">
        <f>SUMIFS('Data - Control'!$D$5:$D$296,'Data - Control'!$A$5:$A$296,$A227,'Data - Control'!$B$5:$B$296,$B227)</f>
        <v/>
      </c>
      <c r="E227" s="36">
        <f>SUMIFS('Data - Control'!$E$5:$E$296,'Data - Control'!$A$5:$A$296,$A227,'Data - Control'!$B$5:$B$296,$B227)</f>
        <v/>
      </c>
      <c r="F227" s="36">
        <f>SUMIFS('Data - Control'!$F$5:$F$296,'Data - Control'!$A$5:$A$296,$A227,'Data - Control'!$B$5:$B$296,$B227)</f>
        <v/>
      </c>
      <c r="G227" s="36">
        <f>SUMIFS('Data - Control'!$G$5:$G$296,'Data - Control'!$A$5:$A$296,$A227,'Data - Control'!$B$5:$B$296,$B227)</f>
        <v/>
      </c>
      <c r="H227" s="36">
        <f>SUMIFS('Data - Control'!$H$5:$H$296,'Data - Control'!$A$5:$A$296,$A227,'Data - Control'!$B$5:$B$296,$B227)</f>
        <v/>
      </c>
      <c r="I227" s="57">
        <f>IFERROR($G227/$C227,0)</f>
        <v/>
      </c>
      <c r="J227" s="57">
        <f>IFERROR($H227/$D227,0)</f>
        <v/>
      </c>
      <c r="K227" s="36">
        <f>$D227*$I227</f>
        <v/>
      </c>
      <c r="L227" s="36">
        <f>$D227*($J227-$I227)</f>
        <v/>
      </c>
      <c r="M227" s="45">
        <f>IFERROR($D227/$C227-1,"")</f>
        <v/>
      </c>
    </row>
    <row r="228">
      <c r="A228" s="43" t="inlineStr">
        <is>
          <t>Primos Imports LLC</t>
        </is>
      </c>
      <c r="B228" s="43" t="inlineStr">
        <is>
          <t>Rompe Corazon</t>
        </is>
      </c>
      <c r="C228" s="33">
        <f>SUMIFS('Data - Control'!$C$5:$C$296,'Data - Control'!$A$5:$A$296,$A228,'Data - Control'!$B$5:$B$296,$B228)</f>
        <v/>
      </c>
      <c r="D228" s="33">
        <f>SUMIFS('Data - Control'!$D$5:$D$296,'Data - Control'!$A$5:$A$296,$A228,'Data - Control'!$B$5:$B$296,$B228)</f>
        <v/>
      </c>
      <c r="E228" s="36">
        <f>SUMIFS('Data - Control'!$E$5:$E$296,'Data - Control'!$A$5:$A$296,$A228,'Data - Control'!$B$5:$B$296,$B228)</f>
        <v/>
      </c>
      <c r="F228" s="36">
        <f>SUMIFS('Data - Control'!$F$5:$F$296,'Data - Control'!$A$5:$A$296,$A228,'Data - Control'!$B$5:$B$296,$B228)</f>
        <v/>
      </c>
      <c r="G228" s="36">
        <f>SUMIFS('Data - Control'!$G$5:$G$296,'Data - Control'!$A$5:$A$296,$A228,'Data - Control'!$B$5:$B$296,$B228)</f>
        <v/>
      </c>
      <c r="H228" s="36">
        <f>SUMIFS('Data - Control'!$H$5:$H$296,'Data - Control'!$A$5:$A$296,$A228,'Data - Control'!$B$5:$B$296,$B228)</f>
        <v/>
      </c>
      <c r="I228" s="57">
        <f>IFERROR($G228/$C228,0)</f>
        <v/>
      </c>
      <c r="J228" s="57">
        <f>IFERROR($H228/$D228,0)</f>
        <v/>
      </c>
      <c r="K228" s="36">
        <f>$D228*$I228</f>
        <v/>
      </c>
      <c r="L228" s="36">
        <f>$D228*($J228-$I228)</f>
        <v/>
      </c>
      <c r="M228" s="45">
        <f>IFERROR($D228/$C228-1,"")</f>
        <v/>
      </c>
    </row>
    <row r="229">
      <c r="A229" s="43" t="inlineStr">
        <is>
          <t>Radeberger USA</t>
        </is>
      </c>
      <c r="B229" s="43" t="inlineStr">
        <is>
          <t>Clausthaler</t>
        </is>
      </c>
      <c r="C229" s="33">
        <f>SUMIFS('Data - Control'!$C$5:$C$296,'Data - Control'!$A$5:$A$296,$A229,'Data - Control'!$B$5:$B$296,$B229)</f>
        <v/>
      </c>
      <c r="D229" s="33">
        <f>SUMIFS('Data - Control'!$D$5:$D$296,'Data - Control'!$A$5:$A$296,$A229,'Data - Control'!$B$5:$B$296,$B229)</f>
        <v/>
      </c>
      <c r="E229" s="36">
        <f>SUMIFS('Data - Control'!$E$5:$E$296,'Data - Control'!$A$5:$A$296,$A229,'Data - Control'!$B$5:$B$296,$B229)</f>
        <v/>
      </c>
      <c r="F229" s="36">
        <f>SUMIFS('Data - Control'!$F$5:$F$296,'Data - Control'!$A$5:$A$296,$A229,'Data - Control'!$B$5:$B$296,$B229)</f>
        <v/>
      </c>
      <c r="G229" s="36">
        <f>SUMIFS('Data - Control'!$G$5:$G$296,'Data - Control'!$A$5:$A$296,$A229,'Data - Control'!$B$5:$B$296,$B229)</f>
        <v/>
      </c>
      <c r="H229" s="36">
        <f>SUMIFS('Data - Control'!$H$5:$H$296,'Data - Control'!$A$5:$A$296,$A229,'Data - Control'!$B$5:$B$296,$B229)</f>
        <v/>
      </c>
      <c r="I229" s="57">
        <f>IFERROR($G229/$C229,0)</f>
        <v/>
      </c>
      <c r="J229" s="57">
        <f>IFERROR($H229/$D229,0)</f>
        <v/>
      </c>
      <c r="K229" s="36">
        <f>$D229*$I229</f>
        <v/>
      </c>
      <c r="L229" s="36">
        <f>$D229*($J229-$I229)</f>
        <v/>
      </c>
      <c r="M229" s="45">
        <f>IFERROR($D229/$C229-1,"")</f>
        <v/>
      </c>
    </row>
    <row r="230">
      <c r="A230" s="43" t="inlineStr">
        <is>
          <t>Radeberger USA</t>
        </is>
      </c>
      <c r="B230" s="43" t="inlineStr">
        <is>
          <t>Dab</t>
        </is>
      </c>
      <c r="C230" s="33">
        <f>SUMIFS('Data - Control'!$C$5:$C$296,'Data - Control'!$A$5:$A$296,$A230,'Data - Control'!$B$5:$B$296,$B230)</f>
        <v/>
      </c>
      <c r="D230" s="33">
        <f>SUMIFS('Data - Control'!$D$5:$D$296,'Data - Control'!$A$5:$A$296,$A230,'Data - Control'!$B$5:$B$296,$B230)</f>
        <v/>
      </c>
      <c r="E230" s="36">
        <f>SUMIFS('Data - Control'!$E$5:$E$296,'Data - Control'!$A$5:$A$296,$A230,'Data - Control'!$B$5:$B$296,$B230)</f>
        <v/>
      </c>
      <c r="F230" s="36">
        <f>SUMIFS('Data - Control'!$F$5:$F$296,'Data - Control'!$A$5:$A$296,$A230,'Data - Control'!$B$5:$B$296,$B230)</f>
        <v/>
      </c>
      <c r="G230" s="36">
        <f>SUMIFS('Data - Control'!$G$5:$G$296,'Data - Control'!$A$5:$A$296,$A230,'Data - Control'!$B$5:$B$296,$B230)</f>
        <v/>
      </c>
      <c r="H230" s="36">
        <f>SUMIFS('Data - Control'!$H$5:$H$296,'Data - Control'!$A$5:$A$296,$A230,'Data - Control'!$B$5:$B$296,$B230)</f>
        <v/>
      </c>
      <c r="I230" s="57">
        <f>IFERROR($G230/$C230,0)</f>
        <v/>
      </c>
      <c r="J230" s="57">
        <f>IFERROR($H230/$D230,0)</f>
        <v/>
      </c>
      <c r="K230" s="36">
        <f>$D230*$I230</f>
        <v/>
      </c>
      <c r="L230" s="36">
        <f>$D230*($J230-$I230)</f>
        <v/>
      </c>
      <c r="M230" s="45">
        <f>IFERROR($D230/$C230-1,"")</f>
        <v/>
      </c>
    </row>
    <row r="231">
      <c r="A231" s="43" t="inlineStr">
        <is>
          <t>Radeberger USA</t>
        </is>
      </c>
      <c r="B231" s="43" t="inlineStr">
        <is>
          <t>Radeberger</t>
        </is>
      </c>
      <c r="C231" s="33">
        <f>SUMIFS('Data - Control'!$C$5:$C$296,'Data - Control'!$A$5:$A$296,$A231,'Data - Control'!$B$5:$B$296,$B231)</f>
        <v/>
      </c>
      <c r="D231" s="33">
        <f>SUMIFS('Data - Control'!$D$5:$D$296,'Data - Control'!$A$5:$A$296,$A231,'Data - Control'!$B$5:$B$296,$B231)</f>
        <v/>
      </c>
      <c r="E231" s="36">
        <f>SUMIFS('Data - Control'!$E$5:$E$296,'Data - Control'!$A$5:$A$296,$A231,'Data - Control'!$B$5:$B$296,$B231)</f>
        <v/>
      </c>
      <c r="F231" s="36">
        <f>SUMIFS('Data - Control'!$F$5:$F$296,'Data - Control'!$A$5:$A$296,$A231,'Data - Control'!$B$5:$B$296,$B231)</f>
        <v/>
      </c>
      <c r="G231" s="36">
        <f>SUMIFS('Data - Control'!$G$5:$G$296,'Data - Control'!$A$5:$A$296,$A231,'Data - Control'!$B$5:$B$296,$B231)</f>
        <v/>
      </c>
      <c r="H231" s="36">
        <f>SUMIFS('Data - Control'!$H$5:$H$296,'Data - Control'!$A$5:$A$296,$A231,'Data - Control'!$B$5:$B$296,$B231)</f>
        <v/>
      </c>
      <c r="I231" s="57">
        <f>IFERROR($G231/$C231,0)</f>
        <v/>
      </c>
      <c r="J231" s="57">
        <f>IFERROR($H231/$D231,0)</f>
        <v/>
      </c>
      <c r="K231" s="36">
        <f>$D231*$I231</f>
        <v/>
      </c>
      <c r="L231" s="36">
        <f>$D231*($J231-$I231)</f>
        <v/>
      </c>
      <c r="M231" s="45">
        <f>IFERROR($D231/$C231-1,"")</f>
        <v/>
      </c>
    </row>
    <row r="232">
      <c r="A232" s="43" t="inlineStr">
        <is>
          <t>Radeberger USA</t>
        </is>
      </c>
      <c r="B232" s="43" t="inlineStr">
        <is>
          <t>Schofferhofer</t>
        </is>
      </c>
      <c r="C232" s="33">
        <f>SUMIFS('Data - Control'!$C$5:$C$296,'Data - Control'!$A$5:$A$296,$A232,'Data - Control'!$B$5:$B$296,$B232)</f>
        <v/>
      </c>
      <c r="D232" s="33">
        <f>SUMIFS('Data - Control'!$D$5:$D$296,'Data - Control'!$A$5:$A$296,$A232,'Data - Control'!$B$5:$B$296,$B232)</f>
        <v/>
      </c>
      <c r="E232" s="36">
        <f>SUMIFS('Data - Control'!$E$5:$E$296,'Data - Control'!$A$5:$A$296,$A232,'Data - Control'!$B$5:$B$296,$B232)</f>
        <v/>
      </c>
      <c r="F232" s="36">
        <f>SUMIFS('Data - Control'!$F$5:$F$296,'Data - Control'!$A$5:$A$296,$A232,'Data - Control'!$B$5:$B$296,$B232)</f>
        <v/>
      </c>
      <c r="G232" s="36">
        <f>SUMIFS('Data - Control'!$G$5:$G$296,'Data - Control'!$A$5:$A$296,$A232,'Data - Control'!$B$5:$B$296,$B232)</f>
        <v/>
      </c>
      <c r="H232" s="36">
        <f>SUMIFS('Data - Control'!$H$5:$H$296,'Data - Control'!$A$5:$A$296,$A232,'Data - Control'!$B$5:$B$296,$B232)</f>
        <v/>
      </c>
      <c r="I232" s="57">
        <f>IFERROR($G232/$C232,0)</f>
        <v/>
      </c>
      <c r="J232" s="57">
        <f>IFERROR($H232/$D232,0)</f>
        <v/>
      </c>
      <c r="K232" s="36">
        <f>$D232*$I232</f>
        <v/>
      </c>
      <c r="L232" s="36">
        <f>$D232*($J232-$I232)</f>
        <v/>
      </c>
      <c r="M232" s="45">
        <f>IFERROR($D232/$C232-1,"")</f>
        <v/>
      </c>
    </row>
    <row r="233">
      <c r="A233" s="43" t="inlineStr">
        <is>
          <t>Radix Labs</t>
        </is>
      </c>
      <c r="B233" s="43" t="inlineStr">
        <is>
          <t>Find Wunder</t>
        </is>
      </c>
      <c r="C233" s="33">
        <f>SUMIFS('Data - Control'!$C$5:$C$296,'Data - Control'!$A$5:$A$296,$A233,'Data - Control'!$B$5:$B$296,$B233)</f>
        <v/>
      </c>
      <c r="D233" s="33">
        <f>SUMIFS('Data - Control'!$D$5:$D$296,'Data - Control'!$A$5:$A$296,$A233,'Data - Control'!$B$5:$B$296,$B233)</f>
        <v/>
      </c>
      <c r="E233" s="36">
        <f>SUMIFS('Data - Control'!$E$5:$E$296,'Data - Control'!$A$5:$A$296,$A233,'Data - Control'!$B$5:$B$296,$B233)</f>
        <v/>
      </c>
      <c r="F233" s="36">
        <f>SUMIFS('Data - Control'!$F$5:$F$296,'Data - Control'!$A$5:$A$296,$A233,'Data - Control'!$B$5:$B$296,$B233)</f>
        <v/>
      </c>
      <c r="G233" s="36">
        <f>SUMIFS('Data - Control'!$G$5:$G$296,'Data - Control'!$A$5:$A$296,$A233,'Data - Control'!$B$5:$B$296,$B233)</f>
        <v/>
      </c>
      <c r="H233" s="36">
        <f>SUMIFS('Data - Control'!$H$5:$H$296,'Data - Control'!$A$5:$A$296,$A233,'Data - Control'!$B$5:$B$296,$B233)</f>
        <v/>
      </c>
      <c r="I233" s="57">
        <f>IFERROR($G233/$C233,0)</f>
        <v/>
      </c>
      <c r="J233" s="57">
        <f>IFERROR($H233/$D233,0)</f>
        <v/>
      </c>
      <c r="K233" s="36">
        <f>$D233*$I233</f>
        <v/>
      </c>
      <c r="L233" s="36">
        <f>$D233*($J233-$I233)</f>
        <v/>
      </c>
      <c r="M233" s="45">
        <f>IFERROR($D233/$C233-1,"")</f>
        <v/>
      </c>
    </row>
    <row r="234">
      <c r="A234" s="43" t="inlineStr">
        <is>
          <t>Red Bull</t>
        </is>
      </c>
      <c r="B234" s="43" t="inlineStr">
        <is>
          <t>Red Bull</t>
        </is>
      </c>
      <c r="C234" s="33">
        <f>SUMIFS('Data - Control'!$C$5:$C$296,'Data - Control'!$A$5:$A$296,$A234,'Data - Control'!$B$5:$B$296,$B234)</f>
        <v/>
      </c>
      <c r="D234" s="33">
        <f>SUMIFS('Data - Control'!$D$5:$D$296,'Data - Control'!$A$5:$A$296,$A234,'Data - Control'!$B$5:$B$296,$B234)</f>
        <v/>
      </c>
      <c r="E234" s="36">
        <f>SUMIFS('Data - Control'!$E$5:$E$296,'Data - Control'!$A$5:$A$296,$A234,'Data - Control'!$B$5:$B$296,$B234)</f>
        <v/>
      </c>
      <c r="F234" s="36">
        <f>SUMIFS('Data - Control'!$F$5:$F$296,'Data - Control'!$A$5:$A$296,$A234,'Data - Control'!$B$5:$B$296,$B234)</f>
        <v/>
      </c>
      <c r="G234" s="36">
        <f>SUMIFS('Data - Control'!$G$5:$G$296,'Data - Control'!$A$5:$A$296,$A234,'Data - Control'!$B$5:$B$296,$B234)</f>
        <v/>
      </c>
      <c r="H234" s="36">
        <f>SUMIFS('Data - Control'!$H$5:$H$296,'Data - Control'!$A$5:$A$296,$A234,'Data - Control'!$B$5:$B$296,$B234)</f>
        <v/>
      </c>
      <c r="I234" s="57">
        <f>IFERROR($G234/$C234,0)</f>
        <v/>
      </c>
      <c r="J234" s="57">
        <f>IFERROR($H234/$D234,0)</f>
        <v/>
      </c>
      <c r="K234" s="36">
        <f>$D234*$I234</f>
        <v/>
      </c>
      <c r="L234" s="36">
        <f>$D234*($J234-$I234)</f>
        <v/>
      </c>
      <c r="M234" s="45">
        <f>IFERROR($D234/$C234-1,"")</f>
        <v/>
      </c>
    </row>
    <row r="235">
      <c r="A235" s="43" t="inlineStr">
        <is>
          <t>River Horse Brewing Co</t>
        </is>
      </c>
      <c r="B235" s="43" t="inlineStr">
        <is>
          <t>River Horse Brewing Co</t>
        </is>
      </c>
      <c r="C235" s="33">
        <f>SUMIFS('Data - Control'!$C$5:$C$296,'Data - Control'!$A$5:$A$296,$A235,'Data - Control'!$B$5:$B$296,$B235)</f>
        <v/>
      </c>
      <c r="D235" s="33">
        <f>SUMIFS('Data - Control'!$D$5:$D$296,'Data - Control'!$A$5:$A$296,$A235,'Data - Control'!$B$5:$B$296,$B235)</f>
        <v/>
      </c>
      <c r="E235" s="36">
        <f>SUMIFS('Data - Control'!$E$5:$E$296,'Data - Control'!$A$5:$A$296,$A235,'Data - Control'!$B$5:$B$296,$B235)</f>
        <v/>
      </c>
      <c r="F235" s="36">
        <f>SUMIFS('Data - Control'!$F$5:$F$296,'Data - Control'!$A$5:$A$296,$A235,'Data - Control'!$B$5:$B$296,$B235)</f>
        <v/>
      </c>
      <c r="G235" s="36">
        <f>SUMIFS('Data - Control'!$G$5:$G$296,'Data - Control'!$A$5:$A$296,$A235,'Data - Control'!$B$5:$B$296,$B235)</f>
        <v/>
      </c>
      <c r="H235" s="36">
        <f>SUMIFS('Data - Control'!$H$5:$H$296,'Data - Control'!$A$5:$A$296,$A235,'Data - Control'!$B$5:$B$296,$B235)</f>
        <v/>
      </c>
      <c r="I235" s="57">
        <f>IFERROR($G235/$C235,0)</f>
        <v/>
      </c>
      <c r="J235" s="57">
        <f>IFERROR($H235/$D235,0)</f>
        <v/>
      </c>
      <c r="K235" s="36">
        <f>$D235*$I235</f>
        <v/>
      </c>
      <c r="L235" s="36">
        <f>$D235*($J235-$I235)</f>
        <v/>
      </c>
      <c r="M235" s="45">
        <f>IFERROR($D235/$C235-1,"")</f>
        <v/>
      </c>
    </row>
    <row r="236">
      <c r="A236" s="43" t="inlineStr">
        <is>
          <t>Riviera Imports</t>
        </is>
      </c>
      <c r="B236" s="43" t="inlineStr">
        <is>
          <t>Ecaana</t>
        </is>
      </c>
      <c r="C236" s="33">
        <f>SUMIFS('Data - Control'!$C$5:$C$296,'Data - Control'!$A$5:$A$296,$A236,'Data - Control'!$B$5:$B$296,$B236)</f>
        <v/>
      </c>
      <c r="D236" s="33">
        <f>SUMIFS('Data - Control'!$D$5:$D$296,'Data - Control'!$A$5:$A$296,$A236,'Data - Control'!$B$5:$B$296,$B236)</f>
        <v/>
      </c>
      <c r="E236" s="36">
        <f>SUMIFS('Data - Control'!$E$5:$E$296,'Data - Control'!$A$5:$A$296,$A236,'Data - Control'!$B$5:$B$296,$B236)</f>
        <v/>
      </c>
      <c r="F236" s="36">
        <f>SUMIFS('Data - Control'!$F$5:$F$296,'Data - Control'!$A$5:$A$296,$A236,'Data - Control'!$B$5:$B$296,$B236)</f>
        <v/>
      </c>
      <c r="G236" s="36">
        <f>SUMIFS('Data - Control'!$G$5:$G$296,'Data - Control'!$A$5:$A$296,$A236,'Data - Control'!$B$5:$B$296,$B236)</f>
        <v/>
      </c>
      <c r="H236" s="36">
        <f>SUMIFS('Data - Control'!$H$5:$H$296,'Data - Control'!$A$5:$A$296,$A236,'Data - Control'!$B$5:$B$296,$B236)</f>
        <v/>
      </c>
      <c r="I236" s="57">
        <f>IFERROR($G236/$C236,0)</f>
        <v/>
      </c>
      <c r="J236" s="57">
        <f>IFERROR($H236/$D236,0)</f>
        <v/>
      </c>
      <c r="K236" s="36">
        <f>$D236*$I236</f>
        <v/>
      </c>
      <c r="L236" s="36">
        <f>$D236*($J236-$I236)</f>
        <v/>
      </c>
      <c r="M236" s="45">
        <f>IFERROR($D236/$C236-1,"")</f>
        <v/>
      </c>
    </row>
    <row r="237">
      <c r="A237" s="43" t="inlineStr">
        <is>
          <t>SAZERAC INC</t>
        </is>
      </c>
      <c r="B237" s="43" t="inlineStr">
        <is>
          <t>Fresca Hard Sparkling</t>
        </is>
      </c>
      <c r="C237" s="33">
        <f>SUMIFS('Data - Control'!$C$5:$C$296,'Data - Control'!$A$5:$A$296,$A237,'Data - Control'!$B$5:$B$296,$B237)</f>
        <v/>
      </c>
      <c r="D237" s="33">
        <f>SUMIFS('Data - Control'!$D$5:$D$296,'Data - Control'!$A$5:$A$296,$A237,'Data - Control'!$B$5:$B$296,$B237)</f>
        <v/>
      </c>
      <c r="E237" s="36">
        <f>SUMIFS('Data - Control'!$E$5:$E$296,'Data - Control'!$A$5:$A$296,$A237,'Data - Control'!$B$5:$B$296,$B237)</f>
        <v/>
      </c>
      <c r="F237" s="36">
        <f>SUMIFS('Data - Control'!$F$5:$F$296,'Data - Control'!$A$5:$A$296,$A237,'Data - Control'!$B$5:$B$296,$B237)</f>
        <v/>
      </c>
      <c r="G237" s="36">
        <f>SUMIFS('Data - Control'!$G$5:$G$296,'Data - Control'!$A$5:$A$296,$A237,'Data - Control'!$B$5:$B$296,$B237)</f>
        <v/>
      </c>
      <c r="H237" s="36">
        <f>SUMIFS('Data - Control'!$H$5:$H$296,'Data - Control'!$A$5:$A$296,$A237,'Data - Control'!$B$5:$B$296,$B237)</f>
        <v/>
      </c>
      <c r="I237" s="57">
        <f>IFERROR($G237/$C237,0)</f>
        <v/>
      </c>
      <c r="J237" s="57">
        <f>IFERROR($H237/$D237,0)</f>
        <v/>
      </c>
      <c r="K237" s="36">
        <f>$D237*$I237</f>
        <v/>
      </c>
      <c r="L237" s="36">
        <f>$D237*($J237-$I237)</f>
        <v/>
      </c>
      <c r="M237" s="45">
        <f>IFERROR($D237/$C237-1,"")</f>
        <v/>
      </c>
    </row>
    <row r="238">
      <c r="A238" s="43" t="inlineStr">
        <is>
          <t>SAZERAC INC</t>
        </is>
      </c>
      <c r="B238" s="43" t="inlineStr">
        <is>
          <t>Fresca Mixed</t>
        </is>
      </c>
      <c r="C238" s="33">
        <f>SUMIFS('Data - Control'!$C$5:$C$296,'Data - Control'!$A$5:$A$296,$A238,'Data - Control'!$B$5:$B$296,$B238)</f>
        <v/>
      </c>
      <c r="D238" s="33">
        <f>SUMIFS('Data - Control'!$D$5:$D$296,'Data - Control'!$A$5:$A$296,$A238,'Data - Control'!$B$5:$B$296,$B238)</f>
        <v/>
      </c>
      <c r="E238" s="36">
        <f>SUMIFS('Data - Control'!$E$5:$E$296,'Data - Control'!$A$5:$A$296,$A238,'Data - Control'!$B$5:$B$296,$B238)</f>
        <v/>
      </c>
      <c r="F238" s="36">
        <f>SUMIFS('Data - Control'!$F$5:$F$296,'Data - Control'!$A$5:$A$296,$A238,'Data - Control'!$B$5:$B$296,$B238)</f>
        <v/>
      </c>
      <c r="G238" s="36">
        <f>SUMIFS('Data - Control'!$G$5:$G$296,'Data - Control'!$A$5:$A$296,$A238,'Data - Control'!$B$5:$B$296,$B238)</f>
        <v/>
      </c>
      <c r="H238" s="36">
        <f>SUMIFS('Data - Control'!$H$5:$H$296,'Data - Control'!$A$5:$A$296,$A238,'Data - Control'!$B$5:$B$296,$B238)</f>
        <v/>
      </c>
      <c r="I238" s="57">
        <f>IFERROR($G238/$C238,0)</f>
        <v/>
      </c>
      <c r="J238" s="57">
        <f>IFERROR($H238/$D238,0)</f>
        <v/>
      </c>
      <c r="K238" s="36">
        <f>$D238*$I238</f>
        <v/>
      </c>
      <c r="L238" s="36">
        <f>$D238*($J238-$I238)</f>
        <v/>
      </c>
      <c r="M238" s="45">
        <f>IFERROR($D238/$C238-1,"")</f>
        <v/>
      </c>
    </row>
    <row r="239">
      <c r="A239" s="43" t="inlineStr">
        <is>
          <t>SN Food &amp; Beverage LLC</t>
        </is>
      </c>
      <c r="B239" s="43" t="inlineStr">
        <is>
          <t>Carbliss</t>
        </is>
      </c>
      <c r="C239" s="33">
        <f>SUMIFS('Data - Control'!$C$5:$C$296,'Data - Control'!$A$5:$A$296,$A239,'Data - Control'!$B$5:$B$296,$B239)</f>
        <v/>
      </c>
      <c r="D239" s="33">
        <f>SUMIFS('Data - Control'!$D$5:$D$296,'Data - Control'!$A$5:$A$296,$A239,'Data - Control'!$B$5:$B$296,$B239)</f>
        <v/>
      </c>
      <c r="E239" s="36">
        <f>SUMIFS('Data - Control'!$E$5:$E$296,'Data - Control'!$A$5:$A$296,$A239,'Data - Control'!$B$5:$B$296,$B239)</f>
        <v/>
      </c>
      <c r="F239" s="36">
        <f>SUMIFS('Data - Control'!$F$5:$F$296,'Data - Control'!$A$5:$A$296,$A239,'Data - Control'!$B$5:$B$296,$B239)</f>
        <v/>
      </c>
      <c r="G239" s="36">
        <f>SUMIFS('Data - Control'!$G$5:$G$296,'Data - Control'!$A$5:$A$296,$A239,'Data - Control'!$B$5:$B$296,$B239)</f>
        <v/>
      </c>
      <c r="H239" s="36">
        <f>SUMIFS('Data - Control'!$H$5:$H$296,'Data - Control'!$A$5:$A$296,$A239,'Data - Control'!$B$5:$B$296,$B239)</f>
        <v/>
      </c>
      <c r="I239" s="57">
        <f>IFERROR($G239/$C239,0)</f>
        <v/>
      </c>
      <c r="J239" s="57">
        <f>IFERROR($H239/$D239,0)</f>
        <v/>
      </c>
      <c r="K239" s="36">
        <f>$D239*$I239</f>
        <v/>
      </c>
      <c r="L239" s="36">
        <f>$D239*($J239-$I239)</f>
        <v/>
      </c>
      <c r="M239" s="45">
        <f>IFERROR($D239/$C239-1,"")</f>
        <v/>
      </c>
    </row>
    <row r="240">
      <c r="A240" s="43" t="inlineStr">
        <is>
          <t>SPYRT Worldwide</t>
        </is>
      </c>
      <c r="B240" s="43" t="inlineStr">
        <is>
          <t>Hetman Vodka</t>
        </is>
      </c>
      <c r="C240" s="33">
        <f>SUMIFS('Data - Control'!$C$5:$C$296,'Data - Control'!$A$5:$A$296,$A240,'Data - Control'!$B$5:$B$296,$B240)</f>
        <v/>
      </c>
      <c r="D240" s="33">
        <f>SUMIFS('Data - Control'!$D$5:$D$296,'Data - Control'!$A$5:$A$296,$A240,'Data - Control'!$B$5:$B$296,$B240)</f>
        <v/>
      </c>
      <c r="E240" s="36">
        <f>SUMIFS('Data - Control'!$E$5:$E$296,'Data - Control'!$A$5:$A$296,$A240,'Data - Control'!$B$5:$B$296,$B240)</f>
        <v/>
      </c>
      <c r="F240" s="36">
        <f>SUMIFS('Data - Control'!$F$5:$F$296,'Data - Control'!$A$5:$A$296,$A240,'Data - Control'!$B$5:$B$296,$B240)</f>
        <v/>
      </c>
      <c r="G240" s="36">
        <f>SUMIFS('Data - Control'!$G$5:$G$296,'Data - Control'!$A$5:$A$296,$A240,'Data - Control'!$B$5:$B$296,$B240)</f>
        <v/>
      </c>
      <c r="H240" s="36">
        <f>SUMIFS('Data - Control'!$H$5:$H$296,'Data - Control'!$A$5:$A$296,$A240,'Data - Control'!$B$5:$B$296,$B240)</f>
        <v/>
      </c>
      <c r="I240" s="57">
        <f>IFERROR($G240/$C240,0)</f>
        <v/>
      </c>
      <c r="J240" s="57">
        <f>IFERROR($H240/$D240,0)</f>
        <v/>
      </c>
      <c r="K240" s="36">
        <f>$D240*$I240</f>
        <v/>
      </c>
      <c r="L240" s="36">
        <f>$D240*($J240-$I240)</f>
        <v/>
      </c>
      <c r="M240" s="45">
        <f>IFERROR($D240/$C240-1,"")</f>
        <v/>
      </c>
    </row>
    <row r="241">
      <c r="A241" s="43" t="inlineStr">
        <is>
          <t>SPYRT Worldwide</t>
        </is>
      </c>
      <c r="B241" s="43" t="inlineStr">
        <is>
          <t>Shabo Wine</t>
        </is>
      </c>
      <c r="C241" s="33">
        <f>SUMIFS('Data - Control'!$C$5:$C$296,'Data - Control'!$A$5:$A$296,$A241,'Data - Control'!$B$5:$B$296,$B241)</f>
        <v/>
      </c>
      <c r="D241" s="33">
        <f>SUMIFS('Data - Control'!$D$5:$D$296,'Data - Control'!$A$5:$A$296,$A241,'Data - Control'!$B$5:$B$296,$B241)</f>
        <v/>
      </c>
      <c r="E241" s="36">
        <f>SUMIFS('Data - Control'!$E$5:$E$296,'Data - Control'!$A$5:$A$296,$A241,'Data - Control'!$B$5:$B$296,$B241)</f>
        <v/>
      </c>
      <c r="F241" s="36">
        <f>SUMIFS('Data - Control'!$F$5:$F$296,'Data - Control'!$A$5:$A$296,$A241,'Data - Control'!$B$5:$B$296,$B241)</f>
        <v/>
      </c>
      <c r="G241" s="36">
        <f>SUMIFS('Data - Control'!$G$5:$G$296,'Data - Control'!$A$5:$A$296,$A241,'Data - Control'!$B$5:$B$296,$B241)</f>
        <v/>
      </c>
      <c r="H241" s="36">
        <f>SUMIFS('Data - Control'!$H$5:$H$296,'Data - Control'!$A$5:$A$296,$A241,'Data - Control'!$B$5:$B$296,$B241)</f>
        <v/>
      </c>
      <c r="I241" s="57">
        <f>IFERROR($G241/$C241,0)</f>
        <v/>
      </c>
      <c r="J241" s="57">
        <f>IFERROR($H241/$D241,0)</f>
        <v/>
      </c>
      <c r="K241" s="36">
        <f>$D241*$I241</f>
        <v/>
      </c>
      <c r="L241" s="36">
        <f>$D241*($J241-$I241)</f>
        <v/>
      </c>
      <c r="M241" s="45">
        <f>IFERROR($D241/$C241-1,"")</f>
        <v/>
      </c>
    </row>
    <row r="242">
      <c r="A242" s="43" t="inlineStr">
        <is>
          <t>SPYRT Worldwide</t>
        </is>
      </c>
      <c r="B242" s="43" t="inlineStr">
        <is>
          <t>Ukrainian Spirit</t>
        </is>
      </c>
      <c r="C242" s="33">
        <f>SUMIFS('Data - Control'!$C$5:$C$296,'Data - Control'!$A$5:$A$296,$A242,'Data - Control'!$B$5:$B$296,$B242)</f>
        <v/>
      </c>
      <c r="D242" s="33">
        <f>SUMIFS('Data - Control'!$D$5:$D$296,'Data - Control'!$A$5:$A$296,$A242,'Data - Control'!$B$5:$B$296,$B242)</f>
        <v/>
      </c>
      <c r="E242" s="36">
        <f>SUMIFS('Data - Control'!$E$5:$E$296,'Data - Control'!$A$5:$A$296,$A242,'Data - Control'!$B$5:$B$296,$B242)</f>
        <v/>
      </c>
      <c r="F242" s="36">
        <f>SUMIFS('Data - Control'!$F$5:$F$296,'Data - Control'!$A$5:$A$296,$A242,'Data - Control'!$B$5:$B$296,$B242)</f>
        <v/>
      </c>
      <c r="G242" s="36">
        <f>SUMIFS('Data - Control'!$G$5:$G$296,'Data - Control'!$A$5:$A$296,$A242,'Data - Control'!$B$5:$B$296,$B242)</f>
        <v/>
      </c>
      <c r="H242" s="36">
        <f>SUMIFS('Data - Control'!$H$5:$H$296,'Data - Control'!$A$5:$A$296,$A242,'Data - Control'!$B$5:$B$296,$B242)</f>
        <v/>
      </c>
      <c r="I242" s="57">
        <f>IFERROR($G242/$C242,0)</f>
        <v/>
      </c>
      <c r="J242" s="57">
        <f>IFERROR($H242/$D242,0)</f>
        <v/>
      </c>
      <c r="K242" s="36">
        <f>$D242*$I242</f>
        <v/>
      </c>
      <c r="L242" s="36">
        <f>$D242*($J242-$I242)</f>
        <v/>
      </c>
      <c r="M242" s="45">
        <f>IFERROR($D242/$C242-1,"")</f>
        <v/>
      </c>
    </row>
    <row r="243">
      <c r="A243" s="43" t="inlineStr">
        <is>
          <t>Saratoga</t>
        </is>
      </c>
      <c r="B243" s="43" t="inlineStr">
        <is>
          <t>Saratoga</t>
        </is>
      </c>
      <c r="C243" s="33">
        <f>SUMIFS('Data - Control'!$C$5:$C$296,'Data - Control'!$A$5:$A$296,$A243,'Data - Control'!$B$5:$B$296,$B243)</f>
        <v/>
      </c>
      <c r="D243" s="33">
        <f>SUMIFS('Data - Control'!$D$5:$D$296,'Data - Control'!$A$5:$A$296,$A243,'Data - Control'!$B$5:$B$296,$B243)</f>
        <v/>
      </c>
      <c r="E243" s="36">
        <f>SUMIFS('Data - Control'!$E$5:$E$296,'Data - Control'!$A$5:$A$296,$A243,'Data - Control'!$B$5:$B$296,$B243)</f>
        <v/>
      </c>
      <c r="F243" s="36">
        <f>SUMIFS('Data - Control'!$F$5:$F$296,'Data - Control'!$A$5:$A$296,$A243,'Data - Control'!$B$5:$B$296,$B243)</f>
        <v/>
      </c>
      <c r="G243" s="36">
        <f>SUMIFS('Data - Control'!$G$5:$G$296,'Data - Control'!$A$5:$A$296,$A243,'Data - Control'!$B$5:$B$296,$B243)</f>
        <v/>
      </c>
      <c r="H243" s="36">
        <f>SUMIFS('Data - Control'!$H$5:$H$296,'Data - Control'!$A$5:$A$296,$A243,'Data - Control'!$B$5:$B$296,$B243)</f>
        <v/>
      </c>
      <c r="I243" s="57">
        <f>IFERROR($G243/$C243,0)</f>
        <v/>
      </c>
      <c r="J243" s="57">
        <f>IFERROR($H243/$D243,0)</f>
        <v/>
      </c>
      <c r="K243" s="36">
        <f>$D243*$I243</f>
        <v/>
      </c>
      <c r="L243" s="36">
        <f>$D243*($J243-$I243)</f>
        <v/>
      </c>
      <c r="M243" s="45">
        <f>IFERROR($D243/$C243-1,"")</f>
        <v/>
      </c>
    </row>
    <row r="244">
      <c r="A244" s="43" t="inlineStr">
        <is>
          <t>Savorian INC</t>
        </is>
      </c>
      <c r="B244" s="43" t="inlineStr">
        <is>
          <t>Castellani Etichetta Gialla</t>
        </is>
      </c>
      <c r="C244" s="33">
        <f>SUMIFS('Data - Control'!$C$5:$C$296,'Data - Control'!$A$5:$A$296,$A244,'Data - Control'!$B$5:$B$296,$B244)</f>
        <v/>
      </c>
      <c r="D244" s="33">
        <f>SUMIFS('Data - Control'!$D$5:$D$296,'Data - Control'!$A$5:$A$296,$A244,'Data - Control'!$B$5:$B$296,$B244)</f>
        <v/>
      </c>
      <c r="E244" s="36">
        <f>SUMIFS('Data - Control'!$E$5:$E$296,'Data - Control'!$A$5:$A$296,$A244,'Data - Control'!$B$5:$B$296,$B244)</f>
        <v/>
      </c>
      <c r="F244" s="36">
        <f>SUMIFS('Data - Control'!$F$5:$F$296,'Data - Control'!$A$5:$A$296,$A244,'Data - Control'!$B$5:$B$296,$B244)</f>
        <v/>
      </c>
      <c r="G244" s="36">
        <f>SUMIFS('Data - Control'!$G$5:$G$296,'Data - Control'!$A$5:$A$296,$A244,'Data - Control'!$B$5:$B$296,$B244)</f>
        <v/>
      </c>
      <c r="H244" s="36">
        <f>SUMIFS('Data - Control'!$H$5:$H$296,'Data - Control'!$A$5:$A$296,$A244,'Data - Control'!$B$5:$B$296,$B244)</f>
        <v/>
      </c>
      <c r="I244" s="57">
        <f>IFERROR($G244/$C244,0)</f>
        <v/>
      </c>
      <c r="J244" s="57">
        <f>IFERROR($H244/$D244,0)</f>
        <v/>
      </c>
      <c r="K244" s="36">
        <f>$D244*$I244</f>
        <v/>
      </c>
      <c r="L244" s="36">
        <f>$D244*($J244-$I244)</f>
        <v/>
      </c>
      <c r="M244" s="45">
        <f>IFERROR($D244/$C244-1,"")</f>
        <v/>
      </c>
    </row>
    <row r="245">
      <c r="A245" s="43" t="inlineStr">
        <is>
          <t>Savorian INC</t>
        </is>
      </c>
      <c r="B245" s="43" t="inlineStr">
        <is>
          <t>Les Domaniales Rose D' Anjou Loire</t>
        </is>
      </c>
      <c r="C245" s="33">
        <f>SUMIFS('Data - Control'!$C$5:$C$296,'Data - Control'!$A$5:$A$296,$A245,'Data - Control'!$B$5:$B$296,$B245)</f>
        <v/>
      </c>
      <c r="D245" s="33">
        <f>SUMIFS('Data - Control'!$D$5:$D$296,'Data - Control'!$A$5:$A$296,$A245,'Data - Control'!$B$5:$B$296,$B245)</f>
        <v/>
      </c>
      <c r="E245" s="36">
        <f>SUMIFS('Data - Control'!$E$5:$E$296,'Data - Control'!$A$5:$A$296,$A245,'Data - Control'!$B$5:$B$296,$B245)</f>
        <v/>
      </c>
      <c r="F245" s="36">
        <f>SUMIFS('Data - Control'!$F$5:$F$296,'Data - Control'!$A$5:$A$296,$A245,'Data - Control'!$B$5:$B$296,$B245)</f>
        <v/>
      </c>
      <c r="G245" s="36">
        <f>SUMIFS('Data - Control'!$G$5:$G$296,'Data - Control'!$A$5:$A$296,$A245,'Data - Control'!$B$5:$B$296,$B245)</f>
        <v/>
      </c>
      <c r="H245" s="36">
        <f>SUMIFS('Data - Control'!$H$5:$H$296,'Data - Control'!$A$5:$A$296,$A245,'Data - Control'!$B$5:$B$296,$B245)</f>
        <v/>
      </c>
      <c r="I245" s="57">
        <f>IFERROR($G245/$C245,0)</f>
        <v/>
      </c>
      <c r="J245" s="57">
        <f>IFERROR($H245/$D245,0)</f>
        <v/>
      </c>
      <c r="K245" s="36">
        <f>$D245*$I245</f>
        <v/>
      </c>
      <c r="L245" s="36">
        <f>$D245*($J245-$I245)</f>
        <v/>
      </c>
      <c r="M245" s="45">
        <f>IFERROR($D245/$C245-1,"")</f>
        <v/>
      </c>
    </row>
    <row r="246">
      <c r="A246" s="43" t="inlineStr">
        <is>
          <t>Savorian INC</t>
        </is>
      </c>
      <c r="B246" s="43" t="inlineStr">
        <is>
          <t>Stoney River</t>
        </is>
      </c>
      <c r="C246" s="33">
        <f>SUMIFS('Data - Control'!$C$5:$C$296,'Data - Control'!$A$5:$A$296,$A246,'Data - Control'!$B$5:$B$296,$B246)</f>
        <v/>
      </c>
      <c r="D246" s="33">
        <f>SUMIFS('Data - Control'!$D$5:$D$296,'Data - Control'!$A$5:$A$296,$A246,'Data - Control'!$B$5:$B$296,$B246)</f>
        <v/>
      </c>
      <c r="E246" s="36">
        <f>SUMIFS('Data - Control'!$E$5:$E$296,'Data - Control'!$A$5:$A$296,$A246,'Data - Control'!$B$5:$B$296,$B246)</f>
        <v/>
      </c>
      <c r="F246" s="36">
        <f>SUMIFS('Data - Control'!$F$5:$F$296,'Data - Control'!$A$5:$A$296,$A246,'Data - Control'!$B$5:$B$296,$B246)</f>
        <v/>
      </c>
      <c r="G246" s="36">
        <f>SUMIFS('Data - Control'!$G$5:$G$296,'Data - Control'!$A$5:$A$296,$A246,'Data - Control'!$B$5:$B$296,$B246)</f>
        <v/>
      </c>
      <c r="H246" s="36">
        <f>SUMIFS('Data - Control'!$H$5:$H$296,'Data - Control'!$A$5:$A$296,$A246,'Data - Control'!$B$5:$B$296,$B246)</f>
        <v/>
      </c>
      <c r="I246" s="57">
        <f>IFERROR($G246/$C246,0)</f>
        <v/>
      </c>
      <c r="J246" s="57">
        <f>IFERROR($H246/$D246,0)</f>
        <v/>
      </c>
      <c r="K246" s="36">
        <f>$D246*$I246</f>
        <v/>
      </c>
      <c r="L246" s="36">
        <f>$D246*($J246-$I246)</f>
        <v/>
      </c>
      <c r="M246" s="45">
        <f>IFERROR($D246/$C246-1,"")</f>
        <v/>
      </c>
    </row>
    <row r="247">
      <c r="A247" s="43" t="inlineStr">
        <is>
          <t>Sierra Nevada Brewing Company</t>
        </is>
      </c>
      <c r="B247" s="43" t="inlineStr">
        <is>
          <t>Sierra Nevada</t>
        </is>
      </c>
      <c r="C247" s="33">
        <f>SUMIFS('Data - Control'!$C$5:$C$296,'Data - Control'!$A$5:$A$296,$A247,'Data - Control'!$B$5:$B$296,$B247)</f>
        <v/>
      </c>
      <c r="D247" s="33">
        <f>SUMIFS('Data - Control'!$D$5:$D$296,'Data - Control'!$A$5:$A$296,$A247,'Data - Control'!$B$5:$B$296,$B247)</f>
        <v/>
      </c>
      <c r="E247" s="36">
        <f>SUMIFS('Data - Control'!$E$5:$E$296,'Data - Control'!$A$5:$A$296,$A247,'Data - Control'!$B$5:$B$296,$B247)</f>
        <v/>
      </c>
      <c r="F247" s="36">
        <f>SUMIFS('Data - Control'!$F$5:$F$296,'Data - Control'!$A$5:$A$296,$A247,'Data - Control'!$B$5:$B$296,$B247)</f>
        <v/>
      </c>
      <c r="G247" s="36">
        <f>SUMIFS('Data - Control'!$G$5:$G$296,'Data - Control'!$A$5:$A$296,$A247,'Data - Control'!$B$5:$B$296,$B247)</f>
        <v/>
      </c>
      <c r="H247" s="36">
        <f>SUMIFS('Data - Control'!$H$5:$H$296,'Data - Control'!$A$5:$A$296,$A247,'Data - Control'!$B$5:$B$296,$B247)</f>
        <v/>
      </c>
      <c r="I247" s="57">
        <f>IFERROR($G247/$C247,0)</f>
        <v/>
      </c>
      <c r="J247" s="57">
        <f>IFERROR($H247/$D247,0)</f>
        <v/>
      </c>
      <c r="K247" s="36">
        <f>$D247*$I247</f>
        <v/>
      </c>
      <c r="L247" s="36">
        <f>$D247*($J247-$I247)</f>
        <v/>
      </c>
      <c r="M247" s="45">
        <f>IFERROR($D247/$C247-1,"")</f>
        <v/>
      </c>
    </row>
    <row r="248">
      <c r="A248" s="43" t="inlineStr">
        <is>
          <t>Sixpoint Brewing</t>
        </is>
      </c>
      <c r="B248" s="43" t="inlineStr">
        <is>
          <t>Sixpoint</t>
        </is>
      </c>
      <c r="C248" s="33">
        <f>SUMIFS('Data - Control'!$C$5:$C$296,'Data - Control'!$A$5:$A$296,$A248,'Data - Control'!$B$5:$B$296,$B248)</f>
        <v/>
      </c>
      <c r="D248" s="33">
        <f>SUMIFS('Data - Control'!$D$5:$D$296,'Data - Control'!$A$5:$A$296,$A248,'Data - Control'!$B$5:$B$296,$B248)</f>
        <v/>
      </c>
      <c r="E248" s="36">
        <f>SUMIFS('Data - Control'!$E$5:$E$296,'Data - Control'!$A$5:$A$296,$A248,'Data - Control'!$B$5:$B$296,$B248)</f>
        <v/>
      </c>
      <c r="F248" s="36">
        <f>SUMIFS('Data - Control'!$F$5:$F$296,'Data - Control'!$A$5:$A$296,$A248,'Data - Control'!$B$5:$B$296,$B248)</f>
        <v/>
      </c>
      <c r="G248" s="36">
        <f>SUMIFS('Data - Control'!$G$5:$G$296,'Data - Control'!$A$5:$A$296,$A248,'Data - Control'!$B$5:$B$296,$B248)</f>
        <v/>
      </c>
      <c r="H248" s="36">
        <f>SUMIFS('Data - Control'!$H$5:$H$296,'Data - Control'!$A$5:$A$296,$A248,'Data - Control'!$B$5:$B$296,$B248)</f>
        <v/>
      </c>
      <c r="I248" s="57">
        <f>IFERROR($G248/$C248,0)</f>
        <v/>
      </c>
      <c r="J248" s="57">
        <f>IFERROR($H248/$D248,0)</f>
        <v/>
      </c>
      <c r="K248" s="36">
        <f>$D248*$I248</f>
        <v/>
      </c>
      <c r="L248" s="36">
        <f>$D248*($J248-$I248)</f>
        <v/>
      </c>
      <c r="M248" s="45">
        <f>IFERROR($D248/$C248-1,"")</f>
        <v/>
      </c>
    </row>
    <row r="249">
      <c r="A249" s="43" t="inlineStr">
        <is>
          <t>Source Brewing</t>
        </is>
      </c>
      <c r="B249" s="43" t="inlineStr">
        <is>
          <t>Source Brewing</t>
        </is>
      </c>
      <c r="C249" s="33">
        <f>SUMIFS('Data - Control'!$C$5:$C$296,'Data - Control'!$A$5:$A$296,$A249,'Data - Control'!$B$5:$B$296,$B249)</f>
        <v/>
      </c>
      <c r="D249" s="33">
        <f>SUMIFS('Data - Control'!$D$5:$D$296,'Data - Control'!$A$5:$A$296,$A249,'Data - Control'!$B$5:$B$296,$B249)</f>
        <v/>
      </c>
      <c r="E249" s="36">
        <f>SUMIFS('Data - Control'!$E$5:$E$296,'Data - Control'!$A$5:$A$296,$A249,'Data - Control'!$B$5:$B$296,$B249)</f>
        <v/>
      </c>
      <c r="F249" s="36">
        <f>SUMIFS('Data - Control'!$F$5:$F$296,'Data - Control'!$A$5:$A$296,$A249,'Data - Control'!$B$5:$B$296,$B249)</f>
        <v/>
      </c>
      <c r="G249" s="36">
        <f>SUMIFS('Data - Control'!$G$5:$G$296,'Data - Control'!$A$5:$A$296,$A249,'Data - Control'!$B$5:$B$296,$B249)</f>
        <v/>
      </c>
      <c r="H249" s="36">
        <f>SUMIFS('Data - Control'!$H$5:$H$296,'Data - Control'!$A$5:$A$296,$A249,'Data - Control'!$B$5:$B$296,$B249)</f>
        <v/>
      </c>
      <c r="I249" s="57">
        <f>IFERROR($G249/$C249,0)</f>
        <v/>
      </c>
      <c r="J249" s="57">
        <f>IFERROR($H249/$D249,0)</f>
        <v/>
      </c>
      <c r="K249" s="36">
        <f>$D249*$I249</f>
        <v/>
      </c>
      <c r="L249" s="36">
        <f>$D249*($J249-$I249)</f>
        <v/>
      </c>
      <c r="M249" s="45">
        <f>IFERROR($D249/$C249-1,"")</f>
        <v/>
      </c>
    </row>
    <row r="250">
      <c r="A250" s="43" t="inlineStr">
        <is>
          <t>Southern Tier Brewing Company</t>
        </is>
      </c>
      <c r="B250" s="43" t="inlineStr">
        <is>
          <t>Southern Tier</t>
        </is>
      </c>
      <c r="C250" s="33">
        <f>SUMIFS('Data - Control'!$C$5:$C$296,'Data - Control'!$A$5:$A$296,$A250,'Data - Control'!$B$5:$B$296,$B250)</f>
        <v/>
      </c>
      <c r="D250" s="33">
        <f>SUMIFS('Data - Control'!$D$5:$D$296,'Data - Control'!$A$5:$A$296,$A250,'Data - Control'!$B$5:$B$296,$B250)</f>
        <v/>
      </c>
      <c r="E250" s="36">
        <f>SUMIFS('Data - Control'!$E$5:$E$296,'Data - Control'!$A$5:$A$296,$A250,'Data - Control'!$B$5:$B$296,$B250)</f>
        <v/>
      </c>
      <c r="F250" s="36">
        <f>SUMIFS('Data - Control'!$F$5:$F$296,'Data - Control'!$A$5:$A$296,$A250,'Data - Control'!$B$5:$B$296,$B250)</f>
        <v/>
      </c>
      <c r="G250" s="36">
        <f>SUMIFS('Data - Control'!$G$5:$G$296,'Data - Control'!$A$5:$A$296,$A250,'Data - Control'!$B$5:$B$296,$B250)</f>
        <v/>
      </c>
      <c r="H250" s="36">
        <f>SUMIFS('Data - Control'!$H$5:$H$296,'Data - Control'!$A$5:$A$296,$A250,'Data - Control'!$B$5:$B$296,$B250)</f>
        <v/>
      </c>
      <c r="I250" s="57">
        <f>IFERROR($G250/$C250,0)</f>
        <v/>
      </c>
      <c r="J250" s="57">
        <f>IFERROR($H250/$D250,0)</f>
        <v/>
      </c>
      <c r="K250" s="36">
        <f>$D250*$I250</f>
        <v/>
      </c>
      <c r="L250" s="36">
        <f>$D250*($J250-$I250)</f>
        <v/>
      </c>
      <c r="M250" s="45">
        <f>IFERROR($D250/$C250-1,"")</f>
        <v/>
      </c>
    </row>
    <row r="251">
      <c r="A251" s="43" t="inlineStr">
        <is>
          <t>Southern Tier Distilling Company</t>
        </is>
      </c>
      <c r="B251" s="43" t="inlineStr">
        <is>
          <t>Southern Tier Distilling</t>
        </is>
      </c>
      <c r="C251" s="33">
        <f>SUMIFS('Data - Control'!$C$5:$C$296,'Data - Control'!$A$5:$A$296,$A251,'Data - Control'!$B$5:$B$296,$B251)</f>
        <v/>
      </c>
      <c r="D251" s="33">
        <f>SUMIFS('Data - Control'!$D$5:$D$296,'Data - Control'!$A$5:$A$296,$A251,'Data - Control'!$B$5:$B$296,$B251)</f>
        <v/>
      </c>
      <c r="E251" s="36">
        <f>SUMIFS('Data - Control'!$E$5:$E$296,'Data - Control'!$A$5:$A$296,$A251,'Data - Control'!$B$5:$B$296,$B251)</f>
        <v/>
      </c>
      <c r="F251" s="36">
        <f>SUMIFS('Data - Control'!$F$5:$F$296,'Data - Control'!$A$5:$A$296,$A251,'Data - Control'!$B$5:$B$296,$B251)</f>
        <v/>
      </c>
      <c r="G251" s="36">
        <f>SUMIFS('Data - Control'!$G$5:$G$296,'Data - Control'!$A$5:$A$296,$A251,'Data - Control'!$B$5:$B$296,$B251)</f>
        <v/>
      </c>
      <c r="H251" s="36">
        <f>SUMIFS('Data - Control'!$H$5:$H$296,'Data - Control'!$A$5:$A$296,$A251,'Data - Control'!$B$5:$B$296,$B251)</f>
        <v/>
      </c>
      <c r="I251" s="57">
        <f>IFERROR($G251/$C251,0)</f>
        <v/>
      </c>
      <c r="J251" s="57">
        <f>IFERROR($H251/$D251,0)</f>
        <v/>
      </c>
      <c r="K251" s="36">
        <f>$D251*$I251</f>
        <v/>
      </c>
      <c r="L251" s="36">
        <f>$D251*($J251-$I251)</f>
        <v/>
      </c>
      <c r="M251" s="45">
        <f>IFERROR($D251/$C251-1,"")</f>
        <v/>
      </c>
    </row>
    <row r="252">
      <c r="A252" s="43" t="inlineStr">
        <is>
          <t>Southern Tier Distilling Company</t>
        </is>
      </c>
      <c r="B252" s="43" t="inlineStr">
        <is>
          <t>Victory House Pour Vodka</t>
        </is>
      </c>
      <c r="C252" s="33">
        <f>SUMIFS('Data - Control'!$C$5:$C$296,'Data - Control'!$A$5:$A$296,$A252,'Data - Control'!$B$5:$B$296,$B252)</f>
        <v/>
      </c>
      <c r="D252" s="33">
        <f>SUMIFS('Data - Control'!$D$5:$D$296,'Data - Control'!$A$5:$A$296,$A252,'Data - Control'!$B$5:$B$296,$B252)</f>
        <v/>
      </c>
      <c r="E252" s="36">
        <f>SUMIFS('Data - Control'!$E$5:$E$296,'Data - Control'!$A$5:$A$296,$A252,'Data - Control'!$B$5:$B$296,$B252)</f>
        <v/>
      </c>
      <c r="F252" s="36">
        <f>SUMIFS('Data - Control'!$F$5:$F$296,'Data - Control'!$A$5:$A$296,$A252,'Data - Control'!$B$5:$B$296,$B252)</f>
        <v/>
      </c>
      <c r="G252" s="36">
        <f>SUMIFS('Data - Control'!$G$5:$G$296,'Data - Control'!$A$5:$A$296,$A252,'Data - Control'!$B$5:$B$296,$B252)</f>
        <v/>
      </c>
      <c r="H252" s="36">
        <f>SUMIFS('Data - Control'!$H$5:$H$296,'Data - Control'!$A$5:$A$296,$A252,'Data - Control'!$B$5:$B$296,$B252)</f>
        <v/>
      </c>
      <c r="I252" s="57">
        <f>IFERROR($G252/$C252,0)</f>
        <v/>
      </c>
      <c r="J252" s="57">
        <f>IFERROR($H252/$D252,0)</f>
        <v/>
      </c>
      <c r="K252" s="36">
        <f>$D252*$I252</f>
        <v/>
      </c>
      <c r="L252" s="36">
        <f>$D252*($J252-$I252)</f>
        <v/>
      </c>
      <c r="M252" s="45">
        <f>IFERROR($D252/$C252-1,"")</f>
        <v/>
      </c>
    </row>
    <row r="253">
      <c r="A253" s="43" t="inlineStr">
        <is>
          <t>Stone Brewing</t>
        </is>
      </c>
      <c r="B253" s="43" t="inlineStr">
        <is>
          <t>Stone Brewing</t>
        </is>
      </c>
      <c r="C253" s="33">
        <f>SUMIFS('Data - Control'!$C$5:$C$296,'Data - Control'!$A$5:$A$296,$A253,'Data - Control'!$B$5:$B$296,$B253)</f>
        <v/>
      </c>
      <c r="D253" s="33">
        <f>SUMIFS('Data - Control'!$D$5:$D$296,'Data - Control'!$A$5:$A$296,$A253,'Data - Control'!$B$5:$B$296,$B253)</f>
        <v/>
      </c>
      <c r="E253" s="36">
        <f>SUMIFS('Data - Control'!$E$5:$E$296,'Data - Control'!$A$5:$A$296,$A253,'Data - Control'!$B$5:$B$296,$B253)</f>
        <v/>
      </c>
      <c r="F253" s="36">
        <f>SUMIFS('Data - Control'!$F$5:$F$296,'Data - Control'!$A$5:$A$296,$A253,'Data - Control'!$B$5:$B$296,$B253)</f>
        <v/>
      </c>
      <c r="G253" s="36">
        <f>SUMIFS('Data - Control'!$G$5:$G$296,'Data - Control'!$A$5:$A$296,$A253,'Data - Control'!$B$5:$B$296,$B253)</f>
        <v/>
      </c>
      <c r="H253" s="36">
        <f>SUMIFS('Data - Control'!$H$5:$H$296,'Data - Control'!$A$5:$A$296,$A253,'Data - Control'!$B$5:$B$296,$B253)</f>
        <v/>
      </c>
      <c r="I253" s="57">
        <f>IFERROR($G253/$C253,0)</f>
        <v/>
      </c>
      <c r="J253" s="57">
        <f>IFERROR($H253/$D253,0)</f>
        <v/>
      </c>
      <c r="K253" s="36">
        <f>$D253*$I253</f>
        <v/>
      </c>
      <c r="L253" s="36">
        <f>$D253*($J253-$I253)</f>
        <v/>
      </c>
      <c r="M253" s="45">
        <f>IFERROR($D253/$C253-1,"")</f>
        <v/>
      </c>
    </row>
    <row r="254">
      <c r="A254" s="43" t="inlineStr">
        <is>
          <t>Stone Brewing</t>
        </is>
      </c>
      <c r="B254" s="43" t="inlineStr">
        <is>
          <t>Stone Premium &amp; Smooth Beer Co</t>
        </is>
      </c>
      <c r="C254" s="33">
        <f>SUMIFS('Data - Control'!$C$5:$C$296,'Data - Control'!$A$5:$A$296,$A254,'Data - Control'!$B$5:$B$296,$B254)</f>
        <v/>
      </c>
      <c r="D254" s="33">
        <f>SUMIFS('Data - Control'!$D$5:$D$296,'Data - Control'!$A$5:$A$296,$A254,'Data - Control'!$B$5:$B$296,$B254)</f>
        <v/>
      </c>
      <c r="E254" s="36">
        <f>SUMIFS('Data - Control'!$E$5:$E$296,'Data - Control'!$A$5:$A$296,$A254,'Data - Control'!$B$5:$B$296,$B254)</f>
        <v/>
      </c>
      <c r="F254" s="36">
        <f>SUMIFS('Data - Control'!$F$5:$F$296,'Data - Control'!$A$5:$A$296,$A254,'Data - Control'!$B$5:$B$296,$B254)</f>
        <v/>
      </c>
      <c r="G254" s="36">
        <f>SUMIFS('Data - Control'!$G$5:$G$296,'Data - Control'!$A$5:$A$296,$A254,'Data - Control'!$B$5:$B$296,$B254)</f>
        <v/>
      </c>
      <c r="H254" s="36">
        <f>SUMIFS('Data - Control'!$H$5:$H$296,'Data - Control'!$A$5:$A$296,$A254,'Data - Control'!$B$5:$B$296,$B254)</f>
        <v/>
      </c>
      <c r="I254" s="57">
        <f>IFERROR($G254/$C254,0)</f>
        <v/>
      </c>
      <c r="J254" s="57">
        <f>IFERROR($H254/$D254,0)</f>
        <v/>
      </c>
      <c r="K254" s="36">
        <f>$D254*$I254</f>
        <v/>
      </c>
      <c r="L254" s="36">
        <f>$D254*($J254-$I254)</f>
        <v/>
      </c>
      <c r="M254" s="45">
        <f>IFERROR($D254/$C254-1,"")</f>
        <v/>
      </c>
    </row>
    <row r="255">
      <c r="A255" s="43" t="inlineStr">
        <is>
          <t>Surface Brands</t>
        </is>
      </c>
      <c r="B255" s="43" t="inlineStr">
        <is>
          <t>La Bodega</t>
        </is>
      </c>
      <c r="C255" s="33">
        <f>SUMIFS('Data - Control'!$C$5:$C$296,'Data - Control'!$A$5:$A$296,$A255,'Data - Control'!$B$5:$B$296,$B255)</f>
        <v/>
      </c>
      <c r="D255" s="33">
        <f>SUMIFS('Data - Control'!$D$5:$D$296,'Data - Control'!$A$5:$A$296,$A255,'Data - Control'!$B$5:$B$296,$B255)</f>
        <v/>
      </c>
      <c r="E255" s="36">
        <f>SUMIFS('Data - Control'!$E$5:$E$296,'Data - Control'!$A$5:$A$296,$A255,'Data - Control'!$B$5:$B$296,$B255)</f>
        <v/>
      </c>
      <c r="F255" s="36">
        <f>SUMIFS('Data - Control'!$F$5:$F$296,'Data - Control'!$A$5:$A$296,$A255,'Data - Control'!$B$5:$B$296,$B255)</f>
        <v/>
      </c>
      <c r="G255" s="36">
        <f>SUMIFS('Data - Control'!$G$5:$G$296,'Data - Control'!$A$5:$A$296,$A255,'Data - Control'!$B$5:$B$296,$B255)</f>
        <v/>
      </c>
      <c r="H255" s="36">
        <f>SUMIFS('Data - Control'!$H$5:$H$296,'Data - Control'!$A$5:$A$296,$A255,'Data - Control'!$B$5:$B$296,$B255)</f>
        <v/>
      </c>
      <c r="I255" s="57">
        <f>IFERROR($G255/$C255,0)</f>
        <v/>
      </c>
      <c r="J255" s="57">
        <f>IFERROR($H255/$D255,0)</f>
        <v/>
      </c>
      <c r="K255" s="36">
        <f>$D255*$I255</f>
        <v/>
      </c>
      <c r="L255" s="36">
        <f>$D255*($J255-$I255)</f>
        <v/>
      </c>
      <c r="M255" s="45">
        <f>IFERROR($D255/$C255-1,"")</f>
        <v/>
      </c>
    </row>
    <row r="256">
      <c r="A256" s="43" t="inlineStr">
        <is>
          <t>Surface Brands</t>
        </is>
      </c>
      <c r="B256" s="43" t="inlineStr">
        <is>
          <t>Poggio Torselli</t>
        </is>
      </c>
      <c r="C256" s="33">
        <f>SUMIFS('Data - Control'!$C$5:$C$296,'Data - Control'!$A$5:$A$296,$A256,'Data - Control'!$B$5:$B$296,$B256)</f>
        <v/>
      </c>
      <c r="D256" s="33">
        <f>SUMIFS('Data - Control'!$D$5:$D$296,'Data - Control'!$A$5:$A$296,$A256,'Data - Control'!$B$5:$B$296,$B256)</f>
        <v/>
      </c>
      <c r="E256" s="36">
        <f>SUMIFS('Data - Control'!$E$5:$E$296,'Data - Control'!$A$5:$A$296,$A256,'Data - Control'!$B$5:$B$296,$B256)</f>
        <v/>
      </c>
      <c r="F256" s="36">
        <f>SUMIFS('Data - Control'!$F$5:$F$296,'Data - Control'!$A$5:$A$296,$A256,'Data - Control'!$B$5:$B$296,$B256)</f>
        <v/>
      </c>
      <c r="G256" s="36">
        <f>SUMIFS('Data - Control'!$G$5:$G$296,'Data - Control'!$A$5:$A$296,$A256,'Data - Control'!$B$5:$B$296,$B256)</f>
        <v/>
      </c>
      <c r="H256" s="36">
        <f>SUMIFS('Data - Control'!$H$5:$H$296,'Data - Control'!$A$5:$A$296,$A256,'Data - Control'!$B$5:$B$296,$B256)</f>
        <v/>
      </c>
      <c r="I256" s="57">
        <f>IFERROR($G256/$C256,0)</f>
        <v/>
      </c>
      <c r="J256" s="57">
        <f>IFERROR($H256/$D256,0)</f>
        <v/>
      </c>
      <c r="K256" s="36">
        <f>$D256*$I256</f>
        <v/>
      </c>
      <c r="L256" s="36">
        <f>$D256*($J256-$I256)</f>
        <v/>
      </c>
      <c r="M256" s="45">
        <f>IFERROR($D256/$C256-1,"")</f>
        <v/>
      </c>
    </row>
    <row r="257">
      <c r="A257" s="43" t="inlineStr">
        <is>
          <t>Talkhouse Encore</t>
        </is>
      </c>
      <c r="B257" s="43" t="inlineStr">
        <is>
          <t>Talkhouse Encore</t>
        </is>
      </c>
      <c r="C257" s="33">
        <f>SUMIFS('Data - Control'!$C$5:$C$296,'Data - Control'!$A$5:$A$296,$A257,'Data - Control'!$B$5:$B$296,$B257)</f>
        <v/>
      </c>
      <c r="D257" s="33">
        <f>SUMIFS('Data - Control'!$D$5:$D$296,'Data - Control'!$A$5:$A$296,$A257,'Data - Control'!$B$5:$B$296,$B257)</f>
        <v/>
      </c>
      <c r="E257" s="36">
        <f>SUMIFS('Data - Control'!$E$5:$E$296,'Data - Control'!$A$5:$A$296,$A257,'Data - Control'!$B$5:$B$296,$B257)</f>
        <v/>
      </c>
      <c r="F257" s="36">
        <f>SUMIFS('Data - Control'!$F$5:$F$296,'Data - Control'!$A$5:$A$296,$A257,'Data - Control'!$B$5:$B$296,$B257)</f>
        <v/>
      </c>
      <c r="G257" s="36">
        <f>SUMIFS('Data - Control'!$G$5:$G$296,'Data - Control'!$A$5:$A$296,$A257,'Data - Control'!$B$5:$B$296,$B257)</f>
        <v/>
      </c>
      <c r="H257" s="36">
        <f>SUMIFS('Data - Control'!$H$5:$H$296,'Data - Control'!$A$5:$A$296,$A257,'Data - Control'!$B$5:$B$296,$B257)</f>
        <v/>
      </c>
      <c r="I257" s="57">
        <f>IFERROR($G257/$C257,0)</f>
        <v/>
      </c>
      <c r="J257" s="57">
        <f>IFERROR($H257/$D257,0)</f>
        <v/>
      </c>
      <c r="K257" s="36">
        <f>$D257*$I257</f>
        <v/>
      </c>
      <c r="L257" s="36">
        <f>$D257*($J257-$I257)</f>
        <v/>
      </c>
      <c r="M257" s="45">
        <f>IFERROR($D257/$C257-1,"")</f>
        <v/>
      </c>
    </row>
    <row r="258">
      <c r="A258" s="43" t="inlineStr">
        <is>
          <t>The Old G LLC</t>
        </is>
      </c>
      <c r="B258" s="43" t="inlineStr">
        <is>
          <t>The Old G</t>
        </is>
      </c>
      <c r="C258" s="33">
        <f>SUMIFS('Data - Control'!$C$5:$C$296,'Data - Control'!$A$5:$A$296,$A258,'Data - Control'!$B$5:$B$296,$B258)</f>
        <v/>
      </c>
      <c r="D258" s="33">
        <f>SUMIFS('Data - Control'!$D$5:$D$296,'Data - Control'!$A$5:$A$296,$A258,'Data - Control'!$B$5:$B$296,$B258)</f>
        <v/>
      </c>
      <c r="E258" s="36">
        <f>SUMIFS('Data - Control'!$E$5:$E$296,'Data - Control'!$A$5:$A$296,$A258,'Data - Control'!$B$5:$B$296,$B258)</f>
        <v/>
      </c>
      <c r="F258" s="36">
        <f>SUMIFS('Data - Control'!$F$5:$F$296,'Data - Control'!$A$5:$A$296,$A258,'Data - Control'!$B$5:$B$296,$B258)</f>
        <v/>
      </c>
      <c r="G258" s="36">
        <f>SUMIFS('Data - Control'!$G$5:$G$296,'Data - Control'!$A$5:$A$296,$A258,'Data - Control'!$B$5:$B$296,$B258)</f>
        <v/>
      </c>
      <c r="H258" s="36">
        <f>SUMIFS('Data - Control'!$H$5:$H$296,'Data - Control'!$A$5:$A$296,$A258,'Data - Control'!$B$5:$B$296,$B258)</f>
        <v/>
      </c>
      <c r="I258" s="57">
        <f>IFERROR($G258/$C258,0)</f>
        <v/>
      </c>
      <c r="J258" s="57">
        <f>IFERROR($H258/$D258,0)</f>
        <v/>
      </c>
      <c r="K258" s="36">
        <f>$D258*$I258</f>
        <v/>
      </c>
      <c r="L258" s="36">
        <f>$D258*($J258-$I258)</f>
        <v/>
      </c>
      <c r="M258" s="45">
        <f>IFERROR($D258/$C258-1,"")</f>
        <v/>
      </c>
    </row>
    <row r="259">
      <c r="A259" s="43" t="inlineStr">
        <is>
          <t>Tilray Alternative Beverage</t>
        </is>
      </c>
      <c r="B259" s="43" t="inlineStr">
        <is>
          <t>Fizzy Jane</t>
        </is>
      </c>
      <c r="C259" s="33">
        <f>SUMIFS('Data - Control'!$C$5:$C$296,'Data - Control'!$A$5:$A$296,$A259,'Data - Control'!$B$5:$B$296,$B259)</f>
        <v/>
      </c>
      <c r="D259" s="33">
        <f>SUMIFS('Data - Control'!$D$5:$D$296,'Data - Control'!$A$5:$A$296,$A259,'Data - Control'!$B$5:$B$296,$B259)</f>
        <v/>
      </c>
      <c r="E259" s="36">
        <f>SUMIFS('Data - Control'!$E$5:$E$296,'Data - Control'!$A$5:$A$296,$A259,'Data - Control'!$B$5:$B$296,$B259)</f>
        <v/>
      </c>
      <c r="F259" s="36">
        <f>SUMIFS('Data - Control'!$F$5:$F$296,'Data - Control'!$A$5:$A$296,$A259,'Data - Control'!$B$5:$B$296,$B259)</f>
        <v/>
      </c>
      <c r="G259" s="36">
        <f>SUMIFS('Data - Control'!$G$5:$G$296,'Data - Control'!$A$5:$A$296,$A259,'Data - Control'!$B$5:$B$296,$B259)</f>
        <v/>
      </c>
      <c r="H259" s="36">
        <f>SUMIFS('Data - Control'!$H$5:$H$296,'Data - Control'!$A$5:$A$296,$A259,'Data - Control'!$B$5:$B$296,$B259)</f>
        <v/>
      </c>
      <c r="I259" s="57">
        <f>IFERROR($G259/$C259,0)</f>
        <v/>
      </c>
      <c r="J259" s="57">
        <f>IFERROR($H259/$D259,0)</f>
        <v/>
      </c>
      <c r="K259" s="36">
        <f>$D259*$I259</f>
        <v/>
      </c>
      <c r="L259" s="36">
        <f>$D259*($J259-$I259)</f>
        <v/>
      </c>
      <c r="M259" s="45">
        <f>IFERROR($D259/$C259-1,"")</f>
        <v/>
      </c>
    </row>
    <row r="260">
      <c r="A260" s="43" t="inlineStr">
        <is>
          <t>Tilray Alternative Beverage</t>
        </is>
      </c>
      <c r="B260" s="43" t="inlineStr">
        <is>
          <t>Happy Flower</t>
        </is>
      </c>
      <c r="C260" s="33">
        <f>SUMIFS('Data - Control'!$C$5:$C$296,'Data - Control'!$A$5:$A$296,$A260,'Data - Control'!$B$5:$B$296,$B260)</f>
        <v/>
      </c>
      <c r="D260" s="33">
        <f>SUMIFS('Data - Control'!$D$5:$D$296,'Data - Control'!$A$5:$A$296,$A260,'Data - Control'!$B$5:$B$296,$B260)</f>
        <v/>
      </c>
      <c r="E260" s="36">
        <f>SUMIFS('Data - Control'!$E$5:$E$296,'Data - Control'!$A$5:$A$296,$A260,'Data - Control'!$B$5:$B$296,$B260)</f>
        <v/>
      </c>
      <c r="F260" s="36">
        <f>SUMIFS('Data - Control'!$F$5:$F$296,'Data - Control'!$A$5:$A$296,$A260,'Data - Control'!$B$5:$B$296,$B260)</f>
        <v/>
      </c>
      <c r="G260" s="36">
        <f>SUMIFS('Data - Control'!$G$5:$G$296,'Data - Control'!$A$5:$A$296,$A260,'Data - Control'!$B$5:$B$296,$B260)</f>
        <v/>
      </c>
      <c r="H260" s="36">
        <f>SUMIFS('Data - Control'!$H$5:$H$296,'Data - Control'!$A$5:$A$296,$A260,'Data - Control'!$B$5:$B$296,$B260)</f>
        <v/>
      </c>
      <c r="I260" s="57">
        <f>IFERROR($G260/$C260,0)</f>
        <v/>
      </c>
      <c r="J260" s="57">
        <f>IFERROR($H260/$D260,0)</f>
        <v/>
      </c>
      <c r="K260" s="36">
        <f>$D260*$I260</f>
        <v/>
      </c>
      <c r="L260" s="36">
        <f>$D260*($J260-$I260)</f>
        <v/>
      </c>
      <c r="M260" s="45">
        <f>IFERROR($D260/$C260-1,"")</f>
        <v/>
      </c>
    </row>
    <row r="261">
      <c r="A261" s="43" t="inlineStr">
        <is>
          <t>Tilray Alternative Beverage</t>
        </is>
      </c>
      <c r="B261" s="43" t="inlineStr">
        <is>
          <t>Herb &amp; Bloom</t>
        </is>
      </c>
      <c r="C261" s="33">
        <f>SUMIFS('Data - Control'!$C$5:$C$296,'Data - Control'!$A$5:$A$296,$A261,'Data - Control'!$B$5:$B$296,$B261)</f>
        <v/>
      </c>
      <c r="D261" s="33">
        <f>SUMIFS('Data - Control'!$D$5:$D$296,'Data - Control'!$A$5:$A$296,$A261,'Data - Control'!$B$5:$B$296,$B261)</f>
        <v/>
      </c>
      <c r="E261" s="36">
        <f>SUMIFS('Data - Control'!$E$5:$E$296,'Data - Control'!$A$5:$A$296,$A261,'Data - Control'!$B$5:$B$296,$B261)</f>
        <v/>
      </c>
      <c r="F261" s="36">
        <f>SUMIFS('Data - Control'!$F$5:$F$296,'Data - Control'!$A$5:$A$296,$A261,'Data - Control'!$B$5:$B$296,$B261)</f>
        <v/>
      </c>
      <c r="G261" s="36">
        <f>SUMIFS('Data - Control'!$G$5:$G$296,'Data - Control'!$A$5:$A$296,$A261,'Data - Control'!$B$5:$B$296,$B261)</f>
        <v/>
      </c>
      <c r="H261" s="36">
        <f>SUMIFS('Data - Control'!$H$5:$H$296,'Data - Control'!$A$5:$A$296,$A261,'Data - Control'!$B$5:$B$296,$B261)</f>
        <v/>
      </c>
      <c r="I261" s="57">
        <f>IFERROR($G261/$C261,0)</f>
        <v/>
      </c>
      <c r="J261" s="57">
        <f>IFERROR($H261/$D261,0)</f>
        <v/>
      </c>
      <c r="K261" s="36">
        <f>$D261*$I261</f>
        <v/>
      </c>
      <c r="L261" s="36">
        <f>$D261*($J261-$I261)</f>
        <v/>
      </c>
      <c r="M261" s="45">
        <f>IFERROR($D261/$C261-1,"")</f>
        <v/>
      </c>
    </row>
    <row r="262">
      <c r="A262" s="43" t="inlineStr">
        <is>
          <t>Total Beverage Solutions</t>
        </is>
      </c>
      <c r="B262" s="43" t="inlineStr">
        <is>
          <t>Banks</t>
        </is>
      </c>
      <c r="C262" s="33">
        <f>SUMIFS('Data - Control'!$C$5:$C$296,'Data - Control'!$A$5:$A$296,$A262,'Data - Control'!$B$5:$B$296,$B262)</f>
        <v/>
      </c>
      <c r="D262" s="33">
        <f>SUMIFS('Data - Control'!$D$5:$D$296,'Data - Control'!$A$5:$A$296,$A262,'Data - Control'!$B$5:$B$296,$B262)</f>
        <v/>
      </c>
      <c r="E262" s="36">
        <f>SUMIFS('Data - Control'!$E$5:$E$296,'Data - Control'!$A$5:$A$296,$A262,'Data - Control'!$B$5:$B$296,$B262)</f>
        <v/>
      </c>
      <c r="F262" s="36">
        <f>SUMIFS('Data - Control'!$F$5:$F$296,'Data - Control'!$A$5:$A$296,$A262,'Data - Control'!$B$5:$B$296,$B262)</f>
        <v/>
      </c>
      <c r="G262" s="36">
        <f>SUMIFS('Data - Control'!$G$5:$G$296,'Data - Control'!$A$5:$A$296,$A262,'Data - Control'!$B$5:$B$296,$B262)</f>
        <v/>
      </c>
      <c r="H262" s="36">
        <f>SUMIFS('Data - Control'!$H$5:$H$296,'Data - Control'!$A$5:$A$296,$A262,'Data - Control'!$B$5:$B$296,$B262)</f>
        <v/>
      </c>
      <c r="I262" s="57">
        <f>IFERROR($G262/$C262,0)</f>
        <v/>
      </c>
      <c r="J262" s="57">
        <f>IFERROR($H262/$D262,0)</f>
        <v/>
      </c>
      <c r="K262" s="36">
        <f>$D262*$I262</f>
        <v/>
      </c>
      <c r="L262" s="36">
        <f>$D262*($J262-$I262)</f>
        <v/>
      </c>
      <c r="M262" s="45">
        <f>IFERROR($D262/$C262-1,"")</f>
        <v/>
      </c>
    </row>
    <row r="263">
      <c r="A263" s="43" t="inlineStr">
        <is>
          <t>Total Beverage Solutions</t>
        </is>
      </c>
      <c r="B263" s="43" t="inlineStr">
        <is>
          <t>Carib</t>
        </is>
      </c>
      <c r="C263" s="33">
        <f>SUMIFS('Data - Control'!$C$5:$C$296,'Data - Control'!$A$5:$A$296,$A263,'Data - Control'!$B$5:$B$296,$B263)</f>
        <v/>
      </c>
      <c r="D263" s="33">
        <f>SUMIFS('Data - Control'!$D$5:$D$296,'Data - Control'!$A$5:$A$296,$A263,'Data - Control'!$B$5:$B$296,$B263)</f>
        <v/>
      </c>
      <c r="E263" s="36">
        <f>SUMIFS('Data - Control'!$E$5:$E$296,'Data - Control'!$A$5:$A$296,$A263,'Data - Control'!$B$5:$B$296,$B263)</f>
        <v/>
      </c>
      <c r="F263" s="36">
        <f>SUMIFS('Data - Control'!$F$5:$F$296,'Data - Control'!$A$5:$A$296,$A263,'Data - Control'!$B$5:$B$296,$B263)</f>
        <v/>
      </c>
      <c r="G263" s="36">
        <f>SUMIFS('Data - Control'!$G$5:$G$296,'Data - Control'!$A$5:$A$296,$A263,'Data - Control'!$B$5:$B$296,$B263)</f>
        <v/>
      </c>
      <c r="H263" s="36">
        <f>SUMIFS('Data - Control'!$H$5:$H$296,'Data - Control'!$A$5:$A$296,$A263,'Data - Control'!$B$5:$B$296,$B263)</f>
        <v/>
      </c>
      <c r="I263" s="57">
        <f>IFERROR($G263/$C263,0)</f>
        <v/>
      </c>
      <c r="J263" s="57">
        <f>IFERROR($H263/$D263,0)</f>
        <v/>
      </c>
      <c r="K263" s="36">
        <f>$D263*$I263</f>
        <v/>
      </c>
      <c r="L263" s="36">
        <f>$D263*($J263-$I263)</f>
        <v/>
      </c>
      <c r="M263" s="45">
        <f>IFERROR($D263/$C263-1,"")</f>
        <v/>
      </c>
    </row>
    <row r="264">
      <c r="A264" s="43" t="inlineStr">
        <is>
          <t>Total Beverage Solutions</t>
        </is>
      </c>
      <c r="B264" s="43" t="inlineStr">
        <is>
          <t>Mackeson</t>
        </is>
      </c>
      <c r="C264" s="33">
        <f>SUMIFS('Data - Control'!$C$5:$C$296,'Data - Control'!$A$5:$A$296,$A264,'Data - Control'!$B$5:$B$296,$B264)</f>
        <v/>
      </c>
      <c r="D264" s="33">
        <f>SUMIFS('Data - Control'!$D$5:$D$296,'Data - Control'!$A$5:$A$296,$A264,'Data - Control'!$B$5:$B$296,$B264)</f>
        <v/>
      </c>
      <c r="E264" s="36">
        <f>SUMIFS('Data - Control'!$E$5:$E$296,'Data - Control'!$A$5:$A$296,$A264,'Data - Control'!$B$5:$B$296,$B264)</f>
        <v/>
      </c>
      <c r="F264" s="36">
        <f>SUMIFS('Data - Control'!$F$5:$F$296,'Data - Control'!$A$5:$A$296,$A264,'Data - Control'!$B$5:$B$296,$B264)</f>
        <v/>
      </c>
      <c r="G264" s="36">
        <f>SUMIFS('Data - Control'!$G$5:$G$296,'Data - Control'!$A$5:$A$296,$A264,'Data - Control'!$B$5:$B$296,$B264)</f>
        <v/>
      </c>
      <c r="H264" s="36">
        <f>SUMIFS('Data - Control'!$H$5:$H$296,'Data - Control'!$A$5:$A$296,$A264,'Data - Control'!$B$5:$B$296,$B264)</f>
        <v/>
      </c>
      <c r="I264" s="57">
        <f>IFERROR($G264/$C264,0)</f>
        <v/>
      </c>
      <c r="J264" s="57">
        <f>IFERROR($H264/$D264,0)</f>
        <v/>
      </c>
      <c r="K264" s="36">
        <f>$D264*$I264</f>
        <v/>
      </c>
      <c r="L264" s="36">
        <f>$D264*($J264-$I264)</f>
        <v/>
      </c>
      <c r="M264" s="45">
        <f>IFERROR($D264/$C264-1,"")</f>
        <v/>
      </c>
    </row>
    <row r="265">
      <c r="A265" s="43" t="inlineStr">
        <is>
          <t>Total Beverage Solutions</t>
        </is>
      </c>
      <c r="B265" s="43" t="inlineStr">
        <is>
          <t>Magners</t>
        </is>
      </c>
      <c r="C265" s="33">
        <f>SUMIFS('Data - Control'!$C$5:$C$296,'Data - Control'!$A$5:$A$296,$A265,'Data - Control'!$B$5:$B$296,$B265)</f>
        <v/>
      </c>
      <c r="D265" s="33">
        <f>SUMIFS('Data - Control'!$D$5:$D$296,'Data - Control'!$A$5:$A$296,$A265,'Data - Control'!$B$5:$B$296,$B265)</f>
        <v/>
      </c>
      <c r="E265" s="36">
        <f>SUMIFS('Data - Control'!$E$5:$E$296,'Data - Control'!$A$5:$A$296,$A265,'Data - Control'!$B$5:$B$296,$B265)</f>
        <v/>
      </c>
      <c r="F265" s="36">
        <f>SUMIFS('Data - Control'!$F$5:$F$296,'Data - Control'!$A$5:$A$296,$A265,'Data - Control'!$B$5:$B$296,$B265)</f>
        <v/>
      </c>
      <c r="G265" s="36">
        <f>SUMIFS('Data - Control'!$G$5:$G$296,'Data - Control'!$A$5:$A$296,$A265,'Data - Control'!$B$5:$B$296,$B265)</f>
        <v/>
      </c>
      <c r="H265" s="36">
        <f>SUMIFS('Data - Control'!$H$5:$H$296,'Data - Control'!$A$5:$A$296,$A265,'Data - Control'!$B$5:$B$296,$B265)</f>
        <v/>
      </c>
      <c r="I265" s="57">
        <f>IFERROR($G265/$C265,0)</f>
        <v/>
      </c>
      <c r="J265" s="57">
        <f>IFERROR($H265/$D265,0)</f>
        <v/>
      </c>
      <c r="K265" s="36">
        <f>$D265*$I265</f>
        <v/>
      </c>
      <c r="L265" s="36">
        <f>$D265*($J265-$I265)</f>
        <v/>
      </c>
      <c r="M265" s="45">
        <f>IFERROR($D265/$C265-1,"")</f>
        <v/>
      </c>
    </row>
    <row r="266">
      <c r="A266" s="43" t="inlineStr">
        <is>
          <t>Total Beverage Solutions</t>
        </is>
      </c>
      <c r="B266" s="43" t="inlineStr">
        <is>
          <t>Rekorderlig</t>
        </is>
      </c>
      <c r="C266" s="33">
        <f>SUMIFS('Data - Control'!$C$5:$C$296,'Data - Control'!$A$5:$A$296,$A266,'Data - Control'!$B$5:$B$296,$B266)</f>
        <v/>
      </c>
      <c r="D266" s="33">
        <f>SUMIFS('Data - Control'!$D$5:$D$296,'Data - Control'!$A$5:$A$296,$A266,'Data - Control'!$B$5:$B$296,$B266)</f>
        <v/>
      </c>
      <c r="E266" s="36">
        <f>SUMIFS('Data - Control'!$E$5:$E$296,'Data - Control'!$A$5:$A$296,$A266,'Data - Control'!$B$5:$B$296,$B266)</f>
        <v/>
      </c>
      <c r="F266" s="36">
        <f>SUMIFS('Data - Control'!$F$5:$F$296,'Data - Control'!$A$5:$A$296,$A266,'Data - Control'!$B$5:$B$296,$B266)</f>
        <v/>
      </c>
      <c r="G266" s="36">
        <f>SUMIFS('Data - Control'!$G$5:$G$296,'Data - Control'!$A$5:$A$296,$A266,'Data - Control'!$B$5:$B$296,$B266)</f>
        <v/>
      </c>
      <c r="H266" s="36">
        <f>SUMIFS('Data - Control'!$H$5:$H$296,'Data - Control'!$A$5:$A$296,$A266,'Data - Control'!$B$5:$B$296,$B266)</f>
        <v/>
      </c>
      <c r="I266" s="57">
        <f>IFERROR($G266/$C266,0)</f>
        <v/>
      </c>
      <c r="J266" s="57">
        <f>IFERROR($H266/$D266,0)</f>
        <v/>
      </c>
      <c r="K266" s="36">
        <f>$D266*$I266</f>
        <v/>
      </c>
      <c r="L266" s="36">
        <f>$D266*($J266-$I266)</f>
        <v/>
      </c>
      <c r="M266" s="45">
        <f>IFERROR($D266/$C266-1,"")</f>
        <v/>
      </c>
    </row>
    <row r="267">
      <c r="A267" s="43" t="inlineStr">
        <is>
          <t>Total Beverage Solutions</t>
        </is>
      </c>
      <c r="B267" s="43" t="inlineStr">
        <is>
          <t>Shipyard</t>
        </is>
      </c>
      <c r="C267" s="33">
        <f>SUMIFS('Data - Control'!$C$5:$C$296,'Data - Control'!$A$5:$A$296,$A267,'Data - Control'!$B$5:$B$296,$B267)</f>
        <v/>
      </c>
      <c r="D267" s="33">
        <f>SUMIFS('Data - Control'!$D$5:$D$296,'Data - Control'!$A$5:$A$296,$A267,'Data - Control'!$B$5:$B$296,$B267)</f>
        <v/>
      </c>
      <c r="E267" s="36">
        <f>SUMIFS('Data - Control'!$E$5:$E$296,'Data - Control'!$A$5:$A$296,$A267,'Data - Control'!$B$5:$B$296,$B267)</f>
        <v/>
      </c>
      <c r="F267" s="36">
        <f>SUMIFS('Data - Control'!$F$5:$F$296,'Data - Control'!$A$5:$A$296,$A267,'Data - Control'!$B$5:$B$296,$B267)</f>
        <v/>
      </c>
      <c r="G267" s="36">
        <f>SUMIFS('Data - Control'!$G$5:$G$296,'Data - Control'!$A$5:$A$296,$A267,'Data - Control'!$B$5:$B$296,$B267)</f>
        <v/>
      </c>
      <c r="H267" s="36">
        <f>SUMIFS('Data - Control'!$H$5:$H$296,'Data - Control'!$A$5:$A$296,$A267,'Data - Control'!$B$5:$B$296,$B267)</f>
        <v/>
      </c>
      <c r="I267" s="57">
        <f>IFERROR($G267/$C267,0)</f>
        <v/>
      </c>
      <c r="J267" s="57">
        <f>IFERROR($H267/$D267,0)</f>
        <v/>
      </c>
      <c r="K267" s="36">
        <f>$D267*$I267</f>
        <v/>
      </c>
      <c r="L267" s="36">
        <f>$D267*($J267-$I267)</f>
        <v/>
      </c>
      <c r="M267" s="45">
        <f>IFERROR($D267/$C267-1,"")</f>
        <v/>
      </c>
    </row>
    <row r="268">
      <c r="A268" s="43" t="inlineStr">
        <is>
          <t>Total Beverage Solutions</t>
        </is>
      </c>
      <c r="B268" s="43" t="inlineStr">
        <is>
          <t>Weihenstephaner</t>
        </is>
      </c>
      <c r="C268" s="33">
        <f>SUMIFS('Data - Control'!$C$5:$C$296,'Data - Control'!$A$5:$A$296,$A268,'Data - Control'!$B$5:$B$296,$B268)</f>
        <v/>
      </c>
      <c r="D268" s="33">
        <f>SUMIFS('Data - Control'!$D$5:$D$296,'Data - Control'!$A$5:$A$296,$A268,'Data - Control'!$B$5:$B$296,$B268)</f>
        <v/>
      </c>
      <c r="E268" s="36">
        <f>SUMIFS('Data - Control'!$E$5:$E$296,'Data - Control'!$A$5:$A$296,$A268,'Data - Control'!$B$5:$B$296,$B268)</f>
        <v/>
      </c>
      <c r="F268" s="36">
        <f>SUMIFS('Data - Control'!$F$5:$F$296,'Data - Control'!$A$5:$A$296,$A268,'Data - Control'!$B$5:$B$296,$B268)</f>
        <v/>
      </c>
      <c r="G268" s="36">
        <f>SUMIFS('Data - Control'!$G$5:$G$296,'Data - Control'!$A$5:$A$296,$A268,'Data - Control'!$B$5:$B$296,$B268)</f>
        <v/>
      </c>
      <c r="H268" s="36">
        <f>SUMIFS('Data - Control'!$H$5:$H$296,'Data - Control'!$A$5:$A$296,$A268,'Data - Control'!$B$5:$B$296,$B268)</f>
        <v/>
      </c>
      <c r="I268" s="57">
        <f>IFERROR($G268/$C268,0)</f>
        <v/>
      </c>
      <c r="J268" s="57">
        <f>IFERROR($H268/$D268,0)</f>
        <v/>
      </c>
      <c r="K268" s="36">
        <f>$D268*$I268</f>
        <v/>
      </c>
      <c r="L268" s="36">
        <f>$D268*($J268-$I268)</f>
        <v/>
      </c>
      <c r="M268" s="45">
        <f>IFERROR($D268/$C268-1,"")</f>
        <v/>
      </c>
    </row>
    <row r="269">
      <c r="A269" s="43" t="inlineStr">
        <is>
          <t>Travelers Club</t>
        </is>
      </c>
      <c r="B269" s="43" t="inlineStr">
        <is>
          <t>Travelers Club</t>
        </is>
      </c>
      <c r="C269" s="33">
        <f>SUMIFS('Data - Control'!$C$5:$C$296,'Data - Control'!$A$5:$A$296,$A269,'Data - Control'!$B$5:$B$296,$B269)</f>
        <v/>
      </c>
      <c r="D269" s="33">
        <f>SUMIFS('Data - Control'!$D$5:$D$296,'Data - Control'!$A$5:$A$296,$A269,'Data - Control'!$B$5:$B$296,$B269)</f>
        <v/>
      </c>
      <c r="E269" s="36">
        <f>SUMIFS('Data - Control'!$E$5:$E$296,'Data - Control'!$A$5:$A$296,$A269,'Data - Control'!$B$5:$B$296,$B269)</f>
        <v/>
      </c>
      <c r="F269" s="36">
        <f>SUMIFS('Data - Control'!$F$5:$F$296,'Data - Control'!$A$5:$A$296,$A269,'Data - Control'!$B$5:$B$296,$B269)</f>
        <v/>
      </c>
      <c r="G269" s="36">
        <f>SUMIFS('Data - Control'!$G$5:$G$296,'Data - Control'!$A$5:$A$296,$A269,'Data - Control'!$B$5:$B$296,$B269)</f>
        <v/>
      </c>
      <c r="H269" s="36">
        <f>SUMIFS('Data - Control'!$H$5:$H$296,'Data - Control'!$A$5:$A$296,$A269,'Data - Control'!$B$5:$B$296,$B269)</f>
        <v/>
      </c>
      <c r="I269" s="57">
        <f>IFERROR($G269/$C269,0)</f>
        <v/>
      </c>
      <c r="J269" s="57">
        <f>IFERROR($H269/$D269,0)</f>
        <v/>
      </c>
      <c r="K269" s="36">
        <f>$D269*$I269</f>
        <v/>
      </c>
      <c r="L269" s="36">
        <f>$D269*($J269-$I269)</f>
        <v/>
      </c>
      <c r="M269" s="45">
        <f>IFERROR($D269/$C269-1,"")</f>
        <v/>
      </c>
    </row>
    <row r="270">
      <c r="A270" s="43" t="inlineStr">
        <is>
          <t>Trinity Flavors</t>
        </is>
      </c>
      <c r="B270" s="43" t="inlineStr">
        <is>
          <t>Trinity</t>
        </is>
      </c>
      <c r="C270" s="33">
        <f>SUMIFS('Data - Control'!$C$5:$C$296,'Data - Control'!$A$5:$A$296,$A270,'Data - Control'!$B$5:$B$296,$B270)</f>
        <v/>
      </c>
      <c r="D270" s="33">
        <f>SUMIFS('Data - Control'!$D$5:$D$296,'Data - Control'!$A$5:$A$296,$A270,'Data - Control'!$B$5:$B$296,$B270)</f>
        <v/>
      </c>
      <c r="E270" s="36">
        <f>SUMIFS('Data - Control'!$E$5:$E$296,'Data - Control'!$A$5:$A$296,$A270,'Data - Control'!$B$5:$B$296,$B270)</f>
        <v/>
      </c>
      <c r="F270" s="36">
        <f>SUMIFS('Data - Control'!$F$5:$F$296,'Data - Control'!$A$5:$A$296,$A270,'Data - Control'!$B$5:$B$296,$B270)</f>
        <v/>
      </c>
      <c r="G270" s="36">
        <f>SUMIFS('Data - Control'!$G$5:$G$296,'Data - Control'!$A$5:$A$296,$A270,'Data - Control'!$B$5:$B$296,$B270)</f>
        <v/>
      </c>
      <c r="H270" s="36">
        <f>SUMIFS('Data - Control'!$H$5:$H$296,'Data - Control'!$A$5:$A$296,$A270,'Data - Control'!$B$5:$B$296,$B270)</f>
        <v/>
      </c>
      <c r="I270" s="57">
        <f>IFERROR($G270/$C270,0)</f>
        <v/>
      </c>
      <c r="J270" s="57">
        <f>IFERROR($H270/$D270,0)</f>
        <v/>
      </c>
      <c r="K270" s="36">
        <f>$D270*$I270</f>
        <v/>
      </c>
      <c r="L270" s="36">
        <f>$D270*($J270-$I270)</f>
        <v/>
      </c>
      <c r="M270" s="45">
        <f>IFERROR($D270/$C270-1,"")</f>
        <v/>
      </c>
    </row>
    <row r="271">
      <c r="A271" s="43" t="inlineStr">
        <is>
          <t>US Beverage</t>
        </is>
      </c>
      <c r="B271" s="43" t="inlineStr">
        <is>
          <t>Birra Moretti</t>
        </is>
      </c>
      <c r="C271" s="33">
        <f>SUMIFS('Data - Control'!$C$5:$C$296,'Data - Control'!$A$5:$A$296,$A271,'Data - Control'!$B$5:$B$296,$B271)</f>
        <v/>
      </c>
      <c r="D271" s="33">
        <f>SUMIFS('Data - Control'!$D$5:$D$296,'Data - Control'!$A$5:$A$296,$A271,'Data - Control'!$B$5:$B$296,$B271)</f>
        <v/>
      </c>
      <c r="E271" s="36">
        <f>SUMIFS('Data - Control'!$E$5:$E$296,'Data - Control'!$A$5:$A$296,$A271,'Data - Control'!$B$5:$B$296,$B271)</f>
        <v/>
      </c>
      <c r="F271" s="36">
        <f>SUMIFS('Data - Control'!$F$5:$F$296,'Data - Control'!$A$5:$A$296,$A271,'Data - Control'!$B$5:$B$296,$B271)</f>
        <v/>
      </c>
      <c r="G271" s="36">
        <f>SUMIFS('Data - Control'!$G$5:$G$296,'Data - Control'!$A$5:$A$296,$A271,'Data - Control'!$B$5:$B$296,$B271)</f>
        <v/>
      </c>
      <c r="H271" s="36">
        <f>SUMIFS('Data - Control'!$H$5:$H$296,'Data - Control'!$A$5:$A$296,$A271,'Data - Control'!$B$5:$B$296,$B271)</f>
        <v/>
      </c>
      <c r="I271" s="57">
        <f>IFERROR($G271/$C271,0)</f>
        <v/>
      </c>
      <c r="J271" s="57">
        <f>IFERROR($H271/$D271,0)</f>
        <v/>
      </c>
      <c r="K271" s="36">
        <f>$D271*$I271</f>
        <v/>
      </c>
      <c r="L271" s="36">
        <f>$D271*($J271-$I271)</f>
        <v/>
      </c>
      <c r="M271" s="45">
        <f>IFERROR($D271/$C271-1,"")</f>
        <v/>
      </c>
    </row>
    <row r="272">
      <c r="A272" s="43" t="inlineStr">
        <is>
          <t>US Beverage</t>
        </is>
      </c>
      <c r="B272" s="43" t="inlineStr">
        <is>
          <t>Daura</t>
        </is>
      </c>
      <c r="C272" s="33">
        <f>SUMIFS('Data - Control'!$C$5:$C$296,'Data - Control'!$A$5:$A$296,$A272,'Data - Control'!$B$5:$B$296,$B272)</f>
        <v/>
      </c>
      <c r="D272" s="33">
        <f>SUMIFS('Data - Control'!$D$5:$D$296,'Data - Control'!$A$5:$A$296,$A272,'Data - Control'!$B$5:$B$296,$B272)</f>
        <v/>
      </c>
      <c r="E272" s="36">
        <f>SUMIFS('Data - Control'!$E$5:$E$296,'Data - Control'!$A$5:$A$296,$A272,'Data - Control'!$B$5:$B$296,$B272)</f>
        <v/>
      </c>
      <c r="F272" s="36">
        <f>SUMIFS('Data - Control'!$F$5:$F$296,'Data - Control'!$A$5:$A$296,$A272,'Data - Control'!$B$5:$B$296,$B272)</f>
        <v/>
      </c>
      <c r="G272" s="36">
        <f>SUMIFS('Data - Control'!$G$5:$G$296,'Data - Control'!$A$5:$A$296,$A272,'Data - Control'!$B$5:$B$296,$B272)</f>
        <v/>
      </c>
      <c r="H272" s="36">
        <f>SUMIFS('Data - Control'!$H$5:$H$296,'Data - Control'!$A$5:$A$296,$A272,'Data - Control'!$B$5:$B$296,$B272)</f>
        <v/>
      </c>
      <c r="I272" s="57">
        <f>IFERROR($G272/$C272,0)</f>
        <v/>
      </c>
      <c r="J272" s="57">
        <f>IFERROR($H272/$D272,0)</f>
        <v/>
      </c>
      <c r="K272" s="36">
        <f>$D272*$I272</f>
        <v/>
      </c>
      <c r="L272" s="36">
        <f>$D272*($J272-$I272)</f>
        <v/>
      </c>
      <c r="M272" s="45">
        <f>IFERROR($D272/$C272-1,"")</f>
        <v/>
      </c>
    </row>
    <row r="273">
      <c r="A273" s="43" t="inlineStr">
        <is>
          <t>US Beverage</t>
        </is>
      </c>
      <c r="B273" s="43" t="inlineStr">
        <is>
          <t>Dragon Stout</t>
        </is>
      </c>
      <c r="C273" s="33">
        <f>SUMIFS('Data - Control'!$C$5:$C$296,'Data - Control'!$A$5:$A$296,$A273,'Data - Control'!$B$5:$B$296,$B273)</f>
        <v/>
      </c>
      <c r="D273" s="33">
        <f>SUMIFS('Data - Control'!$D$5:$D$296,'Data - Control'!$A$5:$A$296,$A273,'Data - Control'!$B$5:$B$296,$B273)</f>
        <v/>
      </c>
      <c r="E273" s="36">
        <f>SUMIFS('Data - Control'!$E$5:$E$296,'Data - Control'!$A$5:$A$296,$A273,'Data - Control'!$B$5:$B$296,$B273)</f>
        <v/>
      </c>
      <c r="F273" s="36">
        <f>SUMIFS('Data - Control'!$F$5:$F$296,'Data - Control'!$A$5:$A$296,$A273,'Data - Control'!$B$5:$B$296,$B273)</f>
        <v/>
      </c>
      <c r="G273" s="36">
        <f>SUMIFS('Data - Control'!$G$5:$G$296,'Data - Control'!$A$5:$A$296,$A273,'Data - Control'!$B$5:$B$296,$B273)</f>
        <v/>
      </c>
      <c r="H273" s="36">
        <f>SUMIFS('Data - Control'!$H$5:$H$296,'Data - Control'!$A$5:$A$296,$A273,'Data - Control'!$B$5:$B$296,$B273)</f>
        <v/>
      </c>
      <c r="I273" s="57">
        <f>IFERROR($G273/$C273,0)</f>
        <v/>
      </c>
      <c r="J273" s="57">
        <f>IFERROR($H273/$D273,0)</f>
        <v/>
      </c>
      <c r="K273" s="36">
        <f>$D273*$I273</f>
        <v/>
      </c>
      <c r="L273" s="36">
        <f>$D273*($J273-$I273)</f>
        <v/>
      </c>
      <c r="M273" s="45">
        <f>IFERROR($D273/$C273-1,"")</f>
        <v/>
      </c>
    </row>
    <row r="274">
      <c r="A274" s="43" t="inlineStr">
        <is>
          <t>US Beverage</t>
        </is>
      </c>
      <c r="B274" s="43" t="inlineStr">
        <is>
          <t>Estrella</t>
        </is>
      </c>
      <c r="C274" s="33">
        <f>SUMIFS('Data - Control'!$C$5:$C$296,'Data - Control'!$A$5:$A$296,$A274,'Data - Control'!$B$5:$B$296,$B274)</f>
        <v/>
      </c>
      <c r="D274" s="33">
        <f>SUMIFS('Data - Control'!$D$5:$D$296,'Data - Control'!$A$5:$A$296,$A274,'Data - Control'!$B$5:$B$296,$B274)</f>
        <v/>
      </c>
      <c r="E274" s="36">
        <f>SUMIFS('Data - Control'!$E$5:$E$296,'Data - Control'!$A$5:$A$296,$A274,'Data - Control'!$B$5:$B$296,$B274)</f>
        <v/>
      </c>
      <c r="F274" s="36">
        <f>SUMIFS('Data - Control'!$F$5:$F$296,'Data - Control'!$A$5:$A$296,$A274,'Data - Control'!$B$5:$B$296,$B274)</f>
        <v/>
      </c>
      <c r="G274" s="36">
        <f>SUMIFS('Data - Control'!$G$5:$G$296,'Data - Control'!$A$5:$A$296,$A274,'Data - Control'!$B$5:$B$296,$B274)</f>
        <v/>
      </c>
      <c r="H274" s="36">
        <f>SUMIFS('Data - Control'!$H$5:$H$296,'Data - Control'!$A$5:$A$296,$A274,'Data - Control'!$B$5:$B$296,$B274)</f>
        <v/>
      </c>
      <c r="I274" s="57">
        <f>IFERROR($G274/$C274,0)</f>
        <v/>
      </c>
      <c r="J274" s="57">
        <f>IFERROR($H274/$D274,0)</f>
        <v/>
      </c>
      <c r="K274" s="36">
        <f>$D274*$I274</f>
        <v/>
      </c>
      <c r="L274" s="36">
        <f>$D274*($J274-$I274)</f>
        <v/>
      </c>
      <c r="M274" s="45">
        <f>IFERROR($D274/$C274-1,"")</f>
        <v/>
      </c>
    </row>
    <row r="275">
      <c r="A275" s="43" t="inlineStr">
        <is>
          <t>US Beverage</t>
        </is>
      </c>
      <c r="B275" s="43" t="inlineStr">
        <is>
          <t>Innis &amp; Gunn</t>
        </is>
      </c>
      <c r="C275" s="33">
        <f>SUMIFS('Data - Control'!$C$5:$C$296,'Data - Control'!$A$5:$A$296,$A275,'Data - Control'!$B$5:$B$296,$B275)</f>
        <v/>
      </c>
      <c r="D275" s="33">
        <f>SUMIFS('Data - Control'!$D$5:$D$296,'Data - Control'!$A$5:$A$296,$A275,'Data - Control'!$B$5:$B$296,$B275)</f>
        <v/>
      </c>
      <c r="E275" s="36">
        <f>SUMIFS('Data - Control'!$E$5:$E$296,'Data - Control'!$A$5:$A$296,$A275,'Data - Control'!$B$5:$B$296,$B275)</f>
        <v/>
      </c>
      <c r="F275" s="36">
        <f>SUMIFS('Data - Control'!$F$5:$F$296,'Data - Control'!$A$5:$A$296,$A275,'Data - Control'!$B$5:$B$296,$B275)</f>
        <v/>
      </c>
      <c r="G275" s="36">
        <f>SUMIFS('Data - Control'!$G$5:$G$296,'Data - Control'!$A$5:$A$296,$A275,'Data - Control'!$B$5:$B$296,$B275)</f>
        <v/>
      </c>
      <c r="H275" s="36">
        <f>SUMIFS('Data - Control'!$H$5:$H$296,'Data - Control'!$A$5:$A$296,$A275,'Data - Control'!$B$5:$B$296,$B275)</f>
        <v/>
      </c>
      <c r="I275" s="57">
        <f>IFERROR($G275/$C275,0)</f>
        <v/>
      </c>
      <c r="J275" s="57">
        <f>IFERROR($H275/$D275,0)</f>
        <v/>
      </c>
      <c r="K275" s="36">
        <f>$D275*$I275</f>
        <v/>
      </c>
      <c r="L275" s="36">
        <f>$D275*($J275-$I275)</f>
        <v/>
      </c>
      <c r="M275" s="45">
        <f>IFERROR($D275/$C275-1,"")</f>
        <v/>
      </c>
    </row>
    <row r="276">
      <c r="A276" s="43" t="inlineStr">
        <is>
          <t>US Beverage</t>
        </is>
      </c>
      <c r="B276" s="43" t="inlineStr">
        <is>
          <t>Krusovice</t>
        </is>
      </c>
      <c r="C276" s="33">
        <f>SUMIFS('Data - Control'!$C$5:$C$296,'Data - Control'!$A$5:$A$296,$A276,'Data - Control'!$B$5:$B$296,$B276)</f>
        <v/>
      </c>
      <c r="D276" s="33">
        <f>SUMIFS('Data - Control'!$D$5:$D$296,'Data - Control'!$A$5:$A$296,$A276,'Data - Control'!$B$5:$B$296,$B276)</f>
        <v/>
      </c>
      <c r="E276" s="36">
        <f>SUMIFS('Data - Control'!$E$5:$E$296,'Data - Control'!$A$5:$A$296,$A276,'Data - Control'!$B$5:$B$296,$B276)</f>
        <v/>
      </c>
      <c r="F276" s="36">
        <f>SUMIFS('Data - Control'!$F$5:$F$296,'Data - Control'!$A$5:$A$296,$A276,'Data - Control'!$B$5:$B$296,$B276)</f>
        <v/>
      </c>
      <c r="G276" s="36">
        <f>SUMIFS('Data - Control'!$G$5:$G$296,'Data - Control'!$A$5:$A$296,$A276,'Data - Control'!$B$5:$B$296,$B276)</f>
        <v/>
      </c>
      <c r="H276" s="36">
        <f>SUMIFS('Data - Control'!$H$5:$H$296,'Data - Control'!$A$5:$A$296,$A276,'Data - Control'!$B$5:$B$296,$B276)</f>
        <v/>
      </c>
      <c r="I276" s="57">
        <f>IFERROR($G276/$C276,0)</f>
        <v/>
      </c>
      <c r="J276" s="57">
        <f>IFERROR($H276/$D276,0)</f>
        <v/>
      </c>
      <c r="K276" s="36">
        <f>$D276*$I276</f>
        <v/>
      </c>
      <c r="L276" s="36">
        <f>$D276*($J276-$I276)</f>
        <v/>
      </c>
      <c r="M276" s="45">
        <f>IFERROR($D276/$C276-1,"")</f>
        <v/>
      </c>
    </row>
    <row r="277">
      <c r="A277" s="43" t="inlineStr">
        <is>
          <t>US Beverage</t>
        </is>
      </c>
      <c r="B277" s="43" t="inlineStr">
        <is>
          <t>Malibu Splash</t>
        </is>
      </c>
      <c r="C277" s="33">
        <f>SUMIFS('Data - Control'!$C$5:$C$296,'Data - Control'!$A$5:$A$296,$A277,'Data - Control'!$B$5:$B$296,$B277)</f>
        <v/>
      </c>
      <c r="D277" s="33">
        <f>SUMIFS('Data - Control'!$D$5:$D$296,'Data - Control'!$A$5:$A$296,$A277,'Data - Control'!$B$5:$B$296,$B277)</f>
        <v/>
      </c>
      <c r="E277" s="36">
        <f>SUMIFS('Data - Control'!$E$5:$E$296,'Data - Control'!$A$5:$A$296,$A277,'Data - Control'!$B$5:$B$296,$B277)</f>
        <v/>
      </c>
      <c r="F277" s="36">
        <f>SUMIFS('Data - Control'!$F$5:$F$296,'Data - Control'!$A$5:$A$296,$A277,'Data - Control'!$B$5:$B$296,$B277)</f>
        <v/>
      </c>
      <c r="G277" s="36">
        <f>SUMIFS('Data - Control'!$G$5:$G$296,'Data - Control'!$A$5:$A$296,$A277,'Data - Control'!$B$5:$B$296,$B277)</f>
        <v/>
      </c>
      <c r="H277" s="36">
        <f>SUMIFS('Data - Control'!$H$5:$H$296,'Data - Control'!$A$5:$A$296,$A277,'Data - Control'!$B$5:$B$296,$B277)</f>
        <v/>
      </c>
      <c r="I277" s="57">
        <f>IFERROR($G277/$C277,0)</f>
        <v/>
      </c>
      <c r="J277" s="57">
        <f>IFERROR($H277/$D277,0)</f>
        <v/>
      </c>
      <c r="K277" s="36">
        <f>$D277*$I277</f>
        <v/>
      </c>
      <c r="L277" s="36">
        <f>$D277*($J277-$I277)</f>
        <v/>
      </c>
      <c r="M277" s="45">
        <f>IFERROR($D277/$C277-1,"")</f>
        <v/>
      </c>
    </row>
    <row r="278">
      <c r="A278" s="43" t="inlineStr">
        <is>
          <t>US Beverage</t>
        </is>
      </c>
      <c r="B278" s="43" t="inlineStr">
        <is>
          <t>Moosehead</t>
        </is>
      </c>
      <c r="C278" s="33">
        <f>SUMIFS('Data - Control'!$C$5:$C$296,'Data - Control'!$A$5:$A$296,$A278,'Data - Control'!$B$5:$B$296,$B278)</f>
        <v/>
      </c>
      <c r="D278" s="33">
        <f>SUMIFS('Data - Control'!$D$5:$D$296,'Data - Control'!$A$5:$A$296,$A278,'Data - Control'!$B$5:$B$296,$B278)</f>
        <v/>
      </c>
      <c r="E278" s="36">
        <f>SUMIFS('Data - Control'!$E$5:$E$296,'Data - Control'!$A$5:$A$296,$A278,'Data - Control'!$B$5:$B$296,$B278)</f>
        <v/>
      </c>
      <c r="F278" s="36">
        <f>SUMIFS('Data - Control'!$F$5:$F$296,'Data - Control'!$A$5:$A$296,$A278,'Data - Control'!$B$5:$B$296,$B278)</f>
        <v/>
      </c>
      <c r="G278" s="36">
        <f>SUMIFS('Data - Control'!$G$5:$G$296,'Data - Control'!$A$5:$A$296,$A278,'Data - Control'!$B$5:$B$296,$B278)</f>
        <v/>
      </c>
      <c r="H278" s="36">
        <f>SUMIFS('Data - Control'!$H$5:$H$296,'Data - Control'!$A$5:$A$296,$A278,'Data - Control'!$B$5:$B$296,$B278)</f>
        <v/>
      </c>
      <c r="I278" s="57">
        <f>IFERROR($G278/$C278,0)</f>
        <v/>
      </c>
      <c r="J278" s="57">
        <f>IFERROR($H278/$D278,0)</f>
        <v/>
      </c>
      <c r="K278" s="36">
        <f>$D278*$I278</f>
        <v/>
      </c>
      <c r="L278" s="36">
        <f>$D278*($J278-$I278)</f>
        <v/>
      </c>
      <c r="M278" s="45">
        <f>IFERROR($D278/$C278-1,"")</f>
        <v/>
      </c>
    </row>
    <row r="279">
      <c r="A279" s="43" t="inlineStr">
        <is>
          <t>US Beverage</t>
        </is>
      </c>
      <c r="B279" s="43" t="inlineStr">
        <is>
          <t>Sagres Cerveja</t>
        </is>
      </c>
      <c r="C279" s="33">
        <f>SUMIFS('Data - Control'!$C$5:$C$296,'Data - Control'!$A$5:$A$296,$A279,'Data - Control'!$B$5:$B$296,$B279)</f>
        <v/>
      </c>
      <c r="D279" s="33">
        <f>SUMIFS('Data - Control'!$D$5:$D$296,'Data - Control'!$A$5:$A$296,$A279,'Data - Control'!$B$5:$B$296,$B279)</f>
        <v/>
      </c>
      <c r="E279" s="36">
        <f>SUMIFS('Data - Control'!$E$5:$E$296,'Data - Control'!$A$5:$A$296,$A279,'Data - Control'!$B$5:$B$296,$B279)</f>
        <v/>
      </c>
      <c r="F279" s="36">
        <f>SUMIFS('Data - Control'!$F$5:$F$296,'Data - Control'!$A$5:$A$296,$A279,'Data - Control'!$B$5:$B$296,$B279)</f>
        <v/>
      </c>
      <c r="G279" s="36">
        <f>SUMIFS('Data - Control'!$G$5:$G$296,'Data - Control'!$A$5:$A$296,$A279,'Data - Control'!$B$5:$B$296,$B279)</f>
        <v/>
      </c>
      <c r="H279" s="36">
        <f>SUMIFS('Data - Control'!$H$5:$H$296,'Data - Control'!$A$5:$A$296,$A279,'Data - Control'!$B$5:$B$296,$B279)</f>
        <v/>
      </c>
      <c r="I279" s="57">
        <f>IFERROR($G279/$C279,0)</f>
        <v/>
      </c>
      <c r="J279" s="57">
        <f>IFERROR($H279/$D279,0)</f>
        <v/>
      </c>
      <c r="K279" s="36">
        <f>$D279*$I279</f>
        <v/>
      </c>
      <c r="L279" s="36">
        <f>$D279*($J279-$I279)</f>
        <v/>
      </c>
      <c r="M279" s="45">
        <f>IFERROR($D279/$C279-1,"")</f>
        <v/>
      </c>
    </row>
    <row r="280">
      <c r="A280" s="43" t="inlineStr">
        <is>
          <t>US Beverage</t>
        </is>
      </c>
      <c r="B280" s="43" t="inlineStr">
        <is>
          <t>Sammy's Beach Bum</t>
        </is>
      </c>
      <c r="C280" s="33">
        <f>SUMIFS('Data - Control'!$C$5:$C$296,'Data - Control'!$A$5:$A$296,$A280,'Data - Control'!$B$5:$B$296,$B280)</f>
        <v/>
      </c>
      <c r="D280" s="33">
        <f>SUMIFS('Data - Control'!$D$5:$D$296,'Data - Control'!$A$5:$A$296,$A280,'Data - Control'!$B$5:$B$296,$B280)</f>
        <v/>
      </c>
      <c r="E280" s="36">
        <f>SUMIFS('Data - Control'!$E$5:$E$296,'Data - Control'!$A$5:$A$296,$A280,'Data - Control'!$B$5:$B$296,$B280)</f>
        <v/>
      </c>
      <c r="F280" s="36">
        <f>SUMIFS('Data - Control'!$F$5:$F$296,'Data - Control'!$A$5:$A$296,$A280,'Data - Control'!$B$5:$B$296,$B280)</f>
        <v/>
      </c>
      <c r="G280" s="36">
        <f>SUMIFS('Data - Control'!$G$5:$G$296,'Data - Control'!$A$5:$A$296,$A280,'Data - Control'!$B$5:$B$296,$B280)</f>
        <v/>
      </c>
      <c r="H280" s="36">
        <f>SUMIFS('Data - Control'!$H$5:$H$296,'Data - Control'!$A$5:$A$296,$A280,'Data - Control'!$B$5:$B$296,$B280)</f>
        <v/>
      </c>
      <c r="I280" s="57">
        <f>IFERROR($G280/$C280,0)</f>
        <v/>
      </c>
      <c r="J280" s="57">
        <f>IFERROR($H280/$D280,0)</f>
        <v/>
      </c>
      <c r="K280" s="36">
        <f>$D280*$I280</f>
        <v/>
      </c>
      <c r="L280" s="36">
        <f>$D280*($J280-$I280)</f>
        <v/>
      </c>
      <c r="M280" s="45">
        <f>IFERROR($D280/$C280-1,"")</f>
        <v/>
      </c>
    </row>
    <row r="281">
      <c r="A281" s="43" t="inlineStr">
        <is>
          <t>US Beverage</t>
        </is>
      </c>
      <c r="B281" s="43" t="inlineStr">
        <is>
          <t>Tagus</t>
        </is>
      </c>
      <c r="C281" s="33">
        <f>SUMIFS('Data - Control'!$C$5:$C$296,'Data - Control'!$A$5:$A$296,$A281,'Data - Control'!$B$5:$B$296,$B281)</f>
        <v/>
      </c>
      <c r="D281" s="33">
        <f>SUMIFS('Data - Control'!$D$5:$D$296,'Data - Control'!$A$5:$A$296,$A281,'Data - Control'!$B$5:$B$296,$B281)</f>
        <v/>
      </c>
      <c r="E281" s="36">
        <f>SUMIFS('Data - Control'!$E$5:$E$296,'Data - Control'!$A$5:$A$296,$A281,'Data - Control'!$B$5:$B$296,$B281)</f>
        <v/>
      </c>
      <c r="F281" s="36">
        <f>SUMIFS('Data - Control'!$F$5:$F$296,'Data - Control'!$A$5:$A$296,$A281,'Data - Control'!$B$5:$B$296,$B281)</f>
        <v/>
      </c>
      <c r="G281" s="36">
        <f>SUMIFS('Data - Control'!$G$5:$G$296,'Data - Control'!$A$5:$A$296,$A281,'Data - Control'!$B$5:$B$296,$B281)</f>
        <v/>
      </c>
      <c r="H281" s="36">
        <f>SUMIFS('Data - Control'!$H$5:$H$296,'Data - Control'!$A$5:$A$296,$A281,'Data - Control'!$B$5:$B$296,$B281)</f>
        <v/>
      </c>
      <c r="I281" s="57">
        <f>IFERROR($G281/$C281,0)</f>
        <v/>
      </c>
      <c r="J281" s="57">
        <f>IFERROR($H281/$D281,0)</f>
        <v/>
      </c>
      <c r="K281" s="36">
        <f>$D281*$I281</f>
        <v/>
      </c>
      <c r="L281" s="36">
        <f>$D281*($J281-$I281)</f>
        <v/>
      </c>
      <c r="M281" s="45">
        <f>IFERROR($D281/$C281-1,"")</f>
        <v/>
      </c>
    </row>
    <row r="282">
      <c r="A282" s="43" t="inlineStr">
        <is>
          <t>Unibroue</t>
        </is>
      </c>
      <c r="B282" s="43" t="inlineStr">
        <is>
          <t>Unibroue</t>
        </is>
      </c>
      <c r="C282" s="33">
        <f>SUMIFS('Data - Control'!$C$5:$C$296,'Data - Control'!$A$5:$A$296,$A282,'Data - Control'!$B$5:$B$296,$B282)</f>
        <v/>
      </c>
      <c r="D282" s="33">
        <f>SUMIFS('Data - Control'!$D$5:$D$296,'Data - Control'!$A$5:$A$296,$A282,'Data - Control'!$B$5:$B$296,$B282)</f>
        <v/>
      </c>
      <c r="E282" s="36">
        <f>SUMIFS('Data - Control'!$E$5:$E$296,'Data - Control'!$A$5:$A$296,$A282,'Data - Control'!$B$5:$B$296,$B282)</f>
        <v/>
      </c>
      <c r="F282" s="36">
        <f>SUMIFS('Data - Control'!$F$5:$F$296,'Data - Control'!$A$5:$A$296,$A282,'Data - Control'!$B$5:$B$296,$B282)</f>
        <v/>
      </c>
      <c r="G282" s="36">
        <f>SUMIFS('Data - Control'!$G$5:$G$296,'Data - Control'!$A$5:$A$296,$A282,'Data - Control'!$B$5:$B$296,$B282)</f>
        <v/>
      </c>
      <c r="H282" s="36">
        <f>SUMIFS('Data - Control'!$H$5:$H$296,'Data - Control'!$A$5:$A$296,$A282,'Data - Control'!$B$5:$B$296,$B282)</f>
        <v/>
      </c>
      <c r="I282" s="57">
        <f>IFERROR($G282/$C282,0)</f>
        <v/>
      </c>
      <c r="J282" s="57">
        <f>IFERROR($H282/$D282,0)</f>
        <v/>
      </c>
      <c r="K282" s="36">
        <f>$D282*$I282</f>
        <v/>
      </c>
      <c r="L282" s="36">
        <f>$D282*($J282-$I282)</f>
        <v/>
      </c>
      <c r="M282" s="45">
        <f>IFERROR($D282/$C282-1,"")</f>
        <v/>
      </c>
    </row>
    <row r="283">
      <c r="A283" s="43" t="inlineStr">
        <is>
          <t>Vermont Hard Cider</t>
        </is>
      </c>
      <c r="B283" s="43" t="inlineStr">
        <is>
          <t>Day Chaser</t>
        </is>
      </c>
      <c r="C283" s="33">
        <f>SUMIFS('Data - Control'!$C$5:$C$296,'Data - Control'!$A$5:$A$296,$A283,'Data - Control'!$B$5:$B$296,$B283)</f>
        <v/>
      </c>
      <c r="D283" s="33">
        <f>SUMIFS('Data - Control'!$D$5:$D$296,'Data - Control'!$A$5:$A$296,$A283,'Data - Control'!$B$5:$B$296,$B283)</f>
        <v/>
      </c>
      <c r="E283" s="36">
        <f>SUMIFS('Data - Control'!$E$5:$E$296,'Data - Control'!$A$5:$A$296,$A283,'Data - Control'!$B$5:$B$296,$B283)</f>
        <v/>
      </c>
      <c r="F283" s="36">
        <f>SUMIFS('Data - Control'!$F$5:$F$296,'Data - Control'!$A$5:$A$296,$A283,'Data - Control'!$B$5:$B$296,$B283)</f>
        <v/>
      </c>
      <c r="G283" s="36">
        <f>SUMIFS('Data - Control'!$G$5:$G$296,'Data - Control'!$A$5:$A$296,$A283,'Data - Control'!$B$5:$B$296,$B283)</f>
        <v/>
      </c>
      <c r="H283" s="36">
        <f>SUMIFS('Data - Control'!$H$5:$H$296,'Data - Control'!$A$5:$A$296,$A283,'Data - Control'!$B$5:$B$296,$B283)</f>
        <v/>
      </c>
      <c r="I283" s="57">
        <f>IFERROR($G283/$C283,0)</f>
        <v/>
      </c>
      <c r="J283" s="57">
        <f>IFERROR($H283/$D283,0)</f>
        <v/>
      </c>
      <c r="K283" s="36">
        <f>$D283*$I283</f>
        <v/>
      </c>
      <c r="L283" s="36">
        <f>$D283*($J283-$I283)</f>
        <v/>
      </c>
      <c r="M283" s="45">
        <f>IFERROR($D283/$C283-1,"")</f>
        <v/>
      </c>
    </row>
    <row r="284">
      <c r="A284" s="43" t="inlineStr">
        <is>
          <t>Vermont Hard Cider</t>
        </is>
      </c>
      <c r="B284" s="43" t="inlineStr">
        <is>
          <t>Woodchuck</t>
        </is>
      </c>
      <c r="C284" s="33">
        <f>SUMIFS('Data - Control'!$C$5:$C$296,'Data - Control'!$A$5:$A$296,$A284,'Data - Control'!$B$5:$B$296,$B284)</f>
        <v/>
      </c>
      <c r="D284" s="33">
        <f>SUMIFS('Data - Control'!$D$5:$D$296,'Data - Control'!$A$5:$A$296,$A284,'Data - Control'!$B$5:$B$296,$B284)</f>
        <v/>
      </c>
      <c r="E284" s="36">
        <f>SUMIFS('Data - Control'!$E$5:$E$296,'Data - Control'!$A$5:$A$296,$A284,'Data - Control'!$B$5:$B$296,$B284)</f>
        <v/>
      </c>
      <c r="F284" s="36">
        <f>SUMIFS('Data - Control'!$F$5:$F$296,'Data - Control'!$A$5:$A$296,$A284,'Data - Control'!$B$5:$B$296,$B284)</f>
        <v/>
      </c>
      <c r="G284" s="36">
        <f>SUMIFS('Data - Control'!$G$5:$G$296,'Data - Control'!$A$5:$A$296,$A284,'Data - Control'!$B$5:$B$296,$B284)</f>
        <v/>
      </c>
      <c r="H284" s="36">
        <f>SUMIFS('Data - Control'!$H$5:$H$296,'Data - Control'!$A$5:$A$296,$A284,'Data - Control'!$B$5:$B$296,$B284)</f>
        <v/>
      </c>
      <c r="I284" s="57">
        <f>IFERROR($G284/$C284,0)</f>
        <v/>
      </c>
      <c r="J284" s="57">
        <f>IFERROR($H284/$D284,0)</f>
        <v/>
      </c>
      <c r="K284" s="36">
        <f>$D284*$I284</f>
        <v/>
      </c>
      <c r="L284" s="36">
        <f>$D284*($J284-$I284)</f>
        <v/>
      </c>
      <c r="M284" s="45">
        <f>IFERROR($D284/$C284-1,"")</f>
        <v/>
      </c>
    </row>
    <row r="285">
      <c r="A285" s="43" t="inlineStr">
        <is>
          <t>Vermont Hard Cider</t>
        </is>
      </c>
      <c r="B285" s="43" t="inlineStr">
        <is>
          <t>Wyder's</t>
        </is>
      </c>
      <c r="C285" s="33">
        <f>SUMIFS('Data - Control'!$C$5:$C$296,'Data - Control'!$A$5:$A$296,$A285,'Data - Control'!$B$5:$B$296,$B285)</f>
        <v/>
      </c>
      <c r="D285" s="33">
        <f>SUMIFS('Data - Control'!$D$5:$D$296,'Data - Control'!$A$5:$A$296,$A285,'Data - Control'!$B$5:$B$296,$B285)</f>
        <v/>
      </c>
      <c r="E285" s="36">
        <f>SUMIFS('Data - Control'!$E$5:$E$296,'Data - Control'!$A$5:$A$296,$A285,'Data - Control'!$B$5:$B$296,$B285)</f>
        <v/>
      </c>
      <c r="F285" s="36">
        <f>SUMIFS('Data - Control'!$F$5:$F$296,'Data - Control'!$A$5:$A$296,$A285,'Data - Control'!$B$5:$B$296,$B285)</f>
        <v/>
      </c>
      <c r="G285" s="36">
        <f>SUMIFS('Data - Control'!$G$5:$G$296,'Data - Control'!$A$5:$A$296,$A285,'Data - Control'!$B$5:$B$296,$B285)</f>
        <v/>
      </c>
      <c r="H285" s="36">
        <f>SUMIFS('Data - Control'!$H$5:$H$296,'Data - Control'!$A$5:$A$296,$A285,'Data - Control'!$B$5:$B$296,$B285)</f>
        <v/>
      </c>
      <c r="I285" s="57">
        <f>IFERROR($G285/$C285,0)</f>
        <v/>
      </c>
      <c r="J285" s="57">
        <f>IFERROR($H285/$D285,0)</f>
        <v/>
      </c>
      <c r="K285" s="36">
        <f>$D285*$I285</f>
        <v/>
      </c>
      <c r="L285" s="36">
        <f>$D285*($J285-$I285)</f>
        <v/>
      </c>
      <c r="M285" s="45">
        <f>IFERROR($D285/$C285-1,"")</f>
        <v/>
      </c>
    </row>
    <row r="286">
      <c r="A286" s="43" t="inlineStr">
        <is>
          <t>Victory Brewing Company</t>
        </is>
      </c>
      <c r="B286" s="43" t="inlineStr">
        <is>
          <t>Monkey Family</t>
        </is>
      </c>
      <c r="C286" s="33">
        <f>SUMIFS('Data - Control'!$C$5:$C$296,'Data - Control'!$A$5:$A$296,$A286,'Data - Control'!$B$5:$B$296,$B286)</f>
        <v/>
      </c>
      <c r="D286" s="33">
        <f>SUMIFS('Data - Control'!$D$5:$D$296,'Data - Control'!$A$5:$A$296,$A286,'Data - Control'!$B$5:$B$296,$B286)</f>
        <v/>
      </c>
      <c r="E286" s="36">
        <f>SUMIFS('Data - Control'!$E$5:$E$296,'Data - Control'!$A$5:$A$296,$A286,'Data - Control'!$B$5:$B$296,$B286)</f>
        <v/>
      </c>
      <c r="F286" s="36">
        <f>SUMIFS('Data - Control'!$F$5:$F$296,'Data - Control'!$A$5:$A$296,$A286,'Data - Control'!$B$5:$B$296,$B286)</f>
        <v/>
      </c>
      <c r="G286" s="36">
        <f>SUMIFS('Data - Control'!$G$5:$G$296,'Data - Control'!$A$5:$A$296,$A286,'Data - Control'!$B$5:$B$296,$B286)</f>
        <v/>
      </c>
      <c r="H286" s="36">
        <f>SUMIFS('Data - Control'!$H$5:$H$296,'Data - Control'!$A$5:$A$296,$A286,'Data - Control'!$B$5:$B$296,$B286)</f>
        <v/>
      </c>
      <c r="I286" s="57">
        <f>IFERROR($G286/$C286,0)</f>
        <v/>
      </c>
      <c r="J286" s="57">
        <f>IFERROR($H286/$D286,0)</f>
        <v/>
      </c>
      <c r="K286" s="36">
        <f>$D286*$I286</f>
        <v/>
      </c>
      <c r="L286" s="36">
        <f>$D286*($J286-$I286)</f>
        <v/>
      </c>
      <c r="M286" s="45">
        <f>IFERROR($D286/$C286-1,"")</f>
        <v/>
      </c>
    </row>
    <row r="287">
      <c r="A287" s="43" t="inlineStr">
        <is>
          <t>Victory Brewing Company</t>
        </is>
      </c>
      <c r="B287" s="43" t="inlineStr">
        <is>
          <t>Victory</t>
        </is>
      </c>
      <c r="C287" s="33">
        <f>SUMIFS('Data - Control'!$C$5:$C$296,'Data - Control'!$A$5:$A$296,$A287,'Data - Control'!$B$5:$B$296,$B287)</f>
        <v/>
      </c>
      <c r="D287" s="33">
        <f>SUMIFS('Data - Control'!$D$5:$D$296,'Data - Control'!$A$5:$A$296,$A287,'Data - Control'!$B$5:$B$296,$B287)</f>
        <v/>
      </c>
      <c r="E287" s="36">
        <f>SUMIFS('Data - Control'!$E$5:$E$296,'Data - Control'!$A$5:$A$296,$A287,'Data - Control'!$B$5:$B$296,$B287)</f>
        <v/>
      </c>
      <c r="F287" s="36">
        <f>SUMIFS('Data - Control'!$F$5:$F$296,'Data - Control'!$A$5:$A$296,$A287,'Data - Control'!$B$5:$B$296,$B287)</f>
        <v/>
      </c>
      <c r="G287" s="36">
        <f>SUMIFS('Data - Control'!$G$5:$G$296,'Data - Control'!$A$5:$A$296,$A287,'Data - Control'!$B$5:$B$296,$B287)</f>
        <v/>
      </c>
      <c r="H287" s="36">
        <f>SUMIFS('Data - Control'!$H$5:$H$296,'Data - Control'!$A$5:$A$296,$A287,'Data - Control'!$B$5:$B$296,$B287)</f>
        <v/>
      </c>
      <c r="I287" s="57">
        <f>IFERROR($G287/$C287,0)</f>
        <v/>
      </c>
      <c r="J287" s="57">
        <f>IFERROR($H287/$D287,0)</f>
        <v/>
      </c>
      <c r="K287" s="36">
        <f>$D287*$I287</f>
        <v/>
      </c>
      <c r="L287" s="36">
        <f>$D287*($J287-$I287)</f>
        <v/>
      </c>
      <c r="M287" s="45">
        <f>IFERROR($D287/$C287-1,"")</f>
        <v/>
      </c>
    </row>
    <row r="288">
      <c r="A288" s="43" t="inlineStr">
        <is>
          <t>Vinaio Imports LTD</t>
        </is>
      </c>
      <c r="B288" s="43" t="inlineStr">
        <is>
          <t>Carinoso</t>
        </is>
      </c>
      <c r="C288" s="33">
        <f>SUMIFS('Data - Control'!$C$5:$C$296,'Data - Control'!$A$5:$A$296,$A288,'Data - Control'!$B$5:$B$296,$B288)</f>
        <v/>
      </c>
      <c r="D288" s="33">
        <f>SUMIFS('Data - Control'!$D$5:$D$296,'Data - Control'!$A$5:$A$296,$A288,'Data - Control'!$B$5:$B$296,$B288)</f>
        <v/>
      </c>
      <c r="E288" s="36">
        <f>SUMIFS('Data - Control'!$E$5:$E$296,'Data - Control'!$A$5:$A$296,$A288,'Data - Control'!$B$5:$B$296,$B288)</f>
        <v/>
      </c>
      <c r="F288" s="36">
        <f>SUMIFS('Data - Control'!$F$5:$F$296,'Data - Control'!$A$5:$A$296,$A288,'Data - Control'!$B$5:$B$296,$B288)</f>
        <v/>
      </c>
      <c r="G288" s="36">
        <f>SUMIFS('Data - Control'!$G$5:$G$296,'Data - Control'!$A$5:$A$296,$A288,'Data - Control'!$B$5:$B$296,$B288)</f>
        <v/>
      </c>
      <c r="H288" s="36">
        <f>SUMIFS('Data - Control'!$H$5:$H$296,'Data - Control'!$A$5:$A$296,$A288,'Data - Control'!$B$5:$B$296,$B288)</f>
        <v/>
      </c>
      <c r="I288" s="57">
        <f>IFERROR($G288/$C288,0)</f>
        <v/>
      </c>
      <c r="J288" s="57">
        <f>IFERROR($H288/$D288,0)</f>
        <v/>
      </c>
      <c r="K288" s="36">
        <f>$D288*$I288</f>
        <v/>
      </c>
      <c r="L288" s="36">
        <f>$D288*($J288-$I288)</f>
        <v/>
      </c>
      <c r="M288" s="45">
        <f>IFERROR($D288/$C288-1,"")</f>
        <v/>
      </c>
    </row>
    <row r="289">
      <c r="A289" s="43" t="inlineStr">
        <is>
          <t>Vinaio Imports LTD</t>
        </is>
      </c>
      <c r="B289" s="43" t="inlineStr">
        <is>
          <t>Cerveza Republica LA Tuya</t>
        </is>
      </c>
      <c r="C289" s="33">
        <f>SUMIFS('Data - Control'!$C$5:$C$296,'Data - Control'!$A$5:$A$296,$A289,'Data - Control'!$B$5:$B$296,$B289)</f>
        <v/>
      </c>
      <c r="D289" s="33">
        <f>SUMIFS('Data - Control'!$D$5:$D$296,'Data - Control'!$A$5:$A$296,$A289,'Data - Control'!$B$5:$B$296,$B289)</f>
        <v/>
      </c>
      <c r="E289" s="36">
        <f>SUMIFS('Data - Control'!$E$5:$E$296,'Data - Control'!$A$5:$A$296,$A289,'Data - Control'!$B$5:$B$296,$B289)</f>
        <v/>
      </c>
      <c r="F289" s="36">
        <f>SUMIFS('Data - Control'!$F$5:$F$296,'Data - Control'!$A$5:$A$296,$A289,'Data - Control'!$B$5:$B$296,$B289)</f>
        <v/>
      </c>
      <c r="G289" s="36">
        <f>SUMIFS('Data - Control'!$G$5:$G$296,'Data - Control'!$A$5:$A$296,$A289,'Data - Control'!$B$5:$B$296,$B289)</f>
        <v/>
      </c>
      <c r="H289" s="36">
        <f>SUMIFS('Data - Control'!$H$5:$H$296,'Data - Control'!$A$5:$A$296,$A289,'Data - Control'!$B$5:$B$296,$B289)</f>
        <v/>
      </c>
      <c r="I289" s="57">
        <f>IFERROR($G289/$C289,0)</f>
        <v/>
      </c>
      <c r="J289" s="57">
        <f>IFERROR($H289/$D289,0)</f>
        <v/>
      </c>
      <c r="K289" s="36">
        <f>$D289*$I289</f>
        <v/>
      </c>
      <c r="L289" s="36">
        <f>$D289*($J289-$I289)</f>
        <v/>
      </c>
      <c r="M289" s="45">
        <f>IFERROR($D289/$C289-1,"")</f>
        <v/>
      </c>
    </row>
    <row r="290">
      <c r="A290" s="43" t="inlineStr">
        <is>
          <t>Vinaio Imports LTD</t>
        </is>
      </c>
      <c r="B290" s="43" t="inlineStr">
        <is>
          <t>Cerveza Republica La Tuya 5.0 La Dura</t>
        </is>
      </c>
      <c r="C290" s="33">
        <f>SUMIFS('Data - Control'!$C$5:$C$296,'Data - Control'!$A$5:$A$296,$A290,'Data - Control'!$B$5:$B$296,$B290)</f>
        <v/>
      </c>
      <c r="D290" s="33">
        <f>SUMIFS('Data - Control'!$D$5:$D$296,'Data - Control'!$A$5:$A$296,$A290,'Data - Control'!$B$5:$B$296,$B290)</f>
        <v/>
      </c>
      <c r="E290" s="36">
        <f>SUMIFS('Data - Control'!$E$5:$E$296,'Data - Control'!$A$5:$A$296,$A290,'Data - Control'!$B$5:$B$296,$B290)</f>
        <v/>
      </c>
      <c r="F290" s="36">
        <f>SUMIFS('Data - Control'!$F$5:$F$296,'Data - Control'!$A$5:$A$296,$A290,'Data - Control'!$B$5:$B$296,$B290)</f>
        <v/>
      </c>
      <c r="G290" s="36">
        <f>SUMIFS('Data - Control'!$G$5:$G$296,'Data - Control'!$A$5:$A$296,$A290,'Data - Control'!$B$5:$B$296,$B290)</f>
        <v/>
      </c>
      <c r="H290" s="36">
        <f>SUMIFS('Data - Control'!$H$5:$H$296,'Data - Control'!$A$5:$A$296,$A290,'Data - Control'!$B$5:$B$296,$B290)</f>
        <v/>
      </c>
      <c r="I290" s="57">
        <f>IFERROR($G290/$C290,0)</f>
        <v/>
      </c>
      <c r="J290" s="57">
        <f>IFERROR($H290/$D290,0)</f>
        <v/>
      </c>
      <c r="K290" s="36">
        <f>$D290*$I290</f>
        <v/>
      </c>
      <c r="L290" s="36">
        <f>$D290*($J290-$I290)</f>
        <v/>
      </c>
      <c r="M290" s="45">
        <f>IFERROR($D290/$C290-1,"")</f>
        <v/>
      </c>
    </row>
    <row r="291">
      <c r="A291" s="43" t="inlineStr">
        <is>
          <t>Viva Beverages Inc</t>
        </is>
      </c>
      <c r="B291" s="43" t="inlineStr">
        <is>
          <t>Viva Tequila Seltzer</t>
        </is>
      </c>
      <c r="C291" s="33">
        <f>SUMIFS('Data - Control'!$C$5:$C$296,'Data - Control'!$A$5:$A$296,$A291,'Data - Control'!$B$5:$B$296,$B291)</f>
        <v/>
      </c>
      <c r="D291" s="33">
        <f>SUMIFS('Data - Control'!$D$5:$D$296,'Data - Control'!$A$5:$A$296,$A291,'Data - Control'!$B$5:$B$296,$B291)</f>
        <v/>
      </c>
      <c r="E291" s="36">
        <f>SUMIFS('Data - Control'!$E$5:$E$296,'Data - Control'!$A$5:$A$296,$A291,'Data - Control'!$B$5:$B$296,$B291)</f>
        <v/>
      </c>
      <c r="F291" s="36">
        <f>SUMIFS('Data - Control'!$F$5:$F$296,'Data - Control'!$A$5:$A$296,$A291,'Data - Control'!$B$5:$B$296,$B291)</f>
        <v/>
      </c>
      <c r="G291" s="36">
        <f>SUMIFS('Data - Control'!$G$5:$G$296,'Data - Control'!$A$5:$A$296,$A291,'Data - Control'!$B$5:$B$296,$B291)</f>
        <v/>
      </c>
      <c r="H291" s="36">
        <f>SUMIFS('Data - Control'!$H$5:$H$296,'Data - Control'!$A$5:$A$296,$A291,'Data - Control'!$B$5:$B$296,$B291)</f>
        <v/>
      </c>
      <c r="I291" s="57">
        <f>IFERROR($G291/$C291,0)</f>
        <v/>
      </c>
      <c r="J291" s="57">
        <f>IFERROR($H291/$D291,0)</f>
        <v/>
      </c>
      <c r="K291" s="36">
        <f>$D291*$I291</f>
        <v/>
      </c>
      <c r="L291" s="36">
        <f>$D291*($J291-$I291)</f>
        <v/>
      </c>
      <c r="M291" s="45">
        <f>IFERROR($D291/$C291-1,"")</f>
        <v/>
      </c>
    </row>
    <row r="292">
      <c r="A292" s="43" t="inlineStr">
        <is>
          <t>Warwick Valley</t>
        </is>
      </c>
      <c r="B292" s="43" t="inlineStr">
        <is>
          <t>Doc's</t>
        </is>
      </c>
      <c r="C292" s="33">
        <f>SUMIFS('Data - Control'!$C$5:$C$296,'Data - Control'!$A$5:$A$296,$A292,'Data - Control'!$B$5:$B$296,$B292)</f>
        <v/>
      </c>
      <c r="D292" s="33">
        <f>SUMIFS('Data - Control'!$D$5:$D$296,'Data - Control'!$A$5:$A$296,$A292,'Data - Control'!$B$5:$B$296,$B292)</f>
        <v/>
      </c>
      <c r="E292" s="36">
        <f>SUMIFS('Data - Control'!$E$5:$E$296,'Data - Control'!$A$5:$A$296,$A292,'Data - Control'!$B$5:$B$296,$B292)</f>
        <v/>
      </c>
      <c r="F292" s="36">
        <f>SUMIFS('Data - Control'!$F$5:$F$296,'Data - Control'!$A$5:$A$296,$A292,'Data - Control'!$B$5:$B$296,$B292)</f>
        <v/>
      </c>
      <c r="G292" s="36">
        <f>SUMIFS('Data - Control'!$G$5:$G$296,'Data - Control'!$A$5:$A$296,$A292,'Data - Control'!$B$5:$B$296,$B292)</f>
        <v/>
      </c>
      <c r="H292" s="36">
        <f>SUMIFS('Data - Control'!$H$5:$H$296,'Data - Control'!$A$5:$A$296,$A292,'Data - Control'!$B$5:$B$296,$B292)</f>
        <v/>
      </c>
      <c r="I292" s="57">
        <f>IFERROR($G292/$C292,0)</f>
        <v/>
      </c>
      <c r="J292" s="57">
        <f>IFERROR($H292/$D292,0)</f>
        <v/>
      </c>
      <c r="K292" s="36">
        <f>$D292*$I292</f>
        <v/>
      </c>
      <c r="L292" s="36">
        <f>$D292*($J292-$I292)</f>
        <v/>
      </c>
      <c r="M292" s="45">
        <f>IFERROR($D292/$C292-1,"")</f>
        <v/>
      </c>
    </row>
    <row r="293">
      <c r="A293" s="43" t="inlineStr">
        <is>
          <t>Warwick Valley</t>
        </is>
      </c>
      <c r="B293" s="43" t="inlineStr">
        <is>
          <t>Gin Pig</t>
        </is>
      </c>
      <c r="C293" s="33">
        <f>SUMIFS('Data - Control'!$C$5:$C$296,'Data - Control'!$A$5:$A$296,$A293,'Data - Control'!$B$5:$B$296,$B293)</f>
        <v/>
      </c>
      <c r="D293" s="33">
        <f>SUMIFS('Data - Control'!$D$5:$D$296,'Data - Control'!$A$5:$A$296,$A293,'Data - Control'!$B$5:$B$296,$B293)</f>
        <v/>
      </c>
      <c r="E293" s="36">
        <f>SUMIFS('Data - Control'!$E$5:$E$296,'Data - Control'!$A$5:$A$296,$A293,'Data - Control'!$B$5:$B$296,$B293)</f>
        <v/>
      </c>
      <c r="F293" s="36">
        <f>SUMIFS('Data - Control'!$F$5:$F$296,'Data - Control'!$A$5:$A$296,$A293,'Data - Control'!$B$5:$B$296,$B293)</f>
        <v/>
      </c>
      <c r="G293" s="36">
        <f>SUMIFS('Data - Control'!$G$5:$G$296,'Data - Control'!$A$5:$A$296,$A293,'Data - Control'!$B$5:$B$296,$B293)</f>
        <v/>
      </c>
      <c r="H293" s="36">
        <f>SUMIFS('Data - Control'!$H$5:$H$296,'Data - Control'!$A$5:$A$296,$A293,'Data - Control'!$B$5:$B$296,$B293)</f>
        <v/>
      </c>
      <c r="I293" s="57">
        <f>IFERROR($G293/$C293,0)</f>
        <v/>
      </c>
      <c r="J293" s="57">
        <f>IFERROR($H293/$D293,0)</f>
        <v/>
      </c>
      <c r="K293" s="36">
        <f>$D293*$I293</f>
        <v/>
      </c>
      <c r="L293" s="36">
        <f>$D293*($J293-$I293)</f>
        <v/>
      </c>
      <c r="M293" s="45">
        <f>IFERROR($D293/$C293-1,"")</f>
        <v/>
      </c>
    </row>
    <row r="294">
      <c r="A294" s="43" t="inlineStr">
        <is>
          <t>Warwick Valley</t>
        </is>
      </c>
      <c r="B294" s="43" t="inlineStr">
        <is>
          <t>Warwick Gin</t>
        </is>
      </c>
      <c r="C294" s="33">
        <f>SUMIFS('Data - Control'!$C$5:$C$296,'Data - Control'!$A$5:$A$296,$A294,'Data - Control'!$B$5:$B$296,$B294)</f>
        <v/>
      </c>
      <c r="D294" s="33">
        <f>SUMIFS('Data - Control'!$D$5:$D$296,'Data - Control'!$A$5:$A$296,$A294,'Data - Control'!$B$5:$B$296,$B294)</f>
        <v/>
      </c>
      <c r="E294" s="36">
        <f>SUMIFS('Data - Control'!$E$5:$E$296,'Data - Control'!$A$5:$A$296,$A294,'Data - Control'!$B$5:$B$296,$B294)</f>
        <v/>
      </c>
      <c r="F294" s="36">
        <f>SUMIFS('Data - Control'!$F$5:$F$296,'Data - Control'!$A$5:$A$296,$A294,'Data - Control'!$B$5:$B$296,$B294)</f>
        <v/>
      </c>
      <c r="G294" s="36">
        <f>SUMIFS('Data - Control'!$G$5:$G$296,'Data - Control'!$A$5:$A$296,$A294,'Data - Control'!$B$5:$B$296,$B294)</f>
        <v/>
      </c>
      <c r="H294" s="36">
        <f>SUMIFS('Data - Control'!$H$5:$H$296,'Data - Control'!$A$5:$A$296,$A294,'Data - Control'!$B$5:$B$296,$B294)</f>
        <v/>
      </c>
      <c r="I294" s="57">
        <f>IFERROR($G294/$C294,0)</f>
        <v/>
      </c>
      <c r="J294" s="57">
        <f>IFERROR($H294/$D294,0)</f>
        <v/>
      </c>
      <c r="K294" s="36">
        <f>$D294*$I294</f>
        <v/>
      </c>
      <c r="L294" s="36">
        <f>$D294*($J294-$I294)</f>
        <v/>
      </c>
      <c r="M294" s="45">
        <f>IFERROR($D294/$C294-1,"")</f>
        <v/>
      </c>
    </row>
    <row r="295">
      <c r="A295" s="43" t="inlineStr">
        <is>
          <t>Waterloo Gin</t>
        </is>
      </c>
      <c r="B295" s="43" t="inlineStr">
        <is>
          <t>Waterloo Gin</t>
        </is>
      </c>
      <c r="C295" s="33">
        <f>SUMIFS('Data - Control'!$C$5:$C$296,'Data - Control'!$A$5:$A$296,$A295,'Data - Control'!$B$5:$B$296,$B295)</f>
        <v/>
      </c>
      <c r="D295" s="33">
        <f>SUMIFS('Data - Control'!$D$5:$D$296,'Data - Control'!$A$5:$A$296,$A295,'Data - Control'!$B$5:$B$296,$B295)</f>
        <v/>
      </c>
      <c r="E295" s="36">
        <f>SUMIFS('Data - Control'!$E$5:$E$296,'Data - Control'!$A$5:$A$296,$A295,'Data - Control'!$B$5:$B$296,$B295)</f>
        <v/>
      </c>
      <c r="F295" s="36">
        <f>SUMIFS('Data - Control'!$F$5:$F$296,'Data - Control'!$A$5:$A$296,$A295,'Data - Control'!$B$5:$B$296,$B295)</f>
        <v/>
      </c>
      <c r="G295" s="36">
        <f>SUMIFS('Data - Control'!$G$5:$G$296,'Data - Control'!$A$5:$A$296,$A295,'Data - Control'!$B$5:$B$296,$B295)</f>
        <v/>
      </c>
      <c r="H295" s="36">
        <f>SUMIFS('Data - Control'!$H$5:$H$296,'Data - Control'!$A$5:$A$296,$A295,'Data - Control'!$B$5:$B$296,$B295)</f>
        <v/>
      </c>
      <c r="I295" s="57">
        <f>IFERROR($G295/$C295,0)</f>
        <v/>
      </c>
      <c r="J295" s="57">
        <f>IFERROR($H295/$D295,0)</f>
        <v/>
      </c>
      <c r="K295" s="36">
        <f>$D295*$I295</f>
        <v/>
      </c>
      <c r="L295" s="36">
        <f>$D295*($J295-$I295)</f>
        <v/>
      </c>
      <c r="M295" s="45">
        <f>IFERROR($D295/$C295-1,"")</f>
        <v/>
      </c>
    </row>
    <row r="296">
      <c r="A296" s="43" t="inlineStr">
        <is>
          <t>XYZ Beverage</t>
        </is>
      </c>
      <c r="B296" s="43" t="inlineStr">
        <is>
          <t>Press</t>
        </is>
      </c>
      <c r="C296" s="33">
        <f>SUMIFS('Data - Control'!$C$5:$C$296,'Data - Control'!$A$5:$A$296,$A296,'Data - Control'!$B$5:$B$296,$B296)</f>
        <v/>
      </c>
      <c r="D296" s="33">
        <f>SUMIFS('Data - Control'!$D$5:$D$296,'Data - Control'!$A$5:$A$296,$A296,'Data - Control'!$B$5:$B$296,$B296)</f>
        <v/>
      </c>
      <c r="E296" s="36">
        <f>SUMIFS('Data - Control'!$E$5:$E$296,'Data - Control'!$A$5:$A$296,$A296,'Data - Control'!$B$5:$B$296,$B296)</f>
        <v/>
      </c>
      <c r="F296" s="36">
        <f>SUMIFS('Data - Control'!$F$5:$F$296,'Data - Control'!$A$5:$A$296,$A296,'Data - Control'!$B$5:$B$296,$B296)</f>
        <v/>
      </c>
      <c r="G296" s="36">
        <f>SUMIFS('Data - Control'!$G$5:$G$296,'Data - Control'!$A$5:$A$296,$A296,'Data - Control'!$B$5:$B$296,$B296)</f>
        <v/>
      </c>
      <c r="H296" s="36">
        <f>SUMIFS('Data - Control'!$H$5:$H$296,'Data - Control'!$A$5:$A$296,$A296,'Data - Control'!$B$5:$B$296,$B296)</f>
        <v/>
      </c>
      <c r="I296" s="57">
        <f>IFERROR($G296/$C296,0)</f>
        <v/>
      </c>
      <c r="J296" s="57">
        <f>IFERROR($H296/$D296,0)</f>
        <v/>
      </c>
      <c r="K296" s="36">
        <f>$D296*$I296</f>
        <v/>
      </c>
      <c r="L296" s="36">
        <f>$D296*($J296-$I296)</f>
        <v/>
      </c>
      <c r="M296" s="45">
        <f>IFERROR($D296/$C296-1,"")</f>
        <v/>
      </c>
    </row>
    <row r="297">
      <c r="A297" s="17" t="inlineStr">
        <is>
          <t>TOTAL</t>
        </is>
      </c>
      <c r="C297" s="44">
        <f>SUM(C5:C296)</f>
        <v/>
      </c>
      <c r="D297" s="44">
        <f>SUM(D5:D296)</f>
        <v/>
      </c>
      <c r="E297" s="48">
        <f>SUM(E5:E296)</f>
        <v/>
      </c>
      <c r="F297" s="48">
        <f>SUM(F5:F296)</f>
        <v/>
      </c>
      <c r="G297" s="48">
        <f>SUM(G5:G296)</f>
        <v/>
      </c>
      <c r="H297" s="48">
        <f>SUM(H5:H296)</f>
        <v/>
      </c>
      <c r="K297" s="48">
        <f>SUM(K5:K296)</f>
        <v/>
      </c>
      <c r="L297" s="48">
        <f>SUM(L5:L296)</f>
        <v/>
      </c>
    </row>
  </sheetData>
  <autoFilter ref="A4:M29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747"/>
  <sheetViews>
    <sheetView showGridLines="0" workbookViewId="0">
      <pane ySplit="4" topLeftCell="A5" activePane="bottomLeft" state="frozen"/>
      <selection pane="bottomLeft" activeCell="A1" sqref="A1"/>
    </sheetView>
  </sheetViews>
  <sheetFormatPr baseColWidth="8" defaultRowHeight="15"/>
  <cols>
    <col width="22" customWidth="1" min="1" max="1"/>
    <col width="11" customWidth="1" min="2" max="2"/>
    <col width="28" customWidth="1" min="3" max="3"/>
    <col width="22" customWidth="1" min="4" max="4"/>
    <col width="11" customWidth="1" min="5" max="5"/>
    <col width="11" customWidth="1" min="6" max="6"/>
    <col width="14" customWidth="1" min="7" max="7"/>
    <col width="14" customWidth="1" min="8" max="8"/>
    <col width="13" customWidth="1" min="9" max="9"/>
    <col width="13" customWidth="1" min="10" max="10"/>
    <col width="12" customWidth="1" min="11" max="11"/>
    <col width="12" customWidth="1" min="12" max="12"/>
    <col width="12" customWidth="1" min="13" max="13"/>
    <col width="12" customWidth="1" min="14" max="14"/>
    <col width="12" customWidth="1" min="15" max="15"/>
    <col width="12" customWidth="1" min="16" max="16"/>
  </cols>
  <sheetData>
    <row r="1">
      <c r="A1" s="24" t="inlineStr">
        <is>
          <t>Source data — Season</t>
        </is>
      </c>
    </row>
    <row r="2">
      <c r="A2" s="2" t="inlineStr">
        <is>
          <t>Program brands, 6/1–8/31 (2026 vs 2025), summed to rep × segment × supplier × brand, with account-derived POD counts   ·   Source: RDE_2026_Summer_of_Success_52.csv</t>
        </is>
      </c>
    </row>
    <row r="4" ht="32" customHeight="1">
      <c r="A4" s="6" t="inlineStr">
        <is>
          <t>Rep</t>
        </is>
      </c>
      <c r="B4" s="6" t="inlineStr">
        <is>
          <t>Segment</t>
        </is>
      </c>
      <c r="C4" s="6" t="inlineStr">
        <is>
          <t>Supplier</t>
        </is>
      </c>
      <c r="D4" s="6" t="inlineStr">
        <is>
          <t>Brand Family</t>
        </is>
      </c>
      <c r="E4" s="6" t="inlineStr">
        <is>
          <t>CE 2025</t>
        </is>
      </c>
      <c r="F4" s="6" t="inlineStr">
        <is>
          <t>CE 2026</t>
        </is>
      </c>
      <c r="G4" s="6" t="inlineStr">
        <is>
          <t>Revenue 2025</t>
        </is>
      </c>
      <c r="H4" s="6" t="inlineStr">
        <is>
          <t>Revenue 2026</t>
        </is>
      </c>
      <c r="I4" s="6" t="inlineStr">
        <is>
          <t>GP 2025</t>
        </is>
      </c>
      <c r="J4" s="6" t="inlineStr">
        <is>
          <t>GP 2026</t>
        </is>
      </c>
      <c r="K4" s="6" t="inlineStr">
        <is>
          <t>PODs 2025</t>
        </is>
      </c>
      <c r="L4" s="6" t="inlineStr">
        <is>
          <t>PODs 2026</t>
        </is>
      </c>
      <c r="M4" s="6" t="inlineStr">
        <is>
          <t>New PODs</t>
        </is>
      </c>
      <c r="N4" s="6" t="inlineStr">
        <is>
          <t>CE from new</t>
        </is>
      </c>
      <c r="O4" s="6" t="inlineStr">
        <is>
          <t>Lost PODs</t>
        </is>
      </c>
      <c r="P4" s="6" t="inlineStr">
        <is>
          <t>CE from lost</t>
        </is>
      </c>
    </row>
    <row r="5">
      <c r="A5" s="58" t="inlineStr">
        <is>
          <t>Alex Rodriguez</t>
        </is>
      </c>
      <c r="B5" s="58" t="inlineStr">
        <is>
          <t>Amplify</t>
        </is>
      </c>
      <c r="C5" s="58" t="inlineStr">
        <is>
          <t>Sapporo</t>
        </is>
      </c>
      <c r="D5" s="58" t="inlineStr">
        <is>
          <t>Sapporo</t>
        </is>
      </c>
      <c r="E5" s="53" t="n">
        <v>576</v>
      </c>
      <c r="F5" s="53" t="n">
        <v>876</v>
      </c>
      <c r="G5" s="55" t="n">
        <v>18621</v>
      </c>
      <c r="H5" s="55" t="n">
        <v>28010.25</v>
      </c>
      <c r="I5" s="55" t="n">
        <v>4531.140000000002</v>
      </c>
      <c r="J5" s="55" t="n">
        <v>6891.310000000001</v>
      </c>
      <c r="K5" s="53" t="n">
        <v>31</v>
      </c>
      <c r="L5" s="53" t="n">
        <v>38</v>
      </c>
      <c r="M5" s="53" t="n">
        <v>11</v>
      </c>
      <c r="N5" s="53" t="n">
        <v>158</v>
      </c>
      <c r="O5" s="53" t="n">
        <v>4</v>
      </c>
      <c r="P5" s="53" t="n">
        <v>33</v>
      </c>
    </row>
    <row r="6">
      <c r="A6" s="58" t="inlineStr">
        <is>
          <t>Alisa Acciardi</t>
        </is>
      </c>
      <c r="B6" s="58" t="inlineStr">
        <is>
          <t>Amplify</t>
        </is>
      </c>
      <c r="C6" s="58" t="inlineStr">
        <is>
          <t>Boston Beer Company</t>
        </is>
      </c>
      <c r="D6" s="58" t="inlineStr">
        <is>
          <t>Dogfish Head Beer</t>
        </is>
      </c>
      <c r="E6" s="53" t="n">
        <v>6</v>
      </c>
      <c r="F6" s="53" t="n">
        <v>2</v>
      </c>
      <c r="G6" s="55" t="n">
        <v>239.8</v>
      </c>
      <c r="H6" s="55" t="n">
        <v>73.59999999999999</v>
      </c>
      <c r="I6" s="55" t="n">
        <v>64.56999999999999</v>
      </c>
      <c r="J6" s="55" t="n">
        <v>23.84</v>
      </c>
      <c r="K6" s="53" t="n">
        <v>1</v>
      </c>
      <c r="L6" s="53" t="n">
        <v>1</v>
      </c>
      <c r="M6" s="53" t="n">
        <v>0</v>
      </c>
      <c r="N6" s="53" t="n">
        <v>0</v>
      </c>
      <c r="O6" s="53" t="n">
        <v>0</v>
      </c>
      <c r="P6" s="53" t="n">
        <v>0</v>
      </c>
    </row>
    <row r="7">
      <c r="A7" s="58" t="inlineStr">
        <is>
          <t>Alisa Acciardi</t>
        </is>
      </c>
      <c r="B7" s="58" t="inlineStr">
        <is>
          <t>Amplify</t>
        </is>
      </c>
      <c r="C7" s="58" t="inlineStr">
        <is>
          <t>Cape May</t>
        </is>
      </c>
      <c r="D7" s="58" t="inlineStr">
        <is>
          <t>Cape May</t>
        </is>
      </c>
      <c r="E7" s="53" t="n">
        <v>8</v>
      </c>
      <c r="F7" s="53" t="n">
        <v>0</v>
      </c>
      <c r="G7" s="55" t="n">
        <v>316.5</v>
      </c>
      <c r="H7" s="55" t="n">
        <v>0</v>
      </c>
      <c r="I7" s="55" t="n">
        <v>108.67</v>
      </c>
      <c r="J7" s="55" t="n">
        <v>0</v>
      </c>
      <c r="K7" s="53" t="n">
        <v>2</v>
      </c>
      <c r="L7" s="53" t="n">
        <v>0</v>
      </c>
      <c r="M7" s="53" t="n">
        <v>0</v>
      </c>
      <c r="N7" s="53" t="n">
        <v>0</v>
      </c>
      <c r="O7" s="53" t="n">
        <v>2</v>
      </c>
      <c r="P7" s="53" t="n">
        <v>8</v>
      </c>
    </row>
    <row r="8">
      <c r="A8" s="58" t="inlineStr">
        <is>
          <t>Alisa Acciardi</t>
        </is>
      </c>
      <c r="B8" s="58" t="inlineStr">
        <is>
          <t>Amplify</t>
        </is>
      </c>
      <c r="C8" s="58" t="inlineStr">
        <is>
          <t>Constellation Brands</t>
        </is>
      </c>
      <c r="D8" s="58" t="inlineStr">
        <is>
          <t>Corona Premier</t>
        </is>
      </c>
      <c r="E8" s="53" t="n">
        <v>7</v>
      </c>
      <c r="F8" s="53" t="n">
        <v>6</v>
      </c>
      <c r="G8" s="55" t="n">
        <v>212.25</v>
      </c>
      <c r="H8" s="55" t="n">
        <v>158.4</v>
      </c>
      <c r="I8" s="55" t="n">
        <v>38.36</v>
      </c>
      <c r="J8" s="55" t="n">
        <v>41.29</v>
      </c>
      <c r="K8" s="53" t="n">
        <v>1</v>
      </c>
      <c r="L8" s="53" t="n">
        <v>1</v>
      </c>
      <c r="M8" s="53" t="n">
        <v>0</v>
      </c>
      <c r="N8" s="53" t="n">
        <v>0</v>
      </c>
      <c r="O8" s="53" t="n">
        <v>0</v>
      </c>
      <c r="P8" s="53" t="n">
        <v>0</v>
      </c>
    </row>
    <row r="9">
      <c r="A9" s="58" t="inlineStr">
        <is>
          <t>Alisa Acciardi</t>
        </is>
      </c>
      <c r="B9" s="58" t="inlineStr">
        <is>
          <t>Amplify</t>
        </is>
      </c>
      <c r="C9" s="58" t="inlineStr">
        <is>
          <t>Constellation Brands</t>
        </is>
      </c>
      <c r="D9" s="58" t="inlineStr">
        <is>
          <t>Modelo Chelada</t>
        </is>
      </c>
      <c r="E9" s="53" t="n">
        <v>51</v>
      </c>
      <c r="F9" s="53" t="n">
        <v>31</v>
      </c>
      <c r="G9" s="55" t="n">
        <v>1571.4</v>
      </c>
      <c r="H9" s="55" t="n">
        <v>967.75</v>
      </c>
      <c r="I9" s="55" t="n">
        <v>373.99</v>
      </c>
      <c r="J9" s="55" t="n">
        <v>252.09</v>
      </c>
      <c r="K9" s="53" t="n">
        <v>2</v>
      </c>
      <c r="L9" s="53" t="n">
        <v>2</v>
      </c>
      <c r="M9" s="53" t="n">
        <v>0</v>
      </c>
      <c r="N9" s="53" t="n">
        <v>0</v>
      </c>
      <c r="O9" s="53" t="n">
        <v>0</v>
      </c>
      <c r="P9" s="53" t="n">
        <v>0</v>
      </c>
    </row>
    <row r="10">
      <c r="A10" s="58" t="inlineStr">
        <is>
          <t>Alisa Acciardi</t>
        </is>
      </c>
      <c r="B10" s="58" t="inlineStr">
        <is>
          <t>Amplify</t>
        </is>
      </c>
      <c r="C10" s="58" t="inlineStr">
        <is>
          <t>Constellation Brands</t>
        </is>
      </c>
      <c r="D10" s="58" t="inlineStr">
        <is>
          <t>Pacifico</t>
        </is>
      </c>
      <c r="E10" s="53" t="n">
        <v>34</v>
      </c>
      <c r="F10" s="53" t="n">
        <v>8</v>
      </c>
      <c r="G10" s="55" t="n">
        <v>1035</v>
      </c>
      <c r="H10" s="55" t="n">
        <v>233.8</v>
      </c>
      <c r="I10" s="55" t="n">
        <v>240.96</v>
      </c>
      <c r="J10" s="55" t="n">
        <v>54.57</v>
      </c>
      <c r="K10" s="53" t="n">
        <v>1</v>
      </c>
      <c r="L10" s="53" t="n">
        <v>1</v>
      </c>
      <c r="M10" s="53" t="n">
        <v>0</v>
      </c>
      <c r="N10" s="53" t="n">
        <v>0</v>
      </c>
      <c r="O10" s="53" t="n">
        <v>0</v>
      </c>
      <c r="P10" s="53" t="n">
        <v>0</v>
      </c>
    </row>
    <row r="11">
      <c r="A11" s="58" t="inlineStr">
        <is>
          <t>Alisa Acciardi</t>
        </is>
      </c>
      <c r="B11" s="58" t="inlineStr">
        <is>
          <t>Amplify</t>
        </is>
      </c>
      <c r="C11" s="58" t="inlineStr">
        <is>
          <t>Constellation Brands</t>
        </is>
      </c>
      <c r="D11" s="58" t="inlineStr">
        <is>
          <t>Victoria</t>
        </is>
      </c>
      <c r="E11" s="53" t="n">
        <v>5</v>
      </c>
      <c r="F11" s="53" t="n">
        <v>9</v>
      </c>
      <c r="G11" s="55" t="n">
        <v>151.35</v>
      </c>
      <c r="H11" s="55" t="n">
        <v>277</v>
      </c>
      <c r="I11" s="55" t="n">
        <v>33.29</v>
      </c>
      <c r="J11" s="55" t="n">
        <v>63.23999999999999</v>
      </c>
      <c r="K11" s="53" t="n">
        <v>2</v>
      </c>
      <c r="L11" s="53" t="n">
        <v>2</v>
      </c>
      <c r="M11" s="53" t="n">
        <v>0</v>
      </c>
      <c r="N11" s="53" t="n">
        <v>0</v>
      </c>
      <c r="O11" s="53" t="n">
        <v>0</v>
      </c>
      <c r="P11" s="53" t="n">
        <v>0</v>
      </c>
    </row>
    <row r="12">
      <c r="A12" s="58" t="inlineStr">
        <is>
          <t>Alisa Acciardi</t>
        </is>
      </c>
      <c r="B12" s="58" t="inlineStr">
        <is>
          <t>Amplify</t>
        </is>
      </c>
      <c r="C12" s="58" t="inlineStr">
        <is>
          <t>DG Yuengling Inc</t>
        </is>
      </c>
      <c r="D12" s="58" t="inlineStr">
        <is>
          <t>Yuengling Flight</t>
        </is>
      </c>
      <c r="E12" s="53" t="n">
        <v>2</v>
      </c>
      <c r="F12" s="53" t="n">
        <v>2</v>
      </c>
      <c r="G12" s="55" t="n">
        <v>46.05</v>
      </c>
      <c r="H12" s="55" t="n">
        <v>42.2</v>
      </c>
      <c r="I12" s="55" t="n">
        <v>12.51</v>
      </c>
      <c r="J12" s="55" t="n">
        <v>10.05</v>
      </c>
      <c r="K12" s="53" t="n">
        <v>1</v>
      </c>
      <c r="L12" s="53" t="n">
        <v>1</v>
      </c>
      <c r="M12" s="53" t="n">
        <v>0</v>
      </c>
      <c r="N12" s="53" t="n">
        <v>0</v>
      </c>
      <c r="O12" s="53" t="n">
        <v>0</v>
      </c>
      <c r="P12" s="53" t="n">
        <v>0</v>
      </c>
    </row>
    <row r="13">
      <c r="A13" s="58" t="inlineStr">
        <is>
          <t>Alisa Acciardi</t>
        </is>
      </c>
      <c r="B13" s="58" t="inlineStr">
        <is>
          <t>Amplify</t>
        </is>
      </c>
      <c r="C13" s="58" t="inlineStr">
        <is>
          <t>DG Yuengling Inc</t>
        </is>
      </c>
      <c r="D13" s="58" t="inlineStr">
        <is>
          <t>Yuengling Light Lager</t>
        </is>
      </c>
      <c r="E13" s="53" t="n">
        <v>1</v>
      </c>
      <c r="F13" s="53" t="n">
        <v>2</v>
      </c>
      <c r="G13" s="55" t="n">
        <v>27</v>
      </c>
      <c r="H13" s="55" t="n">
        <v>42.2</v>
      </c>
      <c r="I13" s="55" t="n">
        <v>7.89</v>
      </c>
      <c r="J13" s="55" t="n">
        <v>10.02</v>
      </c>
      <c r="K13" s="53" t="n">
        <v>1</v>
      </c>
      <c r="L13" s="53" t="n">
        <v>1</v>
      </c>
      <c r="M13" s="53" t="n">
        <v>0</v>
      </c>
      <c r="N13" s="53" t="n">
        <v>0</v>
      </c>
      <c r="O13" s="53" t="n">
        <v>0</v>
      </c>
      <c r="P13" s="53" t="n">
        <v>0</v>
      </c>
    </row>
    <row r="14">
      <c r="A14" s="58" t="inlineStr">
        <is>
          <t>Alisa Acciardi</t>
        </is>
      </c>
      <c r="B14" s="58" t="inlineStr">
        <is>
          <t>Amplify</t>
        </is>
      </c>
      <c r="C14" s="58" t="inlineStr">
        <is>
          <t>Heineken USA</t>
        </is>
      </c>
      <c r="D14" s="58" t="inlineStr">
        <is>
          <t>Heineken 0.0</t>
        </is>
      </c>
      <c r="E14" s="53" t="n">
        <v>9</v>
      </c>
      <c r="F14" s="53" t="n">
        <v>3</v>
      </c>
      <c r="G14" s="55" t="n">
        <v>282.15</v>
      </c>
      <c r="H14" s="55" t="n">
        <v>94.05</v>
      </c>
      <c r="I14" s="55" t="n">
        <v>74.88</v>
      </c>
      <c r="J14" s="55" t="n">
        <v>24.96</v>
      </c>
      <c r="K14" s="53" t="n">
        <v>2</v>
      </c>
      <c r="L14" s="53" t="n">
        <v>1</v>
      </c>
      <c r="M14" s="53" t="n">
        <v>0</v>
      </c>
      <c r="N14" s="53" t="n">
        <v>0</v>
      </c>
      <c r="O14" s="53" t="n">
        <v>1</v>
      </c>
      <c r="P14" s="53" t="n">
        <v>3</v>
      </c>
    </row>
    <row r="15">
      <c r="A15" s="58" t="inlineStr">
        <is>
          <t>Alisa Acciardi</t>
        </is>
      </c>
      <c r="B15" s="58" t="inlineStr">
        <is>
          <t>Amplify</t>
        </is>
      </c>
      <c r="C15" s="58" t="inlineStr">
        <is>
          <t>Heineken USA</t>
        </is>
      </c>
      <c r="D15" s="58" t="inlineStr">
        <is>
          <t>Heineken Light</t>
        </is>
      </c>
      <c r="E15" s="53" t="n">
        <v>19</v>
      </c>
      <c r="F15" s="53" t="n">
        <v>12</v>
      </c>
      <c r="G15" s="55" t="n">
        <v>603.7</v>
      </c>
      <c r="H15" s="55" t="n">
        <v>379.15</v>
      </c>
      <c r="I15" s="55" t="n">
        <v>152.03</v>
      </c>
      <c r="J15" s="55" t="n">
        <v>93.87</v>
      </c>
      <c r="K15" s="53" t="n">
        <v>2</v>
      </c>
      <c r="L15" s="53" t="n">
        <v>2</v>
      </c>
      <c r="M15" s="53" t="n">
        <v>0</v>
      </c>
      <c r="N15" s="53" t="n">
        <v>0</v>
      </c>
      <c r="O15" s="53" t="n">
        <v>0</v>
      </c>
      <c r="P15" s="53" t="n">
        <v>0</v>
      </c>
    </row>
    <row r="16">
      <c r="A16" s="58" t="inlineStr">
        <is>
          <t>Alisa Acciardi</t>
        </is>
      </c>
      <c r="B16" s="58" t="inlineStr">
        <is>
          <t>Amplify</t>
        </is>
      </c>
      <c r="C16" s="58" t="inlineStr">
        <is>
          <t>Mark Anthony</t>
        </is>
      </c>
      <c r="D16" s="58" t="inlineStr">
        <is>
          <t>Cayman Jack</t>
        </is>
      </c>
      <c r="E16" s="53" t="n">
        <v>5</v>
      </c>
      <c r="F16" s="53" t="n">
        <v>3</v>
      </c>
      <c r="G16" s="55" t="n">
        <v>155</v>
      </c>
      <c r="H16" s="55" t="n">
        <v>92.75</v>
      </c>
      <c r="I16" s="55" t="n">
        <v>37.65</v>
      </c>
      <c r="J16" s="55" t="n">
        <v>22.34</v>
      </c>
      <c r="K16" s="53" t="n">
        <v>1</v>
      </c>
      <c r="L16" s="53" t="n">
        <v>1</v>
      </c>
      <c r="M16" s="53" t="n">
        <v>0</v>
      </c>
      <c r="N16" s="53" t="n">
        <v>0</v>
      </c>
      <c r="O16" s="53" t="n">
        <v>0</v>
      </c>
      <c r="P16" s="53" t="n">
        <v>0</v>
      </c>
    </row>
    <row r="17">
      <c r="A17" s="58" t="inlineStr">
        <is>
          <t>Alisa Acciardi</t>
        </is>
      </c>
      <c r="B17" s="58" t="inlineStr">
        <is>
          <t>Amplify</t>
        </is>
      </c>
      <c r="C17" s="58" t="inlineStr">
        <is>
          <t>MolsonCoors Beverage Company</t>
        </is>
      </c>
      <c r="D17" s="58" t="inlineStr">
        <is>
          <t>Coors</t>
        </is>
      </c>
      <c r="E17" s="53" t="n">
        <v>41</v>
      </c>
      <c r="F17" s="53" t="n">
        <v>15</v>
      </c>
      <c r="G17" s="55" t="n">
        <v>788.6</v>
      </c>
      <c r="H17" s="55" t="n">
        <v>294.5</v>
      </c>
      <c r="I17" s="55" t="n">
        <v>181.25</v>
      </c>
      <c r="J17" s="55" t="n">
        <v>69.36</v>
      </c>
      <c r="K17" s="53" t="n">
        <v>2</v>
      </c>
      <c r="L17" s="53" t="n">
        <v>2</v>
      </c>
      <c r="M17" s="53" t="n">
        <v>0</v>
      </c>
      <c r="N17" s="53" t="n">
        <v>0</v>
      </c>
      <c r="O17" s="53" t="n">
        <v>0</v>
      </c>
      <c r="P17" s="53" t="n">
        <v>0</v>
      </c>
    </row>
    <row r="18">
      <c r="A18" s="58" t="inlineStr">
        <is>
          <t>Alisa Acciardi</t>
        </is>
      </c>
      <c r="B18" s="58" t="inlineStr">
        <is>
          <t>Amplify</t>
        </is>
      </c>
      <c r="C18" s="58" t="inlineStr">
        <is>
          <t>MolsonCoors Beverage Company</t>
        </is>
      </c>
      <c r="D18" s="58" t="inlineStr">
        <is>
          <t>Peroni</t>
        </is>
      </c>
      <c r="E18" s="53" t="n">
        <v>13</v>
      </c>
      <c r="F18" s="53" t="n">
        <v>10</v>
      </c>
      <c r="G18" s="55" t="n">
        <v>449.5</v>
      </c>
      <c r="H18" s="55" t="n">
        <v>316.35</v>
      </c>
      <c r="I18" s="55" t="n">
        <v>91.66999999999999</v>
      </c>
      <c r="J18" s="55" t="n">
        <v>65.23999999999999</v>
      </c>
      <c r="K18" s="53" t="n">
        <v>2</v>
      </c>
      <c r="L18" s="53" t="n">
        <v>1</v>
      </c>
      <c r="M18" s="53" t="n">
        <v>0</v>
      </c>
      <c r="N18" s="53" t="n">
        <v>0</v>
      </c>
      <c r="O18" s="53" t="n">
        <v>1</v>
      </c>
      <c r="P18" s="53" t="n">
        <v>5</v>
      </c>
    </row>
    <row r="19">
      <c r="A19" s="58" t="inlineStr">
        <is>
          <t>Alisa Acciardi</t>
        </is>
      </c>
      <c r="B19" s="58" t="inlineStr">
        <is>
          <t>Amplify</t>
        </is>
      </c>
      <c r="C19" s="58" t="inlineStr">
        <is>
          <t>New Belgium Brewing Company</t>
        </is>
      </c>
      <c r="D19" s="58" t="inlineStr">
        <is>
          <t>Fat Tire Family</t>
        </is>
      </c>
      <c r="E19" s="53" t="n">
        <v>8</v>
      </c>
      <c r="F19" s="53" t="n">
        <v>0</v>
      </c>
      <c r="G19" s="55" t="n">
        <v>272.25</v>
      </c>
      <c r="H19" s="55" t="n">
        <v>0</v>
      </c>
      <c r="I19" s="55" t="n">
        <v>62.25</v>
      </c>
      <c r="J19" s="55" t="n">
        <v>0</v>
      </c>
      <c r="K19" s="53" t="n">
        <v>1</v>
      </c>
      <c r="L19" s="53" t="n">
        <v>0</v>
      </c>
      <c r="M19" s="53" t="n">
        <v>0</v>
      </c>
      <c r="N19" s="53" t="n">
        <v>0</v>
      </c>
      <c r="O19" s="53" t="n">
        <v>1</v>
      </c>
      <c r="P19" s="53" t="n">
        <v>8</v>
      </c>
    </row>
    <row r="20">
      <c r="A20" s="58" t="inlineStr">
        <is>
          <t>Alisa Acciardi</t>
        </is>
      </c>
      <c r="B20" s="58" t="inlineStr">
        <is>
          <t>Amplify</t>
        </is>
      </c>
      <c r="C20" s="58" t="inlineStr">
        <is>
          <t>New Belgium Brewing Company</t>
        </is>
      </c>
      <c r="D20" s="58" t="inlineStr">
        <is>
          <t>Voodoo Family</t>
        </is>
      </c>
      <c r="E20" s="53" t="n">
        <v>23</v>
      </c>
      <c r="F20" s="53" t="n">
        <v>19</v>
      </c>
      <c r="G20" s="55" t="n">
        <v>814.7</v>
      </c>
      <c r="H20" s="55" t="n">
        <v>677.5</v>
      </c>
      <c r="I20" s="55" t="n">
        <v>222.5</v>
      </c>
      <c r="J20" s="55" t="n">
        <v>192.62</v>
      </c>
      <c r="K20" s="53" t="n">
        <v>2</v>
      </c>
      <c r="L20" s="53" t="n">
        <v>1</v>
      </c>
      <c r="M20" s="53" t="n">
        <v>0</v>
      </c>
      <c r="N20" s="53" t="n">
        <v>0</v>
      </c>
      <c r="O20" s="53" t="n">
        <v>1</v>
      </c>
      <c r="P20" s="53" t="n">
        <v>8</v>
      </c>
    </row>
    <row r="21">
      <c r="A21" s="58" t="inlineStr">
        <is>
          <t>Alisa Acciardi</t>
        </is>
      </c>
      <c r="B21" s="58" t="inlineStr">
        <is>
          <t>Amplify</t>
        </is>
      </c>
      <c r="C21" s="58" t="inlineStr">
        <is>
          <t>Sapporo</t>
        </is>
      </c>
      <c r="D21" s="58" t="inlineStr">
        <is>
          <t>Sapporo</t>
        </is>
      </c>
      <c r="E21" s="53" t="n">
        <v>1603</v>
      </c>
      <c r="F21" s="53" t="n">
        <v>1609</v>
      </c>
      <c r="G21" s="55" t="n">
        <v>44312</v>
      </c>
      <c r="H21" s="55" t="n">
        <v>44484</v>
      </c>
      <c r="I21" s="55" t="n">
        <v>10855.34</v>
      </c>
      <c r="J21" s="55" t="n">
        <v>10956.97</v>
      </c>
      <c r="K21" s="53" t="n">
        <v>57</v>
      </c>
      <c r="L21" s="53" t="n">
        <v>55</v>
      </c>
      <c r="M21" s="53" t="n">
        <v>6</v>
      </c>
      <c r="N21" s="53" t="n">
        <v>49</v>
      </c>
      <c r="O21" s="53" t="n">
        <v>8</v>
      </c>
      <c r="P21" s="53" t="n">
        <v>104</v>
      </c>
    </row>
    <row r="22">
      <c r="A22" s="58" t="inlineStr">
        <is>
          <t>Alisa Acciardi</t>
        </is>
      </c>
      <c r="B22" s="58" t="inlineStr">
        <is>
          <t>Qualifier</t>
        </is>
      </c>
      <c r="C22" s="58" t="inlineStr">
        <is>
          <t>Boston Beer Company</t>
        </is>
      </c>
      <c r="D22" s="58" t="inlineStr">
        <is>
          <t>Twisted Tea</t>
        </is>
      </c>
      <c r="E22" s="53" t="n">
        <v>33</v>
      </c>
      <c r="F22" s="53" t="n">
        <v>24</v>
      </c>
      <c r="G22" s="55" t="n">
        <v>1008</v>
      </c>
      <c r="H22" s="55" t="n">
        <v>735.5</v>
      </c>
      <c r="I22" s="55" t="n">
        <v>290.65</v>
      </c>
      <c r="J22" s="55" t="n">
        <v>209.4</v>
      </c>
      <c r="K22" s="53" t="n">
        <v>2</v>
      </c>
      <c r="L22" s="53" t="n">
        <v>2</v>
      </c>
      <c r="M22" s="53" t="n">
        <v>0</v>
      </c>
      <c r="N22" s="53" t="n">
        <v>0</v>
      </c>
      <c r="O22" s="53" t="n">
        <v>0</v>
      </c>
      <c r="P22" s="53" t="n">
        <v>0</v>
      </c>
    </row>
    <row r="23">
      <c r="A23" s="58" t="inlineStr">
        <is>
          <t>Alisa Acciardi</t>
        </is>
      </c>
      <c r="B23" s="58" t="inlineStr">
        <is>
          <t>Qualifier</t>
        </is>
      </c>
      <c r="C23" s="58" t="inlineStr">
        <is>
          <t>Constellation Brands</t>
        </is>
      </c>
      <c r="D23" s="58" t="inlineStr">
        <is>
          <t>Corona Extra</t>
        </is>
      </c>
      <c r="E23" s="53" t="n">
        <v>191</v>
      </c>
      <c r="F23" s="53" t="n">
        <v>155</v>
      </c>
      <c r="G23" s="55" t="n">
        <v>6315.55</v>
      </c>
      <c r="H23" s="55" t="n">
        <v>5109.4</v>
      </c>
      <c r="I23" s="55" t="n">
        <v>1693.16</v>
      </c>
      <c r="J23" s="55" t="n">
        <v>1328.53</v>
      </c>
      <c r="K23" s="53" t="n">
        <v>4</v>
      </c>
      <c r="L23" s="53" t="n">
        <v>3</v>
      </c>
      <c r="M23" s="53" t="n">
        <v>0</v>
      </c>
      <c r="N23" s="53" t="n">
        <v>0</v>
      </c>
      <c r="O23" s="53" t="n">
        <v>1</v>
      </c>
      <c r="P23" s="53" t="n">
        <v>4</v>
      </c>
    </row>
    <row r="24">
      <c r="A24" s="58" t="inlineStr">
        <is>
          <t>Alisa Acciardi</t>
        </is>
      </c>
      <c r="B24" s="58" t="inlineStr">
        <is>
          <t>Qualifier</t>
        </is>
      </c>
      <c r="C24" s="58" t="inlineStr">
        <is>
          <t>Constellation Brands</t>
        </is>
      </c>
      <c r="D24" s="58" t="inlineStr">
        <is>
          <t>Modelo Especial</t>
        </is>
      </c>
      <c r="E24" s="53" t="n">
        <v>263</v>
      </c>
      <c r="F24" s="53" t="n">
        <v>274</v>
      </c>
      <c r="G24" s="55" t="n">
        <v>8182.2</v>
      </c>
      <c r="H24" s="55" t="n">
        <v>8501.25</v>
      </c>
      <c r="I24" s="55" t="n">
        <v>1989.47</v>
      </c>
      <c r="J24" s="55" t="n">
        <v>2095.46</v>
      </c>
      <c r="K24" s="53" t="n">
        <v>4</v>
      </c>
      <c r="L24" s="53" t="n">
        <v>3</v>
      </c>
      <c r="M24" s="53" t="n">
        <v>0</v>
      </c>
      <c r="N24" s="53" t="n">
        <v>0</v>
      </c>
      <c r="O24" s="53" t="n">
        <v>1</v>
      </c>
      <c r="P24" s="53" t="n">
        <v>2</v>
      </c>
    </row>
    <row r="25">
      <c r="A25" s="58" t="inlineStr">
        <is>
          <t>Alisa Acciardi</t>
        </is>
      </c>
      <c r="B25" s="58" t="inlineStr">
        <is>
          <t>Qualifier</t>
        </is>
      </c>
      <c r="C25" s="58" t="inlineStr">
        <is>
          <t>DG Yuengling Inc</t>
        </is>
      </c>
      <c r="D25" s="58" t="inlineStr">
        <is>
          <t>Yuengling Lager</t>
        </is>
      </c>
      <c r="E25" s="53" t="n">
        <v>19</v>
      </c>
      <c r="F25" s="53" t="n">
        <v>23</v>
      </c>
      <c r="G25" s="55" t="n">
        <v>362.5</v>
      </c>
      <c r="H25" s="55" t="n">
        <v>487.4</v>
      </c>
      <c r="I25" s="55" t="n">
        <v>114.43</v>
      </c>
      <c r="J25" s="55" t="n">
        <v>154.84</v>
      </c>
      <c r="K25" s="53" t="n">
        <v>3</v>
      </c>
      <c r="L25" s="53" t="n">
        <v>3</v>
      </c>
      <c r="M25" s="53" t="n">
        <v>0</v>
      </c>
      <c r="N25" s="53" t="n">
        <v>0</v>
      </c>
      <c r="O25" s="53" t="n">
        <v>0</v>
      </c>
      <c r="P25" s="53" t="n">
        <v>0</v>
      </c>
    </row>
    <row r="26">
      <c r="A26" s="58" t="inlineStr">
        <is>
          <t>Alisa Acciardi</t>
        </is>
      </c>
      <c r="B26" s="58" t="inlineStr">
        <is>
          <t>Qualifier</t>
        </is>
      </c>
      <c r="C26" s="58" t="inlineStr">
        <is>
          <t>Heineken USA</t>
        </is>
      </c>
      <c r="D26" s="58" t="inlineStr">
        <is>
          <t>Heineken USA</t>
        </is>
      </c>
      <c r="E26" s="53" t="n">
        <v>158</v>
      </c>
      <c r="F26" s="53" t="n">
        <v>75</v>
      </c>
      <c r="G26" s="55" t="n">
        <v>4908.1</v>
      </c>
      <c r="H26" s="55" t="n">
        <v>2373.15</v>
      </c>
      <c r="I26" s="55" t="n">
        <v>1233.85</v>
      </c>
      <c r="J26" s="55" t="n">
        <v>578.15</v>
      </c>
      <c r="K26" s="53" t="n">
        <v>3</v>
      </c>
      <c r="L26" s="53" t="n">
        <v>2</v>
      </c>
      <c r="M26" s="53" t="n">
        <v>0</v>
      </c>
      <c r="N26" s="53" t="n">
        <v>0</v>
      </c>
      <c r="O26" s="53" t="n">
        <v>1</v>
      </c>
      <c r="P26" s="53" t="n">
        <v>2</v>
      </c>
    </row>
    <row r="27">
      <c r="A27" s="58" t="inlineStr">
        <is>
          <t>Alisa Acciardi</t>
        </is>
      </c>
      <c r="B27" s="58" t="inlineStr">
        <is>
          <t>Qualifier</t>
        </is>
      </c>
      <c r="C27" s="58" t="inlineStr">
        <is>
          <t>Mark Anthony</t>
        </is>
      </c>
      <c r="D27" s="58" t="inlineStr">
        <is>
          <t>White Claw</t>
        </is>
      </c>
      <c r="E27" s="53" t="n">
        <v>89</v>
      </c>
      <c r="F27" s="53" t="n">
        <v>83</v>
      </c>
      <c r="G27" s="55" t="n">
        <v>2924.9</v>
      </c>
      <c r="H27" s="55" t="n">
        <v>2803.2</v>
      </c>
      <c r="I27" s="55" t="n">
        <v>667.27</v>
      </c>
      <c r="J27" s="55" t="n">
        <v>648.4100000000001</v>
      </c>
      <c r="K27" s="53" t="n">
        <v>2</v>
      </c>
      <c r="L27" s="53" t="n">
        <v>2</v>
      </c>
      <c r="M27" s="53" t="n">
        <v>0</v>
      </c>
      <c r="N27" s="53" t="n">
        <v>0</v>
      </c>
      <c r="O27" s="53" t="n">
        <v>0</v>
      </c>
      <c r="P27" s="53" t="n">
        <v>0</v>
      </c>
    </row>
    <row r="28">
      <c r="A28" s="58" t="inlineStr">
        <is>
          <t>Alisa Acciardi</t>
        </is>
      </c>
      <c r="B28" s="58" t="inlineStr">
        <is>
          <t>Qualifier</t>
        </is>
      </c>
      <c r="C28" s="58" t="inlineStr">
        <is>
          <t>MolsonCoors Beverage Company</t>
        </is>
      </c>
      <c r="D28" s="58" t="inlineStr">
        <is>
          <t>Blue Moon</t>
        </is>
      </c>
      <c r="E28" s="53" t="n">
        <v>25</v>
      </c>
      <c r="F28" s="53" t="n">
        <v>26</v>
      </c>
      <c r="G28" s="55" t="n">
        <v>815.95</v>
      </c>
      <c r="H28" s="55" t="n">
        <v>849.55</v>
      </c>
      <c r="I28" s="55" t="n">
        <v>226.35</v>
      </c>
      <c r="J28" s="55" t="n">
        <v>237.52</v>
      </c>
      <c r="K28" s="53" t="n">
        <v>3</v>
      </c>
      <c r="L28" s="53" t="n">
        <v>2</v>
      </c>
      <c r="M28" s="53" t="n">
        <v>0</v>
      </c>
      <c r="N28" s="53" t="n">
        <v>0</v>
      </c>
      <c r="O28" s="53" t="n">
        <v>1</v>
      </c>
      <c r="P28" s="53" t="n">
        <v>13</v>
      </c>
    </row>
    <row r="29">
      <c r="A29" s="58" t="inlineStr">
        <is>
          <t>Alisa Acciardi</t>
        </is>
      </c>
      <c r="B29" s="58" t="inlineStr">
        <is>
          <t>Qualifier</t>
        </is>
      </c>
      <c r="C29" s="58" t="inlineStr">
        <is>
          <t>MolsonCoors Beverage Company</t>
        </is>
      </c>
      <c r="D29" s="58" t="inlineStr">
        <is>
          <t>Coors Light</t>
        </is>
      </c>
      <c r="E29" s="53" t="n">
        <v>262</v>
      </c>
      <c r="F29" s="53" t="n">
        <v>139</v>
      </c>
      <c r="G29" s="55" t="n">
        <v>5006.7</v>
      </c>
      <c r="H29" s="55" t="n">
        <v>2728.55</v>
      </c>
      <c r="I29" s="55" t="n">
        <v>1121.19</v>
      </c>
      <c r="J29" s="55" t="n">
        <v>615.46</v>
      </c>
      <c r="K29" s="53" t="n">
        <v>3</v>
      </c>
      <c r="L29" s="53" t="n">
        <v>2</v>
      </c>
      <c r="M29" s="53" t="n">
        <v>0</v>
      </c>
      <c r="N29" s="53" t="n">
        <v>0</v>
      </c>
      <c r="O29" s="53" t="n">
        <v>1</v>
      </c>
      <c r="P29" s="53" t="n">
        <v>3</v>
      </c>
    </row>
    <row r="30">
      <c r="A30" s="58" t="inlineStr">
        <is>
          <t>Alisa Acciardi</t>
        </is>
      </c>
      <c r="B30" s="58" t="inlineStr">
        <is>
          <t>Qualifier</t>
        </is>
      </c>
      <c r="C30" s="58" t="inlineStr">
        <is>
          <t>MolsonCoors Beverage Company</t>
        </is>
      </c>
      <c r="D30" s="58" t="inlineStr">
        <is>
          <t>Lite</t>
        </is>
      </c>
      <c r="E30" s="53" t="n">
        <v>205</v>
      </c>
      <c r="F30" s="53" t="n">
        <v>182</v>
      </c>
      <c r="G30" s="55" t="n">
        <v>4052.05</v>
      </c>
      <c r="H30" s="55" t="n">
        <v>3771.75</v>
      </c>
      <c r="I30" s="55" t="n">
        <v>857.61</v>
      </c>
      <c r="J30" s="55" t="n">
        <v>817.01</v>
      </c>
      <c r="K30" s="53" t="n">
        <v>2</v>
      </c>
      <c r="L30" s="53" t="n">
        <v>3</v>
      </c>
      <c r="M30" s="53" t="n">
        <v>1</v>
      </c>
      <c r="N30" s="53" t="n">
        <v>1</v>
      </c>
      <c r="O30" s="53" t="n">
        <v>0</v>
      </c>
      <c r="P30" s="53" t="n">
        <v>0</v>
      </c>
    </row>
    <row r="31">
      <c r="A31" s="58" t="inlineStr">
        <is>
          <t>Allison Scott</t>
        </is>
      </c>
      <c r="B31" s="58" t="inlineStr">
        <is>
          <t>Amplify</t>
        </is>
      </c>
      <c r="C31" s="58" t="inlineStr">
        <is>
          <t>Bell's</t>
        </is>
      </c>
      <c r="D31" s="58" t="inlineStr">
        <is>
          <t>Bell's</t>
        </is>
      </c>
      <c r="E31" s="53" t="n">
        <v>1</v>
      </c>
      <c r="F31" s="53" t="n">
        <v>0</v>
      </c>
      <c r="G31" s="55" t="n">
        <v>41.1</v>
      </c>
      <c r="H31" s="55" t="n">
        <v>0</v>
      </c>
      <c r="I31" s="55" t="n">
        <v>16.64</v>
      </c>
      <c r="J31" s="55" t="n">
        <v>0</v>
      </c>
      <c r="K31" s="53" t="n">
        <v>1</v>
      </c>
      <c r="L31" s="53" t="n">
        <v>0</v>
      </c>
      <c r="M31" s="53" t="n">
        <v>0</v>
      </c>
      <c r="N31" s="53" t="n">
        <v>0</v>
      </c>
      <c r="O31" s="53" t="n">
        <v>1</v>
      </c>
      <c r="P31" s="53" t="n">
        <v>1</v>
      </c>
    </row>
    <row r="32">
      <c r="A32" s="58" t="inlineStr">
        <is>
          <t>Allison Scott</t>
        </is>
      </c>
      <c r="B32" s="58" t="inlineStr">
        <is>
          <t>Amplify</t>
        </is>
      </c>
      <c r="C32" s="58" t="inlineStr">
        <is>
          <t>Boston Beer Company</t>
        </is>
      </c>
      <c r="D32" s="58" t="inlineStr">
        <is>
          <t>Dogfish Head Beer</t>
        </is>
      </c>
      <c r="E32" s="53" t="n">
        <v>467</v>
      </c>
      <c r="F32" s="53" t="n">
        <v>425</v>
      </c>
      <c r="G32" s="55" t="n">
        <v>15704</v>
      </c>
      <c r="H32" s="55" t="n">
        <v>14600.2</v>
      </c>
      <c r="I32" s="55" t="n">
        <v>4359.680000000002</v>
      </c>
      <c r="J32" s="55" t="n">
        <v>4007.47</v>
      </c>
      <c r="K32" s="53" t="n">
        <v>43</v>
      </c>
      <c r="L32" s="53" t="n">
        <v>42</v>
      </c>
      <c r="M32" s="53" t="n">
        <v>12</v>
      </c>
      <c r="N32" s="53" t="n">
        <v>68</v>
      </c>
      <c r="O32" s="53" t="n">
        <v>13</v>
      </c>
      <c r="P32" s="53" t="n">
        <v>154</v>
      </c>
    </row>
    <row r="33">
      <c r="A33" s="58" t="inlineStr">
        <is>
          <t>Allison Scott</t>
        </is>
      </c>
      <c r="B33" s="58" t="inlineStr">
        <is>
          <t>Amplify</t>
        </is>
      </c>
      <c r="C33" s="58" t="inlineStr">
        <is>
          <t>Boston Beer Company</t>
        </is>
      </c>
      <c r="D33" s="58" t="inlineStr">
        <is>
          <t>Dogfish Head Spirits</t>
        </is>
      </c>
      <c r="E33" s="53" t="n">
        <v>7</v>
      </c>
      <c r="F33" s="53" t="n">
        <v>2</v>
      </c>
      <c r="G33" s="55" t="n">
        <v>440</v>
      </c>
      <c r="H33" s="55" t="n">
        <v>96</v>
      </c>
      <c r="I33" s="55" t="n">
        <v>185.41</v>
      </c>
      <c r="J33" s="55" t="n">
        <v>37.16</v>
      </c>
      <c r="K33" s="53" t="n">
        <v>1</v>
      </c>
      <c r="L33" s="53" t="n">
        <v>1</v>
      </c>
      <c r="M33" s="53" t="n">
        <v>1</v>
      </c>
      <c r="N33" s="53" t="n">
        <v>2</v>
      </c>
      <c r="O33" s="53" t="n">
        <v>1</v>
      </c>
      <c r="P33" s="53" t="n">
        <v>7</v>
      </c>
    </row>
    <row r="34">
      <c r="A34" s="58" t="inlineStr">
        <is>
          <t>Allison Scott</t>
        </is>
      </c>
      <c r="B34" s="58" t="inlineStr">
        <is>
          <t>Amplify</t>
        </is>
      </c>
      <c r="C34" s="58" t="inlineStr">
        <is>
          <t>Cape May</t>
        </is>
      </c>
      <c r="D34" s="58" t="inlineStr">
        <is>
          <t>Cape May</t>
        </is>
      </c>
      <c r="E34" s="53" t="n">
        <v>334</v>
      </c>
      <c r="F34" s="53" t="n">
        <v>338</v>
      </c>
      <c r="G34" s="55" t="n">
        <v>12358</v>
      </c>
      <c r="H34" s="55" t="n">
        <v>12711.5</v>
      </c>
      <c r="I34" s="55" t="n">
        <v>3133.04</v>
      </c>
      <c r="J34" s="55" t="n">
        <v>3594.790000000001</v>
      </c>
      <c r="K34" s="53" t="n">
        <v>18</v>
      </c>
      <c r="L34" s="53" t="n">
        <v>23</v>
      </c>
      <c r="M34" s="53" t="n">
        <v>9</v>
      </c>
      <c r="N34" s="53" t="n">
        <v>80</v>
      </c>
      <c r="O34" s="53" t="n">
        <v>4</v>
      </c>
      <c r="P34" s="53" t="n">
        <v>16</v>
      </c>
    </row>
    <row r="35">
      <c r="A35" s="58" t="inlineStr">
        <is>
          <t>Allison Scott</t>
        </is>
      </c>
      <c r="B35" s="58" t="inlineStr">
        <is>
          <t>Amplify</t>
        </is>
      </c>
      <c r="C35" s="58" t="inlineStr">
        <is>
          <t>Constellation Brands</t>
        </is>
      </c>
      <c r="D35" s="58" t="inlineStr">
        <is>
          <t>Corona Premier</t>
        </is>
      </c>
      <c r="E35" s="53" t="n">
        <v>140</v>
      </c>
      <c r="F35" s="53" t="n">
        <v>86</v>
      </c>
      <c r="G35" s="55" t="n">
        <v>4013.5</v>
      </c>
      <c r="H35" s="55" t="n">
        <v>2501.3</v>
      </c>
      <c r="I35" s="55" t="n">
        <v>1009</v>
      </c>
      <c r="J35" s="55" t="n">
        <v>637.8800000000001</v>
      </c>
      <c r="K35" s="53" t="n">
        <v>15</v>
      </c>
      <c r="L35" s="53" t="n">
        <v>10</v>
      </c>
      <c r="M35" s="53" t="n">
        <v>3</v>
      </c>
      <c r="N35" s="53" t="n">
        <v>5</v>
      </c>
      <c r="O35" s="53" t="n">
        <v>8</v>
      </c>
      <c r="P35" s="53" t="n">
        <v>56</v>
      </c>
    </row>
    <row r="36">
      <c r="A36" s="58" t="inlineStr">
        <is>
          <t>Allison Scott</t>
        </is>
      </c>
      <c r="B36" s="58" t="inlineStr">
        <is>
          <t>Amplify</t>
        </is>
      </c>
      <c r="C36" s="58" t="inlineStr">
        <is>
          <t>Constellation Brands</t>
        </is>
      </c>
      <c r="D36" s="58" t="inlineStr">
        <is>
          <t>Modelo Chelada</t>
        </is>
      </c>
      <c r="E36" s="53" t="n">
        <v>3</v>
      </c>
      <c r="F36" s="53" t="n">
        <v>7</v>
      </c>
      <c r="G36" s="55" t="n">
        <v>99</v>
      </c>
      <c r="H36" s="55" t="n">
        <v>231</v>
      </c>
      <c r="I36" s="55" t="n">
        <v>27.42</v>
      </c>
      <c r="J36" s="55" t="n">
        <v>62.09</v>
      </c>
      <c r="K36" s="53" t="n">
        <v>1</v>
      </c>
      <c r="L36" s="53" t="n">
        <v>1</v>
      </c>
      <c r="M36" s="53" t="n">
        <v>1</v>
      </c>
      <c r="N36" s="53" t="n">
        <v>7</v>
      </c>
      <c r="O36" s="53" t="n">
        <v>1</v>
      </c>
      <c r="P36" s="53" t="n">
        <v>3</v>
      </c>
    </row>
    <row r="37">
      <c r="A37" s="58" t="inlineStr">
        <is>
          <t>Allison Scott</t>
        </is>
      </c>
      <c r="B37" s="58" t="inlineStr">
        <is>
          <t>Amplify</t>
        </is>
      </c>
      <c r="C37" s="58" t="inlineStr">
        <is>
          <t>Constellation Brands</t>
        </is>
      </c>
      <c r="D37" s="58" t="inlineStr">
        <is>
          <t>Pacifico</t>
        </is>
      </c>
      <c r="E37" s="53" t="n">
        <v>128</v>
      </c>
      <c r="F37" s="53" t="n">
        <v>156</v>
      </c>
      <c r="G37" s="55" t="n">
        <v>3964.5</v>
      </c>
      <c r="H37" s="55" t="n">
        <v>4885</v>
      </c>
      <c r="I37" s="55" t="n">
        <v>1046.85</v>
      </c>
      <c r="J37" s="55" t="n">
        <v>1258.32</v>
      </c>
      <c r="K37" s="53" t="n">
        <v>15</v>
      </c>
      <c r="L37" s="53" t="n">
        <v>11</v>
      </c>
      <c r="M37" s="53" t="n">
        <v>4</v>
      </c>
      <c r="N37" s="53" t="n">
        <v>78</v>
      </c>
      <c r="O37" s="53" t="n">
        <v>8</v>
      </c>
      <c r="P37" s="53" t="n">
        <v>67</v>
      </c>
    </row>
    <row r="38">
      <c r="A38" s="58" t="inlineStr">
        <is>
          <t>Allison Scott</t>
        </is>
      </c>
      <c r="B38" s="58" t="inlineStr">
        <is>
          <t>Amplify</t>
        </is>
      </c>
      <c r="C38" s="58" t="inlineStr">
        <is>
          <t>Constellation Brands</t>
        </is>
      </c>
      <c r="D38" s="58" t="inlineStr">
        <is>
          <t>Victoria</t>
        </is>
      </c>
      <c r="E38" s="53" t="n">
        <v>81</v>
      </c>
      <c r="F38" s="53" t="n">
        <v>46</v>
      </c>
      <c r="G38" s="55" t="n">
        <v>2539.2</v>
      </c>
      <c r="H38" s="55" t="n">
        <v>1450.85</v>
      </c>
      <c r="I38" s="55" t="n">
        <v>586.6999999999999</v>
      </c>
      <c r="J38" s="55" t="n">
        <v>338.71</v>
      </c>
      <c r="K38" s="53" t="n">
        <v>5</v>
      </c>
      <c r="L38" s="53" t="n">
        <v>7</v>
      </c>
      <c r="M38" s="53" t="n">
        <v>3</v>
      </c>
      <c r="N38" s="53" t="n">
        <v>6</v>
      </c>
      <c r="O38" s="53" t="n">
        <v>1</v>
      </c>
      <c r="P38" s="53" t="n">
        <v>31</v>
      </c>
    </row>
    <row r="39">
      <c r="A39" s="58" t="inlineStr">
        <is>
          <t>Allison Scott</t>
        </is>
      </c>
      <c r="B39" s="58" t="inlineStr">
        <is>
          <t>Amplify</t>
        </is>
      </c>
      <c r="C39" s="58" t="inlineStr">
        <is>
          <t>DG Yuengling Inc</t>
        </is>
      </c>
      <c r="D39" s="58" t="inlineStr">
        <is>
          <t>Yuengling Flight</t>
        </is>
      </c>
      <c r="E39" s="53" t="n">
        <v>11</v>
      </c>
      <c r="F39" s="53" t="n">
        <v>3</v>
      </c>
      <c r="G39" s="55" t="n">
        <v>326.5</v>
      </c>
      <c r="H39" s="55" t="n">
        <v>67.65000000000001</v>
      </c>
      <c r="I39" s="55" t="n">
        <v>72.93000000000001</v>
      </c>
      <c r="J39" s="55" t="n">
        <v>17.19</v>
      </c>
      <c r="K39" s="53" t="n">
        <v>4</v>
      </c>
      <c r="L39" s="53" t="n">
        <v>1</v>
      </c>
      <c r="M39" s="53" t="n">
        <v>1</v>
      </c>
      <c r="N39" s="53" t="n">
        <v>3</v>
      </c>
      <c r="O39" s="53" t="n">
        <v>4</v>
      </c>
      <c r="P39" s="53" t="n">
        <v>12</v>
      </c>
    </row>
    <row r="40">
      <c r="A40" s="58" t="inlineStr">
        <is>
          <t>Allison Scott</t>
        </is>
      </c>
      <c r="B40" s="58" t="inlineStr">
        <is>
          <t>Amplify</t>
        </is>
      </c>
      <c r="C40" s="58" t="inlineStr">
        <is>
          <t>Heineken USA</t>
        </is>
      </c>
      <c r="D40" s="58" t="inlineStr">
        <is>
          <t>Heineken 0.0</t>
        </is>
      </c>
      <c r="E40" s="53" t="n">
        <v>249</v>
      </c>
      <c r="F40" s="53" t="n">
        <v>270</v>
      </c>
      <c r="G40" s="55" t="n">
        <v>8612.300000000001</v>
      </c>
      <c r="H40" s="55" t="n">
        <v>9353.75</v>
      </c>
      <c r="I40" s="55" t="n">
        <v>2734.830000000001</v>
      </c>
      <c r="J40" s="55" t="n">
        <v>2925.52</v>
      </c>
      <c r="K40" s="53" t="n">
        <v>63</v>
      </c>
      <c r="L40" s="53" t="n">
        <v>75</v>
      </c>
      <c r="M40" s="53" t="n">
        <v>21</v>
      </c>
      <c r="N40" s="53" t="n">
        <v>43</v>
      </c>
      <c r="O40" s="53" t="n">
        <v>9</v>
      </c>
      <c r="P40" s="53" t="n">
        <v>18</v>
      </c>
    </row>
    <row r="41">
      <c r="A41" s="58" t="inlineStr">
        <is>
          <t>Allison Scott</t>
        </is>
      </c>
      <c r="B41" s="58" t="inlineStr">
        <is>
          <t>Amplify</t>
        </is>
      </c>
      <c r="C41" s="58" t="inlineStr">
        <is>
          <t>Heineken USA</t>
        </is>
      </c>
      <c r="D41" s="58" t="inlineStr">
        <is>
          <t>Heineken Light</t>
        </is>
      </c>
      <c r="E41" s="53" t="n">
        <v>184</v>
      </c>
      <c r="F41" s="53" t="n">
        <v>153</v>
      </c>
      <c r="G41" s="55" t="n">
        <v>6161.249999999999</v>
      </c>
      <c r="H41" s="55" t="n">
        <v>5088.800000000001</v>
      </c>
      <c r="I41" s="55" t="n">
        <v>1784.5</v>
      </c>
      <c r="J41" s="55" t="n">
        <v>1447.61</v>
      </c>
      <c r="K41" s="53" t="n">
        <v>38</v>
      </c>
      <c r="L41" s="53" t="n">
        <v>30</v>
      </c>
      <c r="M41" s="53" t="n">
        <v>7</v>
      </c>
      <c r="N41" s="53" t="n">
        <v>16</v>
      </c>
      <c r="O41" s="53" t="n">
        <v>15</v>
      </c>
      <c r="P41" s="53" t="n">
        <v>38</v>
      </c>
    </row>
    <row r="42">
      <c r="A42" s="58" t="inlineStr">
        <is>
          <t>Allison Scott</t>
        </is>
      </c>
      <c r="B42" s="58" t="inlineStr">
        <is>
          <t>Amplify</t>
        </is>
      </c>
      <c r="C42" s="58" t="inlineStr">
        <is>
          <t>Mark Anthony</t>
        </is>
      </c>
      <c r="D42" s="58" t="inlineStr">
        <is>
          <t>Cayman Jack</t>
        </is>
      </c>
      <c r="E42" s="53" t="n">
        <v>0</v>
      </c>
      <c r="F42" s="53" t="n">
        <v>8</v>
      </c>
      <c r="G42" s="55" t="n">
        <v>0</v>
      </c>
      <c r="H42" s="55" t="n">
        <v>294.5</v>
      </c>
      <c r="I42" s="55" t="n">
        <v>0</v>
      </c>
      <c r="J42" s="55" t="n">
        <v>83.43000000000001</v>
      </c>
      <c r="K42" s="53" t="n">
        <v>0</v>
      </c>
      <c r="L42" s="53" t="n">
        <v>1</v>
      </c>
      <c r="M42" s="53" t="n">
        <v>1</v>
      </c>
      <c r="N42" s="53" t="n">
        <v>8</v>
      </c>
      <c r="O42" s="53" t="n">
        <v>0</v>
      </c>
      <c r="P42" s="53" t="n">
        <v>0</v>
      </c>
    </row>
    <row r="43">
      <c r="A43" s="58" t="inlineStr">
        <is>
          <t>Allison Scott</t>
        </is>
      </c>
      <c r="B43" s="58" t="inlineStr">
        <is>
          <t>Amplify</t>
        </is>
      </c>
      <c r="C43" s="58" t="inlineStr">
        <is>
          <t>MolsonCoors Beverage Company</t>
        </is>
      </c>
      <c r="D43" s="58" t="inlineStr">
        <is>
          <t>Coors</t>
        </is>
      </c>
      <c r="E43" s="53" t="n">
        <v>193</v>
      </c>
      <c r="F43" s="53" t="n">
        <v>212</v>
      </c>
      <c r="G43" s="55" t="n">
        <v>3984.9</v>
      </c>
      <c r="H43" s="55" t="n">
        <v>4498.300000000001</v>
      </c>
      <c r="I43" s="55" t="n">
        <v>1042.73</v>
      </c>
      <c r="J43" s="55" t="n">
        <v>1169.96</v>
      </c>
      <c r="K43" s="53" t="n">
        <v>13</v>
      </c>
      <c r="L43" s="53" t="n">
        <v>16</v>
      </c>
      <c r="M43" s="53" t="n">
        <v>6</v>
      </c>
      <c r="N43" s="53" t="n">
        <v>51</v>
      </c>
      <c r="O43" s="53" t="n">
        <v>3</v>
      </c>
      <c r="P43" s="53" t="n">
        <v>14</v>
      </c>
    </row>
    <row r="44">
      <c r="A44" s="58" t="inlineStr">
        <is>
          <t>Allison Scott</t>
        </is>
      </c>
      <c r="B44" s="58" t="inlineStr">
        <is>
          <t>Amplify</t>
        </is>
      </c>
      <c r="C44" s="58" t="inlineStr">
        <is>
          <t>MolsonCoors Beverage Company</t>
        </is>
      </c>
      <c r="D44" s="58" t="inlineStr">
        <is>
          <t>Fever Tree</t>
        </is>
      </c>
      <c r="E44" s="53" t="n">
        <v>14</v>
      </c>
      <c r="F44" s="53" t="n">
        <v>112</v>
      </c>
      <c r="G44" s="55" t="n">
        <v>617</v>
      </c>
      <c r="H44" s="55" t="n">
        <v>5007.5</v>
      </c>
      <c r="I44" s="55" t="n">
        <v>193.77</v>
      </c>
      <c r="J44" s="55" t="n">
        <v>1574.42</v>
      </c>
      <c r="K44" s="53" t="n">
        <v>6</v>
      </c>
      <c r="L44" s="53" t="n">
        <v>19</v>
      </c>
      <c r="M44" s="53" t="n">
        <v>13</v>
      </c>
      <c r="N44" s="53" t="n">
        <v>38</v>
      </c>
      <c r="O44" s="53" t="n">
        <v>0</v>
      </c>
      <c r="P44" s="53" t="n">
        <v>0</v>
      </c>
    </row>
    <row r="45">
      <c r="A45" s="58" t="inlineStr">
        <is>
          <t>Allison Scott</t>
        </is>
      </c>
      <c r="B45" s="58" t="inlineStr">
        <is>
          <t>Amplify</t>
        </is>
      </c>
      <c r="C45" s="58" t="inlineStr">
        <is>
          <t>MolsonCoors Beverage Company</t>
        </is>
      </c>
      <c r="D45" s="58" t="inlineStr">
        <is>
          <t>Peroni</t>
        </is>
      </c>
      <c r="E45" s="53" t="n">
        <v>522</v>
      </c>
      <c r="F45" s="53" t="n">
        <v>804</v>
      </c>
      <c r="G45" s="55" t="n">
        <v>18240.5</v>
      </c>
      <c r="H45" s="55" t="n">
        <v>26924.65</v>
      </c>
      <c r="I45" s="55" t="n">
        <v>4522.43</v>
      </c>
      <c r="J45" s="55" t="n">
        <v>6568.240000000002</v>
      </c>
      <c r="K45" s="53" t="n">
        <v>31</v>
      </c>
      <c r="L45" s="53" t="n">
        <v>46</v>
      </c>
      <c r="M45" s="53" t="n">
        <v>19</v>
      </c>
      <c r="N45" s="53" t="n">
        <v>277</v>
      </c>
      <c r="O45" s="53" t="n">
        <v>4</v>
      </c>
      <c r="P45" s="53" t="n">
        <v>23</v>
      </c>
    </row>
    <row r="46">
      <c r="A46" s="58" t="inlineStr">
        <is>
          <t>Allison Scott</t>
        </is>
      </c>
      <c r="B46" s="58" t="inlineStr">
        <is>
          <t>Amplify</t>
        </is>
      </c>
      <c r="C46" s="58" t="inlineStr">
        <is>
          <t>New Belgium Brewing Company</t>
        </is>
      </c>
      <c r="D46" s="58" t="inlineStr">
        <is>
          <t>Fat Tire Family</t>
        </is>
      </c>
      <c r="E46" s="53" t="n">
        <v>86</v>
      </c>
      <c r="F46" s="53" t="n">
        <v>138</v>
      </c>
      <c r="G46" s="55" t="n">
        <v>3108</v>
      </c>
      <c r="H46" s="55" t="n">
        <v>3917.75</v>
      </c>
      <c r="I46" s="55" t="n">
        <v>735.5499999999998</v>
      </c>
      <c r="J46" s="55" t="n">
        <v>1112.69</v>
      </c>
      <c r="K46" s="53" t="n">
        <v>9</v>
      </c>
      <c r="L46" s="53" t="n">
        <v>12</v>
      </c>
      <c r="M46" s="53" t="n">
        <v>8</v>
      </c>
      <c r="N46" s="53" t="n">
        <v>57</v>
      </c>
      <c r="O46" s="53" t="n">
        <v>5</v>
      </c>
      <c r="P46" s="53" t="n">
        <v>21</v>
      </c>
    </row>
    <row r="47">
      <c r="A47" s="58" t="inlineStr">
        <is>
          <t>Allison Scott</t>
        </is>
      </c>
      <c r="B47" s="58" t="inlineStr">
        <is>
          <t>Amplify</t>
        </is>
      </c>
      <c r="C47" s="58" t="inlineStr">
        <is>
          <t>New Belgium Brewing Company</t>
        </is>
      </c>
      <c r="D47" s="58" t="inlineStr">
        <is>
          <t>Kirin Ichiban</t>
        </is>
      </c>
      <c r="E47" s="53" t="n">
        <v>15</v>
      </c>
      <c r="F47" s="53" t="n">
        <v>7</v>
      </c>
      <c r="G47" s="55" t="n">
        <v>346</v>
      </c>
      <c r="H47" s="55" t="n">
        <v>170</v>
      </c>
      <c r="I47" s="55" t="n">
        <v>93.48</v>
      </c>
      <c r="J47" s="55" t="n">
        <v>49.24</v>
      </c>
      <c r="K47" s="53" t="n">
        <v>1</v>
      </c>
      <c r="L47" s="53" t="n">
        <v>1</v>
      </c>
      <c r="M47" s="53" t="n">
        <v>0</v>
      </c>
      <c r="N47" s="53" t="n">
        <v>0</v>
      </c>
      <c r="O47" s="53" t="n">
        <v>0</v>
      </c>
      <c r="P47" s="53" t="n">
        <v>0</v>
      </c>
    </row>
    <row r="48">
      <c r="A48" s="58" t="inlineStr">
        <is>
          <t>Allison Scott</t>
        </is>
      </c>
      <c r="B48" s="58" t="inlineStr">
        <is>
          <t>Amplify</t>
        </is>
      </c>
      <c r="C48" s="58" t="inlineStr">
        <is>
          <t>New Belgium Brewing Company</t>
        </is>
      </c>
      <c r="D48" s="58" t="inlineStr">
        <is>
          <t>Voodoo Family</t>
        </is>
      </c>
      <c r="E48" s="53" t="n">
        <v>328</v>
      </c>
      <c r="F48" s="53" t="n">
        <v>452</v>
      </c>
      <c r="G48" s="55" t="n">
        <v>12065.6</v>
      </c>
      <c r="H48" s="55" t="n">
        <v>16116.5</v>
      </c>
      <c r="I48" s="55" t="n">
        <v>3183.65</v>
      </c>
      <c r="J48" s="55" t="n">
        <v>4266.700000000001</v>
      </c>
      <c r="K48" s="53" t="n">
        <v>22</v>
      </c>
      <c r="L48" s="53" t="n">
        <v>36</v>
      </c>
      <c r="M48" s="53" t="n">
        <v>20</v>
      </c>
      <c r="N48" s="53" t="n">
        <v>219</v>
      </c>
      <c r="O48" s="53" t="n">
        <v>6</v>
      </c>
      <c r="P48" s="53" t="n">
        <v>48</v>
      </c>
    </row>
    <row r="49">
      <c r="A49" s="58" t="inlineStr">
        <is>
          <t>Allison Scott</t>
        </is>
      </c>
      <c r="B49" s="58" t="inlineStr">
        <is>
          <t>Amplify</t>
        </is>
      </c>
      <c r="C49" s="58" t="inlineStr">
        <is>
          <t>Sapporo</t>
        </is>
      </c>
      <c r="D49" s="58" t="inlineStr">
        <is>
          <t>Sapporo</t>
        </is>
      </c>
      <c r="E49" s="53" t="n">
        <v>169</v>
      </c>
      <c r="F49" s="53" t="n">
        <v>260</v>
      </c>
      <c r="G49" s="55" t="n">
        <v>4304</v>
      </c>
      <c r="H49" s="55" t="n">
        <v>7271</v>
      </c>
      <c r="I49" s="55" t="n">
        <v>1141.14</v>
      </c>
      <c r="J49" s="55" t="n">
        <v>1892.39</v>
      </c>
      <c r="K49" s="53" t="n">
        <v>5</v>
      </c>
      <c r="L49" s="53" t="n">
        <v>8</v>
      </c>
      <c r="M49" s="53" t="n">
        <v>3</v>
      </c>
      <c r="N49" s="53" t="n">
        <v>62</v>
      </c>
      <c r="O49" s="53" t="n">
        <v>0</v>
      </c>
      <c r="P49" s="53" t="n">
        <v>0</v>
      </c>
    </row>
    <row r="50">
      <c r="A50" s="58" t="inlineStr">
        <is>
          <t>Allison Scott</t>
        </is>
      </c>
      <c r="B50" s="58" t="inlineStr">
        <is>
          <t>Qualifier</t>
        </is>
      </c>
      <c r="C50" s="58" t="inlineStr">
        <is>
          <t>Boston Beer Company</t>
        </is>
      </c>
      <c r="D50" s="58" t="inlineStr">
        <is>
          <t>Truly</t>
        </is>
      </c>
      <c r="E50" s="53" t="n">
        <v>9</v>
      </c>
      <c r="F50" s="53" t="n">
        <v>58</v>
      </c>
      <c r="G50" s="55" t="n">
        <v>238</v>
      </c>
      <c r="H50" s="55" t="n">
        <v>1628</v>
      </c>
      <c r="I50" s="55" t="n">
        <v>42.15000000000001</v>
      </c>
      <c r="J50" s="55" t="n">
        <v>271.99</v>
      </c>
      <c r="K50" s="53" t="n">
        <v>3</v>
      </c>
      <c r="L50" s="53" t="n">
        <v>11</v>
      </c>
      <c r="M50" s="53" t="n">
        <v>10</v>
      </c>
      <c r="N50" s="53" t="n">
        <v>49</v>
      </c>
      <c r="O50" s="53" t="n">
        <v>2</v>
      </c>
      <c r="P50" s="53" t="n">
        <v>2</v>
      </c>
    </row>
    <row r="51">
      <c r="A51" s="58" t="inlineStr">
        <is>
          <t>Allison Scott</t>
        </is>
      </c>
      <c r="B51" s="58" t="inlineStr">
        <is>
          <t>Qualifier</t>
        </is>
      </c>
      <c r="C51" s="58" t="inlineStr">
        <is>
          <t>Boston Beer Company</t>
        </is>
      </c>
      <c r="D51" s="58" t="inlineStr">
        <is>
          <t>Twisted Tea</t>
        </is>
      </c>
      <c r="E51" s="53" t="n">
        <v>254</v>
      </c>
      <c r="F51" s="53" t="n">
        <v>226</v>
      </c>
      <c r="G51" s="55" t="n">
        <v>8364.5</v>
      </c>
      <c r="H51" s="55" t="n">
        <v>7306.5</v>
      </c>
      <c r="I51" s="55" t="n">
        <v>2522.62</v>
      </c>
      <c r="J51" s="55" t="n">
        <v>2240.909999999999</v>
      </c>
      <c r="K51" s="53" t="n">
        <v>35</v>
      </c>
      <c r="L51" s="53" t="n">
        <v>26</v>
      </c>
      <c r="M51" s="53" t="n">
        <v>3</v>
      </c>
      <c r="N51" s="53" t="n">
        <v>13</v>
      </c>
      <c r="O51" s="53" t="n">
        <v>12</v>
      </c>
      <c r="P51" s="53" t="n">
        <v>43</v>
      </c>
    </row>
    <row r="52">
      <c r="A52" s="58" t="inlineStr">
        <is>
          <t>Allison Scott</t>
        </is>
      </c>
      <c r="B52" s="58" t="inlineStr">
        <is>
          <t>Qualifier</t>
        </is>
      </c>
      <c r="C52" s="58" t="inlineStr">
        <is>
          <t>Constellation Brands</t>
        </is>
      </c>
      <c r="D52" s="58" t="inlineStr">
        <is>
          <t>Corona Extra</t>
        </is>
      </c>
      <c r="E52" s="53" t="n">
        <v>4604</v>
      </c>
      <c r="F52" s="53" t="n">
        <v>4742</v>
      </c>
      <c r="G52" s="55" t="n">
        <v>156188.75</v>
      </c>
      <c r="H52" s="55" t="n">
        <v>160728.15</v>
      </c>
      <c r="I52" s="55" t="n">
        <v>44623.94000000001</v>
      </c>
      <c r="J52" s="55" t="n">
        <v>46325.08000000002</v>
      </c>
      <c r="K52" s="53" t="n">
        <v>110</v>
      </c>
      <c r="L52" s="53" t="n">
        <v>110</v>
      </c>
      <c r="M52" s="53" t="n">
        <v>8</v>
      </c>
      <c r="N52" s="53" t="n">
        <v>198</v>
      </c>
      <c r="O52" s="53" t="n">
        <v>8</v>
      </c>
      <c r="P52" s="53" t="n">
        <v>159</v>
      </c>
    </row>
    <row r="53">
      <c r="A53" s="58" t="inlineStr">
        <is>
          <t>Allison Scott</t>
        </is>
      </c>
      <c r="B53" s="58" t="inlineStr">
        <is>
          <t>Qualifier</t>
        </is>
      </c>
      <c r="C53" s="58" t="inlineStr">
        <is>
          <t>Constellation Brands</t>
        </is>
      </c>
      <c r="D53" s="58" t="inlineStr">
        <is>
          <t>Modelo Especial</t>
        </is>
      </c>
      <c r="E53" s="53" t="n">
        <v>2765</v>
      </c>
      <c r="F53" s="53" t="n">
        <v>3094</v>
      </c>
      <c r="G53" s="55" t="n">
        <v>81775.85000000001</v>
      </c>
      <c r="H53" s="55" t="n">
        <v>90964</v>
      </c>
      <c r="I53" s="55" t="n">
        <v>19986.12</v>
      </c>
      <c r="J53" s="55" t="n">
        <v>24294.24</v>
      </c>
      <c r="K53" s="53" t="n">
        <v>98</v>
      </c>
      <c r="L53" s="53" t="n">
        <v>93</v>
      </c>
      <c r="M53" s="53" t="n">
        <v>10</v>
      </c>
      <c r="N53" s="53" t="n">
        <v>215</v>
      </c>
      <c r="O53" s="53" t="n">
        <v>15</v>
      </c>
      <c r="P53" s="53" t="n">
        <v>183</v>
      </c>
    </row>
    <row r="54">
      <c r="A54" s="58" t="inlineStr">
        <is>
          <t>Allison Scott</t>
        </is>
      </c>
      <c r="B54" s="58" t="inlineStr">
        <is>
          <t>Qualifier</t>
        </is>
      </c>
      <c r="C54" s="58" t="inlineStr">
        <is>
          <t>DG Yuengling Inc</t>
        </is>
      </c>
      <c r="D54" s="58" t="inlineStr">
        <is>
          <t>Yuengling Lager</t>
        </is>
      </c>
      <c r="E54" s="53" t="n">
        <v>2882</v>
      </c>
      <c r="F54" s="53" t="n">
        <v>3002</v>
      </c>
      <c r="G54" s="55" t="n">
        <v>53774.5</v>
      </c>
      <c r="H54" s="55" t="n">
        <v>54914.7</v>
      </c>
      <c r="I54" s="55" t="n">
        <v>15485.44</v>
      </c>
      <c r="J54" s="55" t="n">
        <v>15987.86</v>
      </c>
      <c r="K54" s="53" t="n">
        <v>76</v>
      </c>
      <c r="L54" s="53" t="n">
        <v>78</v>
      </c>
      <c r="M54" s="53" t="n">
        <v>9</v>
      </c>
      <c r="N54" s="53" t="n">
        <v>128</v>
      </c>
      <c r="O54" s="53" t="n">
        <v>7</v>
      </c>
      <c r="P54" s="53" t="n">
        <v>60</v>
      </c>
    </row>
    <row r="55">
      <c r="A55" s="58" t="inlineStr">
        <is>
          <t>Allison Scott</t>
        </is>
      </c>
      <c r="B55" s="58" t="inlineStr">
        <is>
          <t>Qualifier</t>
        </is>
      </c>
      <c r="C55" s="58" t="inlineStr">
        <is>
          <t>Heineken USA</t>
        </is>
      </c>
      <c r="D55" s="58" t="inlineStr">
        <is>
          <t>Heineken USA</t>
        </is>
      </c>
      <c r="E55" s="53" t="n">
        <v>2037</v>
      </c>
      <c r="F55" s="53" t="n">
        <v>1883</v>
      </c>
      <c r="G55" s="55" t="n">
        <v>69277.29999999999</v>
      </c>
      <c r="H55" s="55" t="n">
        <v>64084.55</v>
      </c>
      <c r="I55" s="55" t="n">
        <v>21363.87999999999</v>
      </c>
      <c r="J55" s="55" t="n">
        <v>19935.63</v>
      </c>
      <c r="K55" s="53" t="n">
        <v>106</v>
      </c>
      <c r="L55" s="53" t="n">
        <v>104</v>
      </c>
      <c r="M55" s="53" t="n">
        <v>10</v>
      </c>
      <c r="N55" s="53" t="n">
        <v>98</v>
      </c>
      <c r="O55" s="53" t="n">
        <v>12</v>
      </c>
      <c r="P55" s="53" t="n">
        <v>83</v>
      </c>
    </row>
    <row r="56">
      <c r="A56" s="58" t="inlineStr">
        <is>
          <t>Allison Scott</t>
        </is>
      </c>
      <c r="B56" s="58" t="inlineStr">
        <is>
          <t>Qualifier</t>
        </is>
      </c>
      <c r="C56" s="58" t="inlineStr">
        <is>
          <t>Mark Anthony</t>
        </is>
      </c>
      <c r="D56" s="58" t="inlineStr">
        <is>
          <t>White Claw</t>
        </is>
      </c>
      <c r="E56" s="53" t="n">
        <v>1069</v>
      </c>
      <c r="F56" s="53" t="n">
        <v>897</v>
      </c>
      <c r="G56" s="55" t="n">
        <v>35216.3</v>
      </c>
      <c r="H56" s="55" t="n">
        <v>29983.05</v>
      </c>
      <c r="I56" s="55" t="n">
        <v>8997.029999999999</v>
      </c>
      <c r="J56" s="55" t="n">
        <v>7630.98</v>
      </c>
      <c r="K56" s="53" t="n">
        <v>63</v>
      </c>
      <c r="L56" s="53" t="n">
        <v>53</v>
      </c>
      <c r="M56" s="53" t="n">
        <v>4</v>
      </c>
      <c r="N56" s="53" t="n">
        <v>15</v>
      </c>
      <c r="O56" s="53" t="n">
        <v>14</v>
      </c>
      <c r="P56" s="53" t="n">
        <v>56</v>
      </c>
    </row>
    <row r="57">
      <c r="A57" s="58" t="inlineStr">
        <is>
          <t>Allison Scott</t>
        </is>
      </c>
      <c r="B57" s="58" t="inlineStr">
        <is>
          <t>Qualifier</t>
        </is>
      </c>
      <c r="C57" s="58" t="inlineStr">
        <is>
          <t>MolsonCoors Beverage Company</t>
        </is>
      </c>
      <c r="D57" s="58" t="inlineStr">
        <is>
          <t>Blue Moon</t>
        </is>
      </c>
      <c r="E57" s="53" t="n">
        <v>2838</v>
      </c>
      <c r="F57" s="53" t="n">
        <v>2984</v>
      </c>
      <c r="G57" s="55" t="n">
        <v>85409</v>
      </c>
      <c r="H57" s="55" t="n">
        <v>88923</v>
      </c>
      <c r="I57" s="55" t="n">
        <v>29233.05999999999</v>
      </c>
      <c r="J57" s="55" t="n">
        <v>30539.50999999998</v>
      </c>
      <c r="K57" s="53" t="n">
        <v>94</v>
      </c>
      <c r="L57" s="53" t="n">
        <v>94</v>
      </c>
      <c r="M57" s="53" t="n">
        <v>9</v>
      </c>
      <c r="N57" s="53" t="n">
        <v>143</v>
      </c>
      <c r="O57" s="53" t="n">
        <v>9</v>
      </c>
      <c r="P57" s="53" t="n">
        <v>81</v>
      </c>
    </row>
    <row r="58">
      <c r="A58" s="58" t="inlineStr">
        <is>
          <t>Allison Scott</t>
        </is>
      </c>
      <c r="B58" s="58" t="inlineStr">
        <is>
          <t>Qualifier</t>
        </is>
      </c>
      <c r="C58" s="58" t="inlineStr">
        <is>
          <t>MolsonCoors Beverage Company</t>
        </is>
      </c>
      <c r="D58" s="58" t="inlineStr">
        <is>
          <t>Coors Light</t>
        </is>
      </c>
      <c r="E58" s="53" t="n">
        <v>4934</v>
      </c>
      <c r="F58" s="53" t="n">
        <v>4799</v>
      </c>
      <c r="G58" s="55" t="n">
        <v>99792.75</v>
      </c>
      <c r="H58" s="55" t="n">
        <v>99441.90000000001</v>
      </c>
      <c r="I58" s="55" t="n">
        <v>26327.53</v>
      </c>
      <c r="J58" s="55" t="n">
        <v>26202.88</v>
      </c>
      <c r="K58" s="53" t="n">
        <v>105</v>
      </c>
      <c r="L58" s="53" t="n">
        <v>102</v>
      </c>
      <c r="M58" s="53" t="n">
        <v>7</v>
      </c>
      <c r="N58" s="53" t="n">
        <v>185</v>
      </c>
      <c r="O58" s="53" t="n">
        <v>10</v>
      </c>
      <c r="P58" s="53" t="n">
        <v>104</v>
      </c>
    </row>
    <row r="59">
      <c r="A59" s="58" t="inlineStr">
        <is>
          <t>Allison Scott</t>
        </is>
      </c>
      <c r="B59" s="58" t="inlineStr">
        <is>
          <t>Qualifier</t>
        </is>
      </c>
      <c r="C59" s="58" t="inlineStr">
        <is>
          <t>MolsonCoors Beverage Company</t>
        </is>
      </c>
      <c r="D59" s="58" t="inlineStr">
        <is>
          <t>Lite</t>
        </is>
      </c>
      <c r="E59" s="53" t="n">
        <v>5696</v>
      </c>
      <c r="F59" s="53" t="n">
        <v>5822</v>
      </c>
      <c r="G59" s="55" t="n">
        <v>115559.1</v>
      </c>
      <c r="H59" s="55" t="n">
        <v>121325.2</v>
      </c>
      <c r="I59" s="55" t="n">
        <v>26793.92</v>
      </c>
      <c r="J59" s="55" t="n">
        <v>27820.99</v>
      </c>
      <c r="K59" s="53" t="n">
        <v>94</v>
      </c>
      <c r="L59" s="53" t="n">
        <v>96</v>
      </c>
      <c r="M59" s="53" t="n">
        <v>9</v>
      </c>
      <c r="N59" s="53" t="n">
        <v>226</v>
      </c>
      <c r="O59" s="53" t="n">
        <v>7</v>
      </c>
      <c r="P59" s="53" t="n">
        <v>109</v>
      </c>
    </row>
    <row r="60">
      <c r="A60" s="58" t="inlineStr">
        <is>
          <t>Andrew Lundy</t>
        </is>
      </c>
      <c r="B60" s="58" t="inlineStr">
        <is>
          <t>Amplify</t>
        </is>
      </c>
      <c r="C60" s="58" t="inlineStr">
        <is>
          <t>MolsonCoors Beverage Company</t>
        </is>
      </c>
      <c r="D60" s="58" t="inlineStr">
        <is>
          <t>Fever Tree</t>
        </is>
      </c>
      <c r="E60" s="53" t="n">
        <v>45</v>
      </c>
      <c r="F60" s="53" t="n">
        <v>0</v>
      </c>
      <c r="G60" s="55" t="n">
        <v>2008</v>
      </c>
      <c r="H60" s="55" t="n">
        <v>0</v>
      </c>
      <c r="I60" s="55" t="n">
        <v>646.6999999999999</v>
      </c>
      <c r="J60" s="55" t="n">
        <v>0</v>
      </c>
      <c r="K60" s="53" t="n">
        <v>4</v>
      </c>
      <c r="L60" s="53" t="n">
        <v>0</v>
      </c>
      <c r="M60" s="53" t="n">
        <v>0</v>
      </c>
      <c r="N60" s="53" t="n">
        <v>0</v>
      </c>
      <c r="O60" s="53" t="n">
        <v>4</v>
      </c>
      <c r="P60" s="53" t="n">
        <v>45</v>
      </c>
    </row>
    <row r="61">
      <c r="A61" s="58" t="inlineStr">
        <is>
          <t>Andrew Lundy</t>
        </is>
      </c>
      <c r="B61" s="58" t="inlineStr">
        <is>
          <t>Amplify</t>
        </is>
      </c>
      <c r="C61" s="58" t="inlineStr">
        <is>
          <t>Sapporo</t>
        </is>
      </c>
      <c r="D61" s="58" t="inlineStr">
        <is>
          <t>Sapporo</t>
        </is>
      </c>
      <c r="E61" s="53" t="n">
        <v>1733</v>
      </c>
      <c r="F61" s="53" t="n">
        <v>1839</v>
      </c>
      <c r="G61" s="55" t="n">
        <v>47884.25</v>
      </c>
      <c r="H61" s="55" t="n">
        <v>50769.25</v>
      </c>
      <c r="I61" s="55" t="n">
        <v>12163.51</v>
      </c>
      <c r="J61" s="55" t="n">
        <v>12656.65</v>
      </c>
      <c r="K61" s="53" t="n">
        <v>58</v>
      </c>
      <c r="L61" s="53" t="n">
        <v>59</v>
      </c>
      <c r="M61" s="53" t="n">
        <v>7</v>
      </c>
      <c r="N61" s="53" t="n">
        <v>76</v>
      </c>
      <c r="O61" s="53" t="n">
        <v>6</v>
      </c>
      <c r="P61" s="53" t="n">
        <v>72</v>
      </c>
    </row>
    <row r="62">
      <c r="A62" s="58" t="inlineStr">
        <is>
          <t>Anthony Palmisano</t>
        </is>
      </c>
      <c r="B62" s="58" t="inlineStr">
        <is>
          <t>Amplify</t>
        </is>
      </c>
      <c r="C62" s="58" t="inlineStr">
        <is>
          <t>Bell's</t>
        </is>
      </c>
      <c r="D62" s="58" t="inlineStr">
        <is>
          <t>Bell's</t>
        </is>
      </c>
      <c r="E62" s="53" t="n">
        <v>43</v>
      </c>
      <c r="F62" s="53" t="n">
        <v>8</v>
      </c>
      <c r="G62" s="55" t="n">
        <v>1429.1</v>
      </c>
      <c r="H62" s="55" t="n">
        <v>265.6</v>
      </c>
      <c r="I62" s="55" t="n">
        <v>437.48</v>
      </c>
      <c r="J62" s="55" t="n">
        <v>83.91999999999999</v>
      </c>
      <c r="K62" s="53" t="n">
        <v>9</v>
      </c>
      <c r="L62" s="53" t="n">
        <v>3</v>
      </c>
      <c r="M62" s="53" t="n">
        <v>1</v>
      </c>
      <c r="N62" s="53" t="n">
        <v>2</v>
      </c>
      <c r="O62" s="53" t="n">
        <v>7</v>
      </c>
      <c r="P62" s="53" t="n">
        <v>37</v>
      </c>
    </row>
    <row r="63">
      <c r="A63" s="58" t="inlineStr">
        <is>
          <t>Anthony Palmisano</t>
        </is>
      </c>
      <c r="B63" s="58" t="inlineStr">
        <is>
          <t>Amplify</t>
        </is>
      </c>
      <c r="C63" s="58" t="inlineStr">
        <is>
          <t>Boston Beer Company</t>
        </is>
      </c>
      <c r="D63" s="58" t="inlineStr">
        <is>
          <t>Dogfish Head Beer</t>
        </is>
      </c>
      <c r="E63" s="53" t="n">
        <v>936</v>
      </c>
      <c r="F63" s="53" t="n">
        <v>937</v>
      </c>
      <c r="G63" s="55" t="n">
        <v>32934.20000000001</v>
      </c>
      <c r="H63" s="55" t="n">
        <v>33281.60000000001</v>
      </c>
      <c r="I63" s="55" t="n">
        <v>8378.440000000001</v>
      </c>
      <c r="J63" s="55" t="n">
        <v>8218.25</v>
      </c>
      <c r="K63" s="53" t="n">
        <v>34</v>
      </c>
      <c r="L63" s="53" t="n">
        <v>38</v>
      </c>
      <c r="M63" s="53" t="n">
        <v>10</v>
      </c>
      <c r="N63" s="53" t="n">
        <v>100</v>
      </c>
      <c r="O63" s="53" t="n">
        <v>6</v>
      </c>
      <c r="P63" s="53" t="n">
        <v>20</v>
      </c>
    </row>
    <row r="64">
      <c r="A64" s="58" t="inlineStr">
        <is>
          <t>Anthony Palmisano</t>
        </is>
      </c>
      <c r="B64" s="58" t="inlineStr">
        <is>
          <t>Amplify</t>
        </is>
      </c>
      <c r="C64" s="58" t="inlineStr">
        <is>
          <t>Boston Beer Company</t>
        </is>
      </c>
      <c r="D64" s="58" t="inlineStr">
        <is>
          <t>Dogfish Head Spirits</t>
        </is>
      </c>
      <c r="E64" s="53" t="n">
        <v>335</v>
      </c>
      <c r="F64" s="53" t="n">
        <v>219</v>
      </c>
      <c r="G64" s="55" t="n">
        <v>17374</v>
      </c>
      <c r="H64" s="55" t="n">
        <v>10680</v>
      </c>
      <c r="I64" s="55" t="n">
        <v>6302.05</v>
      </c>
      <c r="J64" s="55" t="n">
        <v>3604.57</v>
      </c>
      <c r="K64" s="53" t="n">
        <v>19</v>
      </c>
      <c r="L64" s="53" t="n">
        <v>17</v>
      </c>
      <c r="M64" s="53" t="n">
        <v>3</v>
      </c>
      <c r="N64" s="53" t="n">
        <v>21</v>
      </c>
      <c r="O64" s="53" t="n">
        <v>5</v>
      </c>
      <c r="P64" s="53" t="n">
        <v>39</v>
      </c>
    </row>
    <row r="65">
      <c r="A65" s="58" t="inlineStr">
        <is>
          <t>Anthony Palmisano</t>
        </is>
      </c>
      <c r="B65" s="58" t="inlineStr">
        <is>
          <t>Amplify</t>
        </is>
      </c>
      <c r="C65" s="58" t="inlineStr">
        <is>
          <t>Cape May</t>
        </is>
      </c>
      <c r="D65" s="58" t="inlineStr">
        <is>
          <t>Cape May</t>
        </is>
      </c>
      <c r="E65" s="53" t="n">
        <v>703</v>
      </c>
      <c r="F65" s="53" t="n">
        <v>756</v>
      </c>
      <c r="G65" s="55" t="n">
        <v>28797.2</v>
      </c>
      <c r="H65" s="55" t="n">
        <v>30102.2</v>
      </c>
      <c r="I65" s="55" t="n">
        <v>8322.820000000002</v>
      </c>
      <c r="J65" s="55" t="n">
        <v>8909.859999999997</v>
      </c>
      <c r="K65" s="53" t="n">
        <v>26</v>
      </c>
      <c r="L65" s="53" t="n">
        <v>30</v>
      </c>
      <c r="M65" s="53" t="n">
        <v>9</v>
      </c>
      <c r="N65" s="53" t="n">
        <v>83</v>
      </c>
      <c r="O65" s="53" t="n">
        <v>5</v>
      </c>
      <c r="P65" s="53" t="n">
        <v>39</v>
      </c>
    </row>
    <row r="66">
      <c r="A66" s="58" t="inlineStr">
        <is>
          <t>Anthony Palmisano</t>
        </is>
      </c>
      <c r="B66" s="58" t="inlineStr">
        <is>
          <t>Amplify</t>
        </is>
      </c>
      <c r="C66" s="58" t="inlineStr">
        <is>
          <t>Constellation Brands</t>
        </is>
      </c>
      <c r="D66" s="58" t="inlineStr">
        <is>
          <t>Corona Premier</t>
        </is>
      </c>
      <c r="E66" s="53" t="n">
        <v>515</v>
      </c>
      <c r="F66" s="53" t="n">
        <v>424</v>
      </c>
      <c r="G66" s="55" t="n">
        <v>16099.3</v>
      </c>
      <c r="H66" s="55" t="n">
        <v>11643.95</v>
      </c>
      <c r="I66" s="55" t="n">
        <v>3612.6</v>
      </c>
      <c r="J66" s="55" t="n">
        <v>3000.670000000001</v>
      </c>
      <c r="K66" s="53" t="n">
        <v>30</v>
      </c>
      <c r="L66" s="53" t="n">
        <v>29</v>
      </c>
      <c r="M66" s="53" t="n">
        <v>4</v>
      </c>
      <c r="N66" s="53" t="n">
        <v>25</v>
      </c>
      <c r="O66" s="53" t="n">
        <v>5</v>
      </c>
      <c r="P66" s="53" t="n">
        <v>33</v>
      </c>
    </row>
    <row r="67">
      <c r="A67" s="58" t="inlineStr">
        <is>
          <t>Anthony Palmisano</t>
        </is>
      </c>
      <c r="B67" s="58" t="inlineStr">
        <is>
          <t>Amplify</t>
        </is>
      </c>
      <c r="C67" s="58" t="inlineStr">
        <is>
          <t>Constellation Brands</t>
        </is>
      </c>
      <c r="D67" s="58" t="inlineStr">
        <is>
          <t>Modelo Chelada</t>
        </is>
      </c>
      <c r="E67" s="53" t="n">
        <v>1056</v>
      </c>
      <c r="F67" s="53" t="n">
        <v>1248</v>
      </c>
      <c r="G67" s="55" t="n">
        <v>32678.7</v>
      </c>
      <c r="H67" s="55" t="n">
        <v>38572.60000000001</v>
      </c>
      <c r="I67" s="55" t="n">
        <v>8177.519999999999</v>
      </c>
      <c r="J67" s="55" t="n">
        <v>9673.790000000003</v>
      </c>
      <c r="K67" s="53" t="n">
        <v>24</v>
      </c>
      <c r="L67" s="53" t="n">
        <v>27</v>
      </c>
      <c r="M67" s="53" t="n">
        <v>3</v>
      </c>
      <c r="N67" s="53" t="n">
        <v>28</v>
      </c>
      <c r="O67" s="53" t="n">
        <v>0</v>
      </c>
      <c r="P67" s="53" t="n">
        <v>0</v>
      </c>
    </row>
    <row r="68">
      <c r="A68" s="58" t="inlineStr">
        <is>
          <t>Anthony Palmisano</t>
        </is>
      </c>
      <c r="B68" s="58" t="inlineStr">
        <is>
          <t>Amplify</t>
        </is>
      </c>
      <c r="C68" s="58" t="inlineStr">
        <is>
          <t>Constellation Brands</t>
        </is>
      </c>
      <c r="D68" s="58" t="inlineStr">
        <is>
          <t>Pacifico</t>
        </is>
      </c>
      <c r="E68" s="53" t="n">
        <v>503</v>
      </c>
      <c r="F68" s="53" t="n">
        <v>711</v>
      </c>
      <c r="G68" s="55" t="n">
        <v>15356.85</v>
      </c>
      <c r="H68" s="55" t="n">
        <v>21891.75</v>
      </c>
      <c r="I68" s="55" t="n">
        <v>3508.75</v>
      </c>
      <c r="J68" s="55" t="n">
        <v>5077.059999999999</v>
      </c>
      <c r="K68" s="53" t="n">
        <v>26</v>
      </c>
      <c r="L68" s="53" t="n">
        <v>28</v>
      </c>
      <c r="M68" s="53" t="n">
        <v>4</v>
      </c>
      <c r="N68" s="53" t="n">
        <v>28</v>
      </c>
      <c r="O68" s="53" t="n">
        <v>2</v>
      </c>
      <c r="P68" s="53" t="n">
        <v>6</v>
      </c>
    </row>
    <row r="69">
      <c r="A69" s="58" t="inlineStr">
        <is>
          <t>Anthony Palmisano</t>
        </is>
      </c>
      <c r="B69" s="58" t="inlineStr">
        <is>
          <t>Amplify</t>
        </is>
      </c>
      <c r="C69" s="58" t="inlineStr">
        <is>
          <t>Constellation Brands</t>
        </is>
      </c>
      <c r="D69" s="58" t="inlineStr">
        <is>
          <t>Victoria</t>
        </is>
      </c>
      <c r="E69" s="53" t="n">
        <v>1198</v>
      </c>
      <c r="F69" s="53" t="n">
        <v>1185</v>
      </c>
      <c r="G69" s="55" t="n">
        <v>35843.69999999999</v>
      </c>
      <c r="H69" s="55" t="n">
        <v>35383.50000000001</v>
      </c>
      <c r="I69" s="55" t="n">
        <v>8204.459999999999</v>
      </c>
      <c r="J69" s="55" t="n">
        <v>8254.49</v>
      </c>
      <c r="K69" s="53" t="n">
        <v>20</v>
      </c>
      <c r="L69" s="53" t="n">
        <v>20</v>
      </c>
      <c r="M69" s="53" t="n">
        <v>3</v>
      </c>
      <c r="N69" s="53" t="n">
        <v>17</v>
      </c>
      <c r="O69" s="53" t="n">
        <v>3</v>
      </c>
      <c r="P69" s="53" t="n">
        <v>3</v>
      </c>
    </row>
    <row r="70">
      <c r="A70" s="58" t="inlineStr">
        <is>
          <t>Anthony Palmisano</t>
        </is>
      </c>
      <c r="B70" s="58" t="inlineStr">
        <is>
          <t>Amplify</t>
        </is>
      </c>
      <c r="C70" s="58" t="inlineStr">
        <is>
          <t>DG Yuengling Inc</t>
        </is>
      </c>
      <c r="D70" s="58" t="inlineStr">
        <is>
          <t>Yuengling Flight</t>
        </is>
      </c>
      <c r="E70" s="53" t="n">
        <v>190</v>
      </c>
      <c r="F70" s="53" t="n">
        <v>135</v>
      </c>
      <c r="G70" s="55" t="n">
        <v>4859.1</v>
      </c>
      <c r="H70" s="55" t="n">
        <v>3351.7</v>
      </c>
      <c r="I70" s="55" t="n">
        <v>1478.78</v>
      </c>
      <c r="J70" s="55" t="n">
        <v>992.1200000000002</v>
      </c>
      <c r="K70" s="53" t="n">
        <v>19</v>
      </c>
      <c r="L70" s="53" t="n">
        <v>16</v>
      </c>
      <c r="M70" s="53" t="n">
        <v>3</v>
      </c>
      <c r="N70" s="53" t="n">
        <v>10</v>
      </c>
      <c r="O70" s="53" t="n">
        <v>6</v>
      </c>
      <c r="P70" s="53" t="n">
        <v>20</v>
      </c>
    </row>
    <row r="71">
      <c r="A71" s="58" t="inlineStr">
        <is>
          <t>Anthony Palmisano</t>
        </is>
      </c>
      <c r="B71" s="58" t="inlineStr">
        <is>
          <t>Amplify</t>
        </is>
      </c>
      <c r="C71" s="58" t="inlineStr">
        <is>
          <t>DG Yuengling Inc</t>
        </is>
      </c>
      <c r="D71" s="58" t="inlineStr">
        <is>
          <t>Yuengling Light Lager</t>
        </is>
      </c>
      <c r="E71" s="53" t="n">
        <v>209</v>
      </c>
      <c r="F71" s="53" t="n">
        <v>204</v>
      </c>
      <c r="G71" s="55" t="n">
        <v>5132.049999999999</v>
      </c>
      <c r="H71" s="55" t="n">
        <v>4718.900000000001</v>
      </c>
      <c r="I71" s="55" t="n">
        <v>1480.97</v>
      </c>
      <c r="J71" s="55" t="n">
        <v>1230.35</v>
      </c>
      <c r="K71" s="53" t="n">
        <v>17</v>
      </c>
      <c r="L71" s="53" t="n">
        <v>16</v>
      </c>
      <c r="M71" s="53" t="n">
        <v>3</v>
      </c>
      <c r="N71" s="53" t="n">
        <v>5</v>
      </c>
      <c r="O71" s="53" t="n">
        <v>4</v>
      </c>
      <c r="P71" s="53" t="n">
        <v>12</v>
      </c>
    </row>
    <row r="72">
      <c r="A72" s="58" t="inlineStr">
        <is>
          <t>Anthony Palmisano</t>
        </is>
      </c>
      <c r="B72" s="58" t="inlineStr">
        <is>
          <t>Amplify</t>
        </is>
      </c>
      <c r="C72" s="58" t="inlineStr">
        <is>
          <t>Heineken USA</t>
        </is>
      </c>
      <c r="D72" s="58" t="inlineStr">
        <is>
          <t>Heineken 0.0</t>
        </is>
      </c>
      <c r="E72" s="53" t="n">
        <v>337</v>
      </c>
      <c r="F72" s="53" t="n">
        <v>358</v>
      </c>
      <c r="G72" s="55" t="n">
        <v>11501.45</v>
      </c>
      <c r="H72" s="55" t="n">
        <v>12078.8</v>
      </c>
      <c r="I72" s="55" t="n">
        <v>3151.190000000001</v>
      </c>
      <c r="J72" s="55" t="n">
        <v>3261.760000000001</v>
      </c>
      <c r="K72" s="53" t="n">
        <v>34</v>
      </c>
      <c r="L72" s="53" t="n">
        <v>37</v>
      </c>
      <c r="M72" s="53" t="n">
        <v>5</v>
      </c>
      <c r="N72" s="53" t="n">
        <v>20</v>
      </c>
      <c r="O72" s="53" t="n">
        <v>2</v>
      </c>
      <c r="P72" s="53" t="n">
        <v>8</v>
      </c>
    </row>
    <row r="73">
      <c r="A73" s="58" t="inlineStr">
        <is>
          <t>Anthony Palmisano</t>
        </is>
      </c>
      <c r="B73" s="58" t="inlineStr">
        <is>
          <t>Amplify</t>
        </is>
      </c>
      <c r="C73" s="58" t="inlineStr">
        <is>
          <t>Heineken USA</t>
        </is>
      </c>
      <c r="D73" s="58" t="inlineStr">
        <is>
          <t>Heineken Light</t>
        </is>
      </c>
      <c r="E73" s="53" t="n">
        <v>400</v>
      </c>
      <c r="F73" s="53" t="n">
        <v>371</v>
      </c>
      <c r="G73" s="55" t="n">
        <v>12658.3</v>
      </c>
      <c r="H73" s="55" t="n">
        <v>11696.35</v>
      </c>
      <c r="I73" s="55" t="n">
        <v>3147.08</v>
      </c>
      <c r="J73" s="55" t="n">
        <v>2875.47</v>
      </c>
      <c r="K73" s="53" t="n">
        <v>26</v>
      </c>
      <c r="L73" s="53" t="n">
        <v>26</v>
      </c>
      <c r="M73" s="53" t="n">
        <v>6</v>
      </c>
      <c r="N73" s="53" t="n">
        <v>20</v>
      </c>
      <c r="O73" s="53" t="n">
        <v>6</v>
      </c>
      <c r="P73" s="53" t="n">
        <v>36</v>
      </c>
    </row>
    <row r="74">
      <c r="A74" s="58" t="inlineStr">
        <is>
          <t>Anthony Palmisano</t>
        </is>
      </c>
      <c r="B74" s="58" t="inlineStr">
        <is>
          <t>Amplify</t>
        </is>
      </c>
      <c r="C74" s="58" t="inlineStr">
        <is>
          <t>Mark Anthony</t>
        </is>
      </c>
      <c r="D74" s="58" t="inlineStr">
        <is>
          <t>Cayman Jack</t>
        </is>
      </c>
      <c r="E74" s="53" t="n">
        <v>552</v>
      </c>
      <c r="F74" s="53" t="n">
        <v>580</v>
      </c>
      <c r="G74" s="55" t="n">
        <v>17672.75</v>
      </c>
      <c r="H74" s="55" t="n">
        <v>18402.5</v>
      </c>
      <c r="I74" s="55" t="n">
        <v>4220.450000000001</v>
      </c>
      <c r="J74" s="55" t="n">
        <v>4395.840000000001</v>
      </c>
      <c r="K74" s="53" t="n">
        <v>22</v>
      </c>
      <c r="L74" s="53" t="n">
        <v>26</v>
      </c>
      <c r="M74" s="53" t="n">
        <v>4</v>
      </c>
      <c r="N74" s="53" t="n">
        <v>61</v>
      </c>
      <c r="O74" s="53" t="n">
        <v>0</v>
      </c>
      <c r="P74" s="53" t="n">
        <v>0</v>
      </c>
    </row>
    <row r="75">
      <c r="A75" s="58" t="inlineStr">
        <is>
          <t>Anthony Palmisano</t>
        </is>
      </c>
      <c r="B75" s="58" t="inlineStr">
        <is>
          <t>Amplify</t>
        </is>
      </c>
      <c r="C75" s="58" t="inlineStr">
        <is>
          <t>Mark Anthony</t>
        </is>
      </c>
      <c r="D75" s="58" t="inlineStr">
        <is>
          <t>Mike's Harder</t>
        </is>
      </c>
      <c r="E75" s="53" t="n">
        <v>226</v>
      </c>
      <c r="F75" s="53" t="n">
        <v>170</v>
      </c>
      <c r="G75" s="55" t="n">
        <v>6231</v>
      </c>
      <c r="H75" s="55" t="n">
        <v>4976</v>
      </c>
      <c r="I75" s="55" t="n">
        <v>1349.61</v>
      </c>
      <c r="J75" s="55" t="n">
        <v>1056.62</v>
      </c>
      <c r="K75" s="53" t="n">
        <v>16</v>
      </c>
      <c r="L75" s="53" t="n">
        <v>18</v>
      </c>
      <c r="M75" s="53" t="n">
        <v>3</v>
      </c>
      <c r="N75" s="53" t="n">
        <v>13</v>
      </c>
      <c r="O75" s="53" t="n">
        <v>1</v>
      </c>
      <c r="P75" s="53" t="n">
        <v>3</v>
      </c>
    </row>
    <row r="76">
      <c r="A76" s="58" t="inlineStr">
        <is>
          <t>Anthony Palmisano</t>
        </is>
      </c>
      <c r="B76" s="58" t="inlineStr">
        <is>
          <t>Amplify</t>
        </is>
      </c>
      <c r="C76" s="58" t="inlineStr">
        <is>
          <t>MolsonCoors Beverage Company</t>
        </is>
      </c>
      <c r="D76" s="58" t="inlineStr">
        <is>
          <t>Coors</t>
        </is>
      </c>
      <c r="E76" s="53" t="n">
        <v>2239</v>
      </c>
      <c r="F76" s="53" t="n">
        <v>2450</v>
      </c>
      <c r="G76" s="55" t="n">
        <v>50456.40000000002</v>
      </c>
      <c r="H76" s="55" t="n">
        <v>56640.79999999999</v>
      </c>
      <c r="I76" s="55" t="n">
        <v>13619.93</v>
      </c>
      <c r="J76" s="55" t="n">
        <v>15640.16</v>
      </c>
      <c r="K76" s="53" t="n">
        <v>49</v>
      </c>
      <c r="L76" s="53" t="n">
        <v>55</v>
      </c>
      <c r="M76" s="53" t="n">
        <v>7</v>
      </c>
      <c r="N76" s="53" t="n">
        <v>23</v>
      </c>
      <c r="O76" s="53" t="n">
        <v>1</v>
      </c>
      <c r="P76" s="53" t="n">
        <v>1</v>
      </c>
    </row>
    <row r="77">
      <c r="A77" s="58" t="inlineStr">
        <is>
          <t>Anthony Palmisano</t>
        </is>
      </c>
      <c r="B77" s="58" t="inlineStr">
        <is>
          <t>Amplify</t>
        </is>
      </c>
      <c r="C77" s="58" t="inlineStr">
        <is>
          <t>MolsonCoors Beverage Company</t>
        </is>
      </c>
      <c r="D77" s="58" t="inlineStr">
        <is>
          <t>Fever Tree</t>
        </is>
      </c>
      <c r="E77" s="53" t="n">
        <v>75</v>
      </c>
      <c r="F77" s="53" t="n">
        <v>109</v>
      </c>
      <c r="G77" s="55" t="n">
        <v>3412</v>
      </c>
      <c r="H77" s="55" t="n">
        <v>5050.5</v>
      </c>
      <c r="I77" s="55" t="n">
        <v>1163.79</v>
      </c>
      <c r="J77" s="55" t="n">
        <v>1656.32</v>
      </c>
      <c r="K77" s="53" t="n">
        <v>10</v>
      </c>
      <c r="L77" s="53" t="n">
        <v>10</v>
      </c>
      <c r="M77" s="53" t="n">
        <v>3</v>
      </c>
      <c r="N77" s="53" t="n">
        <v>9</v>
      </c>
      <c r="O77" s="53" t="n">
        <v>3</v>
      </c>
      <c r="P77" s="53" t="n">
        <v>5</v>
      </c>
    </row>
    <row r="78">
      <c r="A78" s="58" t="inlineStr">
        <is>
          <t>Anthony Palmisano</t>
        </is>
      </c>
      <c r="B78" s="58" t="inlineStr">
        <is>
          <t>Amplify</t>
        </is>
      </c>
      <c r="C78" s="58" t="inlineStr">
        <is>
          <t>MolsonCoors Beverage Company</t>
        </is>
      </c>
      <c r="D78" s="58" t="inlineStr">
        <is>
          <t>Peroni</t>
        </is>
      </c>
      <c r="E78" s="53" t="n">
        <v>575</v>
      </c>
      <c r="F78" s="53" t="n">
        <v>755</v>
      </c>
      <c r="G78" s="55" t="n">
        <v>19890.8</v>
      </c>
      <c r="H78" s="55" t="n">
        <v>25433.5</v>
      </c>
      <c r="I78" s="55" t="n">
        <v>4195.839999999999</v>
      </c>
      <c r="J78" s="55" t="n">
        <v>5153.699999999998</v>
      </c>
      <c r="K78" s="53" t="n">
        <v>30</v>
      </c>
      <c r="L78" s="53" t="n">
        <v>38</v>
      </c>
      <c r="M78" s="53" t="n">
        <v>11</v>
      </c>
      <c r="N78" s="53" t="n">
        <v>51</v>
      </c>
      <c r="O78" s="53" t="n">
        <v>3</v>
      </c>
      <c r="P78" s="53" t="n">
        <v>7</v>
      </c>
    </row>
    <row r="79">
      <c r="A79" s="58" t="inlineStr">
        <is>
          <t>Anthony Palmisano</t>
        </is>
      </c>
      <c r="B79" s="58" t="inlineStr">
        <is>
          <t>Amplify</t>
        </is>
      </c>
      <c r="C79" s="58" t="inlineStr">
        <is>
          <t>New Belgium Brewing Company</t>
        </is>
      </c>
      <c r="D79" s="58" t="inlineStr">
        <is>
          <t>Fat Tire Family</t>
        </is>
      </c>
      <c r="E79" s="53" t="n">
        <v>112</v>
      </c>
      <c r="F79" s="53" t="n">
        <v>128</v>
      </c>
      <c r="G79" s="55" t="n">
        <v>3681.6</v>
      </c>
      <c r="H79" s="55" t="n">
        <v>3623.75</v>
      </c>
      <c r="I79" s="55" t="n">
        <v>777.6</v>
      </c>
      <c r="J79" s="55" t="n">
        <v>878.5600000000001</v>
      </c>
      <c r="K79" s="53" t="n">
        <v>18</v>
      </c>
      <c r="L79" s="53" t="n">
        <v>19</v>
      </c>
      <c r="M79" s="53" t="n">
        <v>6</v>
      </c>
      <c r="N79" s="53" t="n">
        <v>23</v>
      </c>
      <c r="O79" s="53" t="n">
        <v>5</v>
      </c>
      <c r="P79" s="53" t="n">
        <v>16</v>
      </c>
    </row>
    <row r="80">
      <c r="A80" s="58" t="inlineStr">
        <is>
          <t>Anthony Palmisano</t>
        </is>
      </c>
      <c r="B80" s="58" t="inlineStr">
        <is>
          <t>Amplify</t>
        </is>
      </c>
      <c r="C80" s="58" t="inlineStr">
        <is>
          <t>New Belgium Brewing Company</t>
        </is>
      </c>
      <c r="D80" s="58" t="inlineStr">
        <is>
          <t>Kirin Ichiban</t>
        </is>
      </c>
      <c r="E80" s="53" t="n">
        <v>2</v>
      </c>
      <c r="F80" s="53" t="n">
        <v>8</v>
      </c>
      <c r="G80" s="55" t="n">
        <v>53</v>
      </c>
      <c r="H80" s="55" t="n">
        <v>250</v>
      </c>
      <c r="I80" s="55" t="n">
        <v>15.28</v>
      </c>
      <c r="J80" s="55" t="n">
        <v>77.84</v>
      </c>
      <c r="K80" s="53" t="n">
        <v>1</v>
      </c>
      <c r="L80" s="53" t="n">
        <v>3</v>
      </c>
      <c r="M80" s="53" t="n">
        <v>2</v>
      </c>
      <c r="N80" s="53" t="n">
        <v>4</v>
      </c>
      <c r="O80" s="53" t="n">
        <v>0</v>
      </c>
      <c r="P80" s="53" t="n">
        <v>0</v>
      </c>
    </row>
    <row r="81">
      <c r="A81" s="58" t="inlineStr">
        <is>
          <t>Anthony Palmisano</t>
        </is>
      </c>
      <c r="B81" s="58" t="inlineStr">
        <is>
          <t>Amplify</t>
        </is>
      </c>
      <c r="C81" s="58" t="inlineStr">
        <is>
          <t>New Belgium Brewing Company</t>
        </is>
      </c>
      <c r="D81" s="58" t="inlineStr">
        <is>
          <t>Voodoo Family</t>
        </is>
      </c>
      <c r="E81" s="53" t="n">
        <v>889</v>
      </c>
      <c r="F81" s="53" t="n">
        <v>1024</v>
      </c>
      <c r="G81" s="55" t="n">
        <v>31898.30000000001</v>
      </c>
      <c r="H81" s="55" t="n">
        <v>36551.40000000001</v>
      </c>
      <c r="I81" s="55" t="n">
        <v>7789.300000000001</v>
      </c>
      <c r="J81" s="55" t="n">
        <v>9141.859999999999</v>
      </c>
      <c r="K81" s="53" t="n">
        <v>32</v>
      </c>
      <c r="L81" s="53" t="n">
        <v>38</v>
      </c>
      <c r="M81" s="53" t="n">
        <v>10</v>
      </c>
      <c r="N81" s="53" t="n">
        <v>65</v>
      </c>
      <c r="O81" s="53" t="n">
        <v>4</v>
      </c>
      <c r="P81" s="53" t="n">
        <v>23</v>
      </c>
    </row>
    <row r="82">
      <c r="A82" s="58" t="inlineStr">
        <is>
          <t>Anthony Palmisano</t>
        </is>
      </c>
      <c r="B82" s="58" t="inlineStr">
        <is>
          <t>Amplify</t>
        </is>
      </c>
      <c r="C82" s="58" t="inlineStr">
        <is>
          <t>Sapporo</t>
        </is>
      </c>
      <c r="D82" s="58" t="inlineStr">
        <is>
          <t>Sapporo</t>
        </is>
      </c>
      <c r="E82" s="53" t="n">
        <v>109</v>
      </c>
      <c r="F82" s="53" t="n">
        <v>182</v>
      </c>
      <c r="G82" s="55" t="n">
        <v>3255</v>
      </c>
      <c r="H82" s="55" t="n">
        <v>5599.5</v>
      </c>
      <c r="I82" s="55" t="n">
        <v>942.7400000000001</v>
      </c>
      <c r="J82" s="55" t="n">
        <v>1631.13</v>
      </c>
      <c r="K82" s="53" t="n">
        <v>15</v>
      </c>
      <c r="L82" s="53" t="n">
        <v>21</v>
      </c>
      <c r="M82" s="53" t="n">
        <v>9</v>
      </c>
      <c r="N82" s="53" t="n">
        <v>58</v>
      </c>
      <c r="O82" s="53" t="n">
        <v>3</v>
      </c>
      <c r="P82" s="53" t="n">
        <v>8</v>
      </c>
    </row>
    <row r="83">
      <c r="A83" s="58" t="inlineStr">
        <is>
          <t>Anthony Palmisano</t>
        </is>
      </c>
      <c r="B83" s="58" t="inlineStr">
        <is>
          <t>Qualifier</t>
        </is>
      </c>
      <c r="C83" s="58" t="inlineStr">
        <is>
          <t>Boston Beer Company</t>
        </is>
      </c>
      <c r="D83" s="58" t="inlineStr">
        <is>
          <t>Truly</t>
        </is>
      </c>
      <c r="E83" s="53" t="n">
        <v>630</v>
      </c>
      <c r="F83" s="53" t="n">
        <v>513</v>
      </c>
      <c r="G83" s="55" t="n">
        <v>18221</v>
      </c>
      <c r="H83" s="55" t="n">
        <v>14865.3</v>
      </c>
      <c r="I83" s="55" t="n">
        <v>3961.94</v>
      </c>
      <c r="J83" s="55" t="n">
        <v>3275.1</v>
      </c>
      <c r="K83" s="53" t="n">
        <v>20</v>
      </c>
      <c r="L83" s="53" t="n">
        <v>20</v>
      </c>
      <c r="M83" s="53" t="n">
        <v>3</v>
      </c>
      <c r="N83" s="53" t="n">
        <v>16</v>
      </c>
      <c r="O83" s="53" t="n">
        <v>3</v>
      </c>
      <c r="P83" s="53" t="n">
        <v>27</v>
      </c>
    </row>
    <row r="84">
      <c r="A84" s="58" t="inlineStr">
        <is>
          <t>Anthony Palmisano</t>
        </is>
      </c>
      <c r="B84" s="58" t="inlineStr">
        <is>
          <t>Qualifier</t>
        </is>
      </c>
      <c r="C84" s="58" t="inlineStr">
        <is>
          <t>Boston Beer Company</t>
        </is>
      </c>
      <c r="D84" s="58" t="inlineStr">
        <is>
          <t>Twisted Tea</t>
        </is>
      </c>
      <c r="E84" s="53" t="n">
        <v>4039</v>
      </c>
      <c r="F84" s="53" t="n">
        <v>3160</v>
      </c>
      <c r="G84" s="55" t="n">
        <v>119296.5</v>
      </c>
      <c r="H84" s="55" t="n">
        <v>91852.5</v>
      </c>
      <c r="I84" s="55" t="n">
        <v>29904.92</v>
      </c>
      <c r="J84" s="55" t="n">
        <v>21577.27</v>
      </c>
      <c r="K84" s="53" t="n">
        <v>48</v>
      </c>
      <c r="L84" s="53" t="n">
        <v>48</v>
      </c>
      <c r="M84" s="53" t="n">
        <v>3</v>
      </c>
      <c r="N84" s="53" t="n">
        <v>13</v>
      </c>
      <c r="O84" s="53" t="n">
        <v>3</v>
      </c>
      <c r="P84" s="53" t="n">
        <v>23</v>
      </c>
    </row>
    <row r="85">
      <c r="A85" s="58" t="inlineStr">
        <is>
          <t>Anthony Palmisano</t>
        </is>
      </c>
      <c r="B85" s="58" t="inlineStr">
        <is>
          <t>Qualifier</t>
        </is>
      </c>
      <c r="C85" s="58" t="inlineStr">
        <is>
          <t>Constellation Brands</t>
        </is>
      </c>
      <c r="D85" s="58" t="inlineStr">
        <is>
          <t>Corona Extra</t>
        </is>
      </c>
      <c r="E85" s="53" t="n">
        <v>8419</v>
      </c>
      <c r="F85" s="53" t="n">
        <v>8830</v>
      </c>
      <c r="G85" s="55" t="n">
        <v>269943.35</v>
      </c>
      <c r="H85" s="55" t="n">
        <v>284439.7500000001</v>
      </c>
      <c r="I85" s="55" t="n">
        <v>65583.01000000001</v>
      </c>
      <c r="J85" s="55" t="n">
        <v>70863.76000000001</v>
      </c>
      <c r="K85" s="53" t="n">
        <v>67</v>
      </c>
      <c r="L85" s="53" t="n">
        <v>73</v>
      </c>
      <c r="M85" s="53" t="n">
        <v>7</v>
      </c>
      <c r="N85" s="53" t="n">
        <v>147</v>
      </c>
      <c r="O85" s="53" t="n">
        <v>1</v>
      </c>
      <c r="P85" s="53" t="n">
        <v>15</v>
      </c>
    </row>
    <row r="86">
      <c r="A86" s="58" t="inlineStr">
        <is>
          <t>Anthony Palmisano</t>
        </is>
      </c>
      <c r="B86" s="58" t="inlineStr">
        <is>
          <t>Qualifier</t>
        </is>
      </c>
      <c r="C86" s="58" t="inlineStr">
        <is>
          <t>Constellation Brands</t>
        </is>
      </c>
      <c r="D86" s="58" t="inlineStr">
        <is>
          <t>Modelo Especial</t>
        </is>
      </c>
      <c r="E86" s="53" t="n">
        <v>9730</v>
      </c>
      <c r="F86" s="53" t="n">
        <v>9785</v>
      </c>
      <c r="G86" s="55" t="n">
        <v>294097.5</v>
      </c>
      <c r="H86" s="55" t="n">
        <v>296089.35</v>
      </c>
      <c r="I86" s="55" t="n">
        <v>65062.48</v>
      </c>
      <c r="J86" s="55" t="n">
        <v>68792.00999999999</v>
      </c>
      <c r="K86" s="53" t="n">
        <v>47</v>
      </c>
      <c r="L86" s="53" t="n">
        <v>54</v>
      </c>
      <c r="M86" s="53" t="n">
        <v>11</v>
      </c>
      <c r="N86" s="53" t="n">
        <v>100</v>
      </c>
      <c r="O86" s="53" t="n">
        <v>4</v>
      </c>
      <c r="P86" s="53" t="n">
        <v>20</v>
      </c>
    </row>
    <row r="87">
      <c r="A87" s="58" t="inlineStr">
        <is>
          <t>Anthony Palmisano</t>
        </is>
      </c>
      <c r="B87" s="58" t="inlineStr">
        <is>
          <t>Qualifier</t>
        </is>
      </c>
      <c r="C87" s="58" t="inlineStr">
        <is>
          <t>DG Yuengling Inc</t>
        </is>
      </c>
      <c r="D87" s="58" t="inlineStr">
        <is>
          <t>Yuengling Lager</t>
        </is>
      </c>
      <c r="E87" s="53" t="n">
        <v>4420</v>
      </c>
      <c r="F87" s="53" t="n">
        <v>4274</v>
      </c>
      <c r="G87" s="55" t="n">
        <v>97287.69999999998</v>
      </c>
      <c r="H87" s="55" t="n">
        <v>92215.5</v>
      </c>
      <c r="I87" s="55" t="n">
        <v>27959.3</v>
      </c>
      <c r="J87" s="55" t="n">
        <v>26128.49000000001</v>
      </c>
      <c r="K87" s="53" t="n">
        <v>62</v>
      </c>
      <c r="L87" s="53" t="n">
        <v>67</v>
      </c>
      <c r="M87" s="53" t="n">
        <v>6</v>
      </c>
      <c r="N87" s="53" t="n">
        <v>91</v>
      </c>
      <c r="O87" s="53" t="n">
        <v>1</v>
      </c>
      <c r="P87" s="53" t="n">
        <v>7</v>
      </c>
    </row>
    <row r="88">
      <c r="A88" s="58" t="inlineStr">
        <is>
          <t>Anthony Palmisano</t>
        </is>
      </c>
      <c r="B88" s="58" t="inlineStr">
        <is>
          <t>Qualifier</t>
        </is>
      </c>
      <c r="C88" s="58" t="inlineStr">
        <is>
          <t>Heineken USA</t>
        </is>
      </c>
      <c r="D88" s="58" t="inlineStr">
        <is>
          <t>Heineken USA</t>
        </is>
      </c>
      <c r="E88" s="53" t="n">
        <v>2984</v>
      </c>
      <c r="F88" s="53" t="n">
        <v>2643</v>
      </c>
      <c r="G88" s="55" t="n">
        <v>93944.94999999998</v>
      </c>
      <c r="H88" s="55" t="n">
        <v>82799.60000000001</v>
      </c>
      <c r="I88" s="55" t="n">
        <v>23401.34</v>
      </c>
      <c r="J88" s="55" t="n">
        <v>20368.86</v>
      </c>
      <c r="K88" s="53" t="n">
        <v>37</v>
      </c>
      <c r="L88" s="53" t="n">
        <v>38</v>
      </c>
      <c r="M88" s="53" t="n">
        <v>3</v>
      </c>
      <c r="N88" s="53" t="n">
        <v>10</v>
      </c>
      <c r="O88" s="53" t="n">
        <v>2</v>
      </c>
      <c r="P88" s="53" t="n">
        <v>26</v>
      </c>
    </row>
    <row r="89">
      <c r="A89" s="58" t="inlineStr">
        <is>
          <t>Anthony Palmisano</t>
        </is>
      </c>
      <c r="B89" s="58" t="inlineStr">
        <is>
          <t>Qualifier</t>
        </is>
      </c>
      <c r="C89" s="58" t="inlineStr">
        <is>
          <t>Mark Anthony</t>
        </is>
      </c>
      <c r="D89" s="58" t="inlineStr">
        <is>
          <t>White Claw</t>
        </is>
      </c>
      <c r="E89" s="53" t="n">
        <v>7407</v>
      </c>
      <c r="F89" s="53" t="n">
        <v>7387</v>
      </c>
      <c r="G89" s="55" t="n">
        <v>233603.35</v>
      </c>
      <c r="H89" s="55" t="n">
        <v>234497.1</v>
      </c>
      <c r="I89" s="55" t="n">
        <v>49518.44</v>
      </c>
      <c r="J89" s="55" t="n">
        <v>47805.79000000001</v>
      </c>
      <c r="K89" s="53" t="n">
        <v>60</v>
      </c>
      <c r="L89" s="53" t="n">
        <v>59</v>
      </c>
      <c r="M89" s="53" t="n">
        <v>5</v>
      </c>
      <c r="N89" s="53" t="n">
        <v>57</v>
      </c>
      <c r="O89" s="53" t="n">
        <v>6</v>
      </c>
      <c r="P89" s="53" t="n">
        <v>49</v>
      </c>
    </row>
    <row r="90">
      <c r="A90" s="58" t="inlineStr">
        <is>
          <t>Anthony Palmisano</t>
        </is>
      </c>
      <c r="B90" s="58" t="inlineStr">
        <is>
          <t>Qualifier</t>
        </is>
      </c>
      <c r="C90" s="58" t="inlineStr">
        <is>
          <t>MolsonCoors Beverage Company</t>
        </is>
      </c>
      <c r="D90" s="58" t="inlineStr">
        <is>
          <t>Blue Moon</t>
        </is>
      </c>
      <c r="E90" s="53" t="n">
        <v>2052</v>
      </c>
      <c r="F90" s="53" t="n">
        <v>1808</v>
      </c>
      <c r="G90" s="55" t="n">
        <v>68061</v>
      </c>
      <c r="H90" s="55" t="n">
        <v>58900.75000000001</v>
      </c>
      <c r="I90" s="55" t="n">
        <v>18129.76</v>
      </c>
      <c r="J90" s="55" t="n">
        <v>15841.18</v>
      </c>
      <c r="K90" s="53" t="n">
        <v>62</v>
      </c>
      <c r="L90" s="53" t="n">
        <v>59</v>
      </c>
      <c r="M90" s="53" t="n">
        <v>5</v>
      </c>
      <c r="N90" s="53" t="n">
        <v>45</v>
      </c>
      <c r="O90" s="53" t="n">
        <v>8</v>
      </c>
      <c r="P90" s="53" t="n">
        <v>101</v>
      </c>
    </row>
    <row r="91">
      <c r="A91" s="58" t="inlineStr">
        <is>
          <t>Anthony Palmisano</t>
        </is>
      </c>
      <c r="B91" s="58" t="inlineStr">
        <is>
          <t>Qualifier</t>
        </is>
      </c>
      <c r="C91" s="58" t="inlineStr">
        <is>
          <t>MolsonCoors Beverage Company</t>
        </is>
      </c>
      <c r="D91" s="58" t="inlineStr">
        <is>
          <t>Coors Light</t>
        </is>
      </c>
      <c r="E91" s="53" t="n">
        <v>11307</v>
      </c>
      <c r="F91" s="53" t="n">
        <v>10794</v>
      </c>
      <c r="G91" s="55" t="n">
        <v>243793.5</v>
      </c>
      <c r="H91" s="55" t="n">
        <v>238861.35</v>
      </c>
      <c r="I91" s="55" t="n">
        <v>63422.16</v>
      </c>
      <c r="J91" s="55" t="n">
        <v>63223.92999999999</v>
      </c>
      <c r="K91" s="53" t="n">
        <v>67</v>
      </c>
      <c r="L91" s="53" t="n">
        <v>70</v>
      </c>
      <c r="M91" s="53" t="n">
        <v>5</v>
      </c>
      <c r="N91" s="53" t="n">
        <v>69</v>
      </c>
      <c r="O91" s="53" t="n">
        <v>2</v>
      </c>
      <c r="P91" s="53" t="n">
        <v>8</v>
      </c>
    </row>
    <row r="92">
      <c r="A92" s="58" t="inlineStr">
        <is>
          <t>Anthony Palmisano</t>
        </is>
      </c>
      <c r="B92" s="58" t="inlineStr">
        <is>
          <t>Qualifier</t>
        </is>
      </c>
      <c r="C92" s="58" t="inlineStr">
        <is>
          <t>MolsonCoors Beverage Company</t>
        </is>
      </c>
      <c r="D92" s="58" t="inlineStr">
        <is>
          <t>Lite</t>
        </is>
      </c>
      <c r="E92" s="53" t="n">
        <v>16333</v>
      </c>
      <c r="F92" s="53" t="n">
        <v>15329</v>
      </c>
      <c r="G92" s="55" t="n">
        <v>347643.15</v>
      </c>
      <c r="H92" s="55" t="n">
        <v>332167.1</v>
      </c>
      <c r="I92" s="55" t="n">
        <v>79662.38</v>
      </c>
      <c r="J92" s="55" t="n">
        <v>77360.56999999998</v>
      </c>
      <c r="K92" s="53" t="n">
        <v>65</v>
      </c>
      <c r="L92" s="53" t="n">
        <v>69</v>
      </c>
      <c r="M92" s="53" t="n">
        <v>6</v>
      </c>
      <c r="N92" s="53" t="n">
        <v>146</v>
      </c>
      <c r="O92" s="53" t="n">
        <v>2</v>
      </c>
      <c r="P92" s="53" t="n">
        <v>8</v>
      </c>
    </row>
    <row r="93">
      <c r="A93" s="58" t="inlineStr">
        <is>
          <t>Brian Sengebush</t>
        </is>
      </c>
      <c r="B93" s="58" t="inlineStr">
        <is>
          <t>Amplify</t>
        </is>
      </c>
      <c r="C93" s="58" t="inlineStr">
        <is>
          <t>Bell's</t>
        </is>
      </c>
      <c r="D93" s="58" t="inlineStr">
        <is>
          <t>Bell's</t>
        </is>
      </c>
      <c r="E93" s="53" t="n">
        <v>7</v>
      </c>
      <c r="F93" s="53" t="n">
        <v>0</v>
      </c>
      <c r="G93" s="55" t="n">
        <v>204</v>
      </c>
      <c r="H93" s="55" t="n">
        <v>0</v>
      </c>
      <c r="I93" s="55" t="n">
        <v>59.95</v>
      </c>
      <c r="J93" s="55" t="n">
        <v>0</v>
      </c>
      <c r="K93" s="53" t="n">
        <v>1</v>
      </c>
      <c r="L93" s="53" t="n">
        <v>0</v>
      </c>
      <c r="M93" s="53" t="n">
        <v>0</v>
      </c>
      <c r="N93" s="53" t="n">
        <v>0</v>
      </c>
      <c r="O93" s="53" t="n">
        <v>1</v>
      </c>
      <c r="P93" s="53" t="n">
        <v>7</v>
      </c>
    </row>
    <row r="94">
      <c r="A94" s="58" t="inlineStr">
        <is>
          <t>Brian Sengebush</t>
        </is>
      </c>
      <c r="B94" s="58" t="inlineStr">
        <is>
          <t>Amplify</t>
        </is>
      </c>
      <c r="C94" s="58" t="inlineStr">
        <is>
          <t>Boston Beer Company</t>
        </is>
      </c>
      <c r="D94" s="58" t="inlineStr">
        <is>
          <t>Dogfish Head Beer</t>
        </is>
      </c>
      <c r="E94" s="53" t="n">
        <v>440</v>
      </c>
      <c r="F94" s="53" t="n">
        <v>425</v>
      </c>
      <c r="G94" s="55" t="n">
        <v>15726.16</v>
      </c>
      <c r="H94" s="55" t="n">
        <v>15117.48</v>
      </c>
      <c r="I94" s="55" t="n">
        <v>4304.5</v>
      </c>
      <c r="J94" s="55" t="n">
        <v>4085.100000000001</v>
      </c>
      <c r="K94" s="53" t="n">
        <v>34</v>
      </c>
      <c r="L94" s="53" t="n">
        <v>36</v>
      </c>
      <c r="M94" s="53" t="n">
        <v>11</v>
      </c>
      <c r="N94" s="53" t="n">
        <v>126</v>
      </c>
      <c r="O94" s="53" t="n">
        <v>9</v>
      </c>
      <c r="P94" s="53" t="n">
        <v>86</v>
      </c>
    </row>
    <row r="95">
      <c r="A95" s="58" t="inlineStr">
        <is>
          <t>Brian Sengebush</t>
        </is>
      </c>
      <c r="B95" s="58" t="inlineStr">
        <is>
          <t>Amplify</t>
        </is>
      </c>
      <c r="C95" s="58" t="inlineStr">
        <is>
          <t>Cape May</t>
        </is>
      </c>
      <c r="D95" s="58" t="inlineStr">
        <is>
          <t>Cape May</t>
        </is>
      </c>
      <c r="E95" s="53" t="n">
        <v>277</v>
      </c>
      <c r="F95" s="53" t="n">
        <v>336</v>
      </c>
      <c r="G95" s="55" t="n">
        <v>10461.92</v>
      </c>
      <c r="H95" s="55" t="n">
        <v>12424.55</v>
      </c>
      <c r="I95" s="55" t="n">
        <v>2748.64</v>
      </c>
      <c r="J95" s="55" t="n">
        <v>3701.82</v>
      </c>
      <c r="K95" s="53" t="n">
        <v>22</v>
      </c>
      <c r="L95" s="53" t="n">
        <v>25</v>
      </c>
      <c r="M95" s="53" t="n">
        <v>7</v>
      </c>
      <c r="N95" s="53" t="n">
        <v>93</v>
      </c>
      <c r="O95" s="53" t="n">
        <v>4</v>
      </c>
      <c r="P95" s="53" t="n">
        <v>23</v>
      </c>
    </row>
    <row r="96">
      <c r="A96" s="58" t="inlineStr">
        <is>
          <t>Brian Sengebush</t>
        </is>
      </c>
      <c r="B96" s="58" t="inlineStr">
        <is>
          <t>Amplify</t>
        </is>
      </c>
      <c r="C96" s="58" t="inlineStr">
        <is>
          <t>Constellation Brands</t>
        </is>
      </c>
      <c r="D96" s="58" t="inlineStr">
        <is>
          <t>Corona Premier</t>
        </is>
      </c>
      <c r="E96" s="53" t="n">
        <v>137</v>
      </c>
      <c r="F96" s="53" t="n">
        <v>131</v>
      </c>
      <c r="G96" s="55" t="n">
        <v>4274.440000000001</v>
      </c>
      <c r="H96" s="55" t="n">
        <v>3674.07</v>
      </c>
      <c r="I96" s="55" t="n">
        <v>1044.41</v>
      </c>
      <c r="J96" s="55" t="n">
        <v>997.2600000000001</v>
      </c>
      <c r="K96" s="53" t="n">
        <v>19</v>
      </c>
      <c r="L96" s="53" t="n">
        <v>18</v>
      </c>
      <c r="M96" s="53" t="n">
        <v>6</v>
      </c>
      <c r="N96" s="53" t="n">
        <v>22</v>
      </c>
      <c r="O96" s="53" t="n">
        <v>7</v>
      </c>
      <c r="P96" s="53" t="n">
        <v>16</v>
      </c>
    </row>
    <row r="97">
      <c r="A97" s="58" t="inlineStr">
        <is>
          <t>Brian Sengebush</t>
        </is>
      </c>
      <c r="B97" s="58" t="inlineStr">
        <is>
          <t>Amplify</t>
        </is>
      </c>
      <c r="C97" s="58" t="inlineStr">
        <is>
          <t>Constellation Brands</t>
        </is>
      </c>
      <c r="D97" s="58" t="inlineStr">
        <is>
          <t>Modelo Chelada</t>
        </is>
      </c>
      <c r="E97" s="53" t="n">
        <v>59</v>
      </c>
      <c r="F97" s="53" t="n">
        <v>60</v>
      </c>
      <c r="G97" s="55" t="n">
        <v>1829.2</v>
      </c>
      <c r="H97" s="55" t="n">
        <v>1852.15</v>
      </c>
      <c r="I97" s="55" t="n">
        <v>445.91</v>
      </c>
      <c r="J97" s="55" t="n">
        <v>453.68</v>
      </c>
      <c r="K97" s="53" t="n">
        <v>2</v>
      </c>
      <c r="L97" s="53" t="n">
        <v>1</v>
      </c>
      <c r="M97" s="53" t="n">
        <v>0</v>
      </c>
      <c r="N97" s="53" t="n">
        <v>0</v>
      </c>
      <c r="O97" s="53" t="n">
        <v>1</v>
      </c>
      <c r="P97" s="53" t="n">
        <v>3</v>
      </c>
    </row>
    <row r="98">
      <c r="A98" s="58" t="inlineStr">
        <is>
          <t>Brian Sengebush</t>
        </is>
      </c>
      <c r="B98" s="58" t="inlineStr">
        <is>
          <t>Amplify</t>
        </is>
      </c>
      <c r="C98" s="58" t="inlineStr">
        <is>
          <t>Constellation Brands</t>
        </is>
      </c>
      <c r="D98" s="58" t="inlineStr">
        <is>
          <t>Pacifico</t>
        </is>
      </c>
      <c r="E98" s="53" t="n">
        <v>233</v>
      </c>
      <c r="F98" s="53" t="n">
        <v>180</v>
      </c>
      <c r="G98" s="55" t="n">
        <v>6788.5</v>
      </c>
      <c r="H98" s="55" t="n">
        <v>5341.5</v>
      </c>
      <c r="I98" s="55" t="n">
        <v>1757.8</v>
      </c>
      <c r="J98" s="55" t="n">
        <v>1359.57</v>
      </c>
      <c r="K98" s="53" t="n">
        <v>10</v>
      </c>
      <c r="L98" s="53" t="n">
        <v>12</v>
      </c>
      <c r="M98" s="53" t="n">
        <v>4</v>
      </c>
      <c r="N98" s="53" t="n">
        <v>21</v>
      </c>
      <c r="O98" s="53" t="n">
        <v>2</v>
      </c>
      <c r="P98" s="53" t="n">
        <v>5</v>
      </c>
    </row>
    <row r="99">
      <c r="A99" s="58" t="inlineStr">
        <is>
          <t>Brian Sengebush</t>
        </is>
      </c>
      <c r="B99" s="58" t="inlineStr">
        <is>
          <t>Amplify</t>
        </is>
      </c>
      <c r="C99" s="58" t="inlineStr">
        <is>
          <t>Constellation Brands</t>
        </is>
      </c>
      <c r="D99" s="58" t="inlineStr">
        <is>
          <t>Victoria</t>
        </is>
      </c>
      <c r="E99" s="53" t="n">
        <v>24</v>
      </c>
      <c r="F99" s="53" t="n">
        <v>37</v>
      </c>
      <c r="G99" s="55" t="n">
        <v>761.7</v>
      </c>
      <c r="H99" s="55" t="n">
        <v>1183.8</v>
      </c>
      <c r="I99" s="55" t="n">
        <v>184.68</v>
      </c>
      <c r="J99" s="55" t="n">
        <v>290.99</v>
      </c>
      <c r="K99" s="53" t="n">
        <v>5</v>
      </c>
      <c r="L99" s="53" t="n">
        <v>6</v>
      </c>
      <c r="M99" s="53" t="n">
        <v>1</v>
      </c>
      <c r="N99" s="53" t="n">
        <v>2</v>
      </c>
      <c r="O99" s="53" t="n">
        <v>0</v>
      </c>
      <c r="P99" s="53" t="n">
        <v>0</v>
      </c>
    </row>
    <row r="100">
      <c r="A100" s="58" t="inlineStr">
        <is>
          <t>Brian Sengebush</t>
        </is>
      </c>
      <c r="B100" s="58" t="inlineStr">
        <is>
          <t>Amplify</t>
        </is>
      </c>
      <c r="C100" s="58" t="inlineStr">
        <is>
          <t>DG Yuengling Inc</t>
        </is>
      </c>
      <c r="D100" s="58" t="inlineStr">
        <is>
          <t>Yuengling Flight</t>
        </is>
      </c>
      <c r="E100" s="53" t="n">
        <v>42</v>
      </c>
      <c r="F100" s="53" t="n">
        <v>28</v>
      </c>
      <c r="G100" s="55" t="n">
        <v>989.13</v>
      </c>
      <c r="H100" s="55" t="n">
        <v>654.3299999999999</v>
      </c>
      <c r="I100" s="55" t="n">
        <v>289.5600000000001</v>
      </c>
      <c r="J100" s="55" t="n">
        <v>184.19</v>
      </c>
      <c r="K100" s="53" t="n">
        <v>6</v>
      </c>
      <c r="L100" s="53" t="n">
        <v>5</v>
      </c>
      <c r="M100" s="53" t="n">
        <v>0</v>
      </c>
      <c r="N100" s="53" t="n">
        <v>0</v>
      </c>
      <c r="O100" s="53" t="n">
        <v>1</v>
      </c>
      <c r="P100" s="53" t="n">
        <v>1</v>
      </c>
    </row>
    <row r="101">
      <c r="A101" s="58" t="inlineStr">
        <is>
          <t>Brian Sengebush</t>
        </is>
      </c>
      <c r="B101" s="58" t="inlineStr">
        <is>
          <t>Amplify</t>
        </is>
      </c>
      <c r="C101" s="58" t="inlineStr">
        <is>
          <t>DG Yuengling Inc</t>
        </is>
      </c>
      <c r="D101" s="58" t="inlineStr">
        <is>
          <t>Yuengling Light Lager</t>
        </is>
      </c>
      <c r="E101" s="53" t="n">
        <v>60</v>
      </c>
      <c r="F101" s="53" t="n">
        <v>54</v>
      </c>
      <c r="G101" s="55" t="n">
        <v>1352.6</v>
      </c>
      <c r="H101" s="55" t="n">
        <v>1222.9</v>
      </c>
      <c r="I101" s="55" t="n">
        <v>346.06</v>
      </c>
      <c r="J101" s="55" t="n">
        <v>316.78</v>
      </c>
      <c r="K101" s="53" t="n">
        <v>4</v>
      </c>
      <c r="L101" s="53" t="n">
        <v>6</v>
      </c>
      <c r="M101" s="53" t="n">
        <v>2</v>
      </c>
      <c r="N101" s="53" t="n">
        <v>4</v>
      </c>
      <c r="O101" s="53" t="n">
        <v>0</v>
      </c>
      <c r="P101" s="53" t="n">
        <v>0</v>
      </c>
    </row>
    <row r="102">
      <c r="A102" s="58" t="inlineStr">
        <is>
          <t>Brian Sengebush</t>
        </is>
      </c>
      <c r="B102" s="58" t="inlineStr">
        <is>
          <t>Amplify</t>
        </is>
      </c>
      <c r="C102" s="58" t="inlineStr">
        <is>
          <t>Mark Anthony</t>
        </is>
      </c>
      <c r="D102" s="58" t="inlineStr">
        <is>
          <t>Cayman Jack</t>
        </is>
      </c>
      <c r="E102" s="53" t="n">
        <v>25</v>
      </c>
      <c r="F102" s="53" t="n">
        <v>19</v>
      </c>
      <c r="G102" s="55" t="n">
        <v>833.75</v>
      </c>
      <c r="H102" s="55" t="n">
        <v>638.5</v>
      </c>
      <c r="I102" s="55" t="n">
        <v>223.82</v>
      </c>
      <c r="J102" s="55" t="n">
        <v>169.32</v>
      </c>
      <c r="K102" s="53" t="n">
        <v>2</v>
      </c>
      <c r="L102" s="53" t="n">
        <v>2</v>
      </c>
      <c r="M102" s="53" t="n">
        <v>1</v>
      </c>
      <c r="N102" s="53" t="n">
        <v>1</v>
      </c>
      <c r="O102" s="53" t="n">
        <v>1</v>
      </c>
      <c r="P102" s="53" t="n">
        <v>5</v>
      </c>
    </row>
    <row r="103">
      <c r="A103" s="58" t="inlineStr">
        <is>
          <t>Brian Sengebush</t>
        </is>
      </c>
      <c r="B103" s="58" t="inlineStr">
        <is>
          <t>Amplify</t>
        </is>
      </c>
      <c r="C103" s="58" t="inlineStr">
        <is>
          <t>Mark Anthony</t>
        </is>
      </c>
      <c r="D103" s="58" t="inlineStr">
        <is>
          <t>Mike's Harder</t>
        </is>
      </c>
      <c r="E103" s="53" t="n">
        <v>13</v>
      </c>
      <c r="F103" s="53" t="n">
        <v>3</v>
      </c>
      <c r="G103" s="55" t="n">
        <v>351</v>
      </c>
      <c r="H103" s="55" t="n">
        <v>87</v>
      </c>
      <c r="I103" s="55" t="n">
        <v>75.98999999999999</v>
      </c>
      <c r="J103" s="55" t="n">
        <v>18.29</v>
      </c>
      <c r="K103" s="53" t="n">
        <v>1</v>
      </c>
      <c r="L103" s="53" t="n">
        <v>1</v>
      </c>
      <c r="M103" s="53" t="n">
        <v>0</v>
      </c>
      <c r="N103" s="53" t="n">
        <v>0</v>
      </c>
      <c r="O103" s="53" t="n">
        <v>0</v>
      </c>
      <c r="P103" s="53" t="n">
        <v>0</v>
      </c>
    </row>
    <row r="104">
      <c r="A104" s="58" t="inlineStr">
        <is>
          <t>Brian Sengebush</t>
        </is>
      </c>
      <c r="B104" s="58" t="inlineStr">
        <is>
          <t>Amplify</t>
        </is>
      </c>
      <c r="C104" s="58" t="inlineStr">
        <is>
          <t>MolsonCoors Beverage Company</t>
        </is>
      </c>
      <c r="D104" s="58" t="inlineStr">
        <is>
          <t>Coors</t>
        </is>
      </c>
      <c r="E104" s="53" t="n">
        <v>416</v>
      </c>
      <c r="F104" s="53" t="n">
        <v>545</v>
      </c>
      <c r="G104" s="55" t="n">
        <v>9544.509999999998</v>
      </c>
      <c r="H104" s="55" t="n">
        <v>12850.16</v>
      </c>
      <c r="I104" s="55" t="n">
        <v>2687.85</v>
      </c>
      <c r="J104" s="55" t="n">
        <v>3658.55</v>
      </c>
      <c r="K104" s="53" t="n">
        <v>28</v>
      </c>
      <c r="L104" s="53" t="n">
        <v>31</v>
      </c>
      <c r="M104" s="53" t="n">
        <v>8</v>
      </c>
      <c r="N104" s="53" t="n">
        <v>20</v>
      </c>
      <c r="O104" s="53" t="n">
        <v>5</v>
      </c>
      <c r="P104" s="53" t="n">
        <v>10</v>
      </c>
    </row>
    <row r="105">
      <c r="A105" s="58" t="inlineStr">
        <is>
          <t>Brian Sengebush</t>
        </is>
      </c>
      <c r="B105" s="58" t="inlineStr">
        <is>
          <t>Amplify</t>
        </is>
      </c>
      <c r="C105" s="58" t="inlineStr">
        <is>
          <t>MolsonCoors Beverage Company</t>
        </is>
      </c>
      <c r="D105" s="58" t="inlineStr">
        <is>
          <t>Fever Tree</t>
        </is>
      </c>
      <c r="E105" s="53" t="n">
        <v>30</v>
      </c>
      <c r="F105" s="53" t="n">
        <v>53</v>
      </c>
      <c r="G105" s="55" t="n">
        <v>1350</v>
      </c>
      <c r="H105" s="55" t="n">
        <v>2438.5</v>
      </c>
      <c r="I105" s="55" t="n">
        <v>434.35</v>
      </c>
      <c r="J105" s="55" t="n">
        <v>808.77</v>
      </c>
      <c r="K105" s="53" t="n">
        <v>7</v>
      </c>
      <c r="L105" s="53" t="n">
        <v>10</v>
      </c>
      <c r="M105" s="53" t="n">
        <v>3</v>
      </c>
      <c r="N105" s="53" t="n">
        <v>6</v>
      </c>
      <c r="O105" s="53" t="n">
        <v>0</v>
      </c>
      <c r="P105" s="53" t="n">
        <v>0</v>
      </c>
    </row>
    <row r="106">
      <c r="A106" s="58" t="inlineStr">
        <is>
          <t>Brian Sengebush</t>
        </is>
      </c>
      <c r="B106" s="58" t="inlineStr">
        <is>
          <t>Amplify</t>
        </is>
      </c>
      <c r="C106" s="58" t="inlineStr">
        <is>
          <t>MolsonCoors Beverage Company</t>
        </is>
      </c>
      <c r="D106" s="58" t="inlineStr">
        <is>
          <t>Peroni</t>
        </is>
      </c>
      <c r="E106" s="53" t="n">
        <v>74</v>
      </c>
      <c r="F106" s="53" t="n">
        <v>142</v>
      </c>
      <c r="G106" s="55" t="n">
        <v>2654.449999999999</v>
      </c>
      <c r="H106" s="55" t="n">
        <v>4933.350000000002</v>
      </c>
      <c r="I106" s="55" t="n">
        <v>628.77</v>
      </c>
      <c r="J106" s="55" t="n">
        <v>1159.86</v>
      </c>
      <c r="K106" s="53" t="n">
        <v>19</v>
      </c>
      <c r="L106" s="53" t="n">
        <v>22</v>
      </c>
      <c r="M106" s="53" t="n">
        <v>7</v>
      </c>
      <c r="N106" s="53" t="n">
        <v>71</v>
      </c>
      <c r="O106" s="53" t="n">
        <v>4</v>
      </c>
      <c r="P106" s="53" t="n">
        <v>23</v>
      </c>
    </row>
    <row r="107">
      <c r="A107" s="58" t="inlineStr">
        <is>
          <t>Brian Sengebush</t>
        </is>
      </c>
      <c r="B107" s="58" t="inlineStr">
        <is>
          <t>Amplify</t>
        </is>
      </c>
      <c r="C107" s="58" t="inlineStr">
        <is>
          <t>New Belgium Brewing Company</t>
        </is>
      </c>
      <c r="D107" s="58" t="inlineStr">
        <is>
          <t>Fat Tire Family</t>
        </is>
      </c>
      <c r="E107" s="53" t="n">
        <v>104</v>
      </c>
      <c r="F107" s="53" t="n">
        <v>64</v>
      </c>
      <c r="G107" s="55" t="n">
        <v>3669.5</v>
      </c>
      <c r="H107" s="55" t="n">
        <v>2047.5</v>
      </c>
      <c r="I107" s="55" t="n">
        <v>944.1799999999999</v>
      </c>
      <c r="J107" s="55" t="n">
        <v>545.7399999999999</v>
      </c>
      <c r="K107" s="53" t="n">
        <v>12</v>
      </c>
      <c r="L107" s="53" t="n">
        <v>8</v>
      </c>
      <c r="M107" s="53" t="n">
        <v>0</v>
      </c>
      <c r="N107" s="53" t="n">
        <v>0</v>
      </c>
      <c r="O107" s="53" t="n">
        <v>4</v>
      </c>
      <c r="P107" s="53" t="n">
        <v>17</v>
      </c>
    </row>
    <row r="108">
      <c r="A108" s="58" t="inlineStr">
        <is>
          <t>Brian Sengebush</t>
        </is>
      </c>
      <c r="B108" s="58" t="inlineStr">
        <is>
          <t>Amplify</t>
        </is>
      </c>
      <c r="C108" s="58" t="inlineStr">
        <is>
          <t>New Belgium Brewing Company</t>
        </is>
      </c>
      <c r="D108" s="58" t="inlineStr">
        <is>
          <t>Voodoo Family</t>
        </is>
      </c>
      <c r="E108" s="53" t="n">
        <v>227</v>
      </c>
      <c r="F108" s="53" t="n">
        <v>287</v>
      </c>
      <c r="G108" s="55" t="n">
        <v>8787.41</v>
      </c>
      <c r="H108" s="55" t="n">
        <v>10978.69</v>
      </c>
      <c r="I108" s="55" t="n">
        <v>2275.38</v>
      </c>
      <c r="J108" s="55" t="n">
        <v>2922.67</v>
      </c>
      <c r="K108" s="53" t="n">
        <v>16</v>
      </c>
      <c r="L108" s="53" t="n">
        <v>25</v>
      </c>
      <c r="M108" s="53" t="n">
        <v>11</v>
      </c>
      <c r="N108" s="53" t="n">
        <v>58</v>
      </c>
      <c r="O108" s="53" t="n">
        <v>2</v>
      </c>
      <c r="P108" s="53" t="n">
        <v>9</v>
      </c>
    </row>
    <row r="109">
      <c r="A109" s="58" t="inlineStr">
        <is>
          <t>Brian Sengebush</t>
        </is>
      </c>
      <c r="B109" s="58" t="inlineStr">
        <is>
          <t>Amplify</t>
        </is>
      </c>
      <c r="C109" s="58" t="inlineStr">
        <is>
          <t>Sapporo</t>
        </is>
      </c>
      <c r="D109" s="58" t="inlineStr">
        <is>
          <t>Sapporo</t>
        </is>
      </c>
      <c r="E109" s="53" t="n">
        <v>17</v>
      </c>
      <c r="F109" s="53" t="n">
        <v>23</v>
      </c>
      <c r="G109" s="55" t="n">
        <v>412.5</v>
      </c>
      <c r="H109" s="55" t="n">
        <v>558</v>
      </c>
      <c r="I109" s="55" t="n">
        <v>104.48</v>
      </c>
      <c r="J109" s="55" t="n">
        <v>153.07</v>
      </c>
      <c r="K109" s="53" t="n">
        <v>2</v>
      </c>
      <c r="L109" s="53" t="n">
        <v>3</v>
      </c>
      <c r="M109" s="53" t="n">
        <v>2</v>
      </c>
      <c r="N109" s="53" t="n">
        <v>2</v>
      </c>
      <c r="O109" s="53" t="n">
        <v>1</v>
      </c>
      <c r="P109" s="53" t="n">
        <v>3</v>
      </c>
    </row>
    <row r="110">
      <c r="A110" s="58" t="inlineStr">
        <is>
          <t>Brian Sengebush</t>
        </is>
      </c>
      <c r="B110" s="58" t="inlineStr">
        <is>
          <t>Qualifier</t>
        </is>
      </c>
      <c r="C110" s="58" t="inlineStr">
        <is>
          <t>Boston Beer Company</t>
        </is>
      </c>
      <c r="D110" s="58" t="inlineStr">
        <is>
          <t>Truly</t>
        </is>
      </c>
      <c r="E110" s="53" t="n">
        <v>194</v>
      </c>
      <c r="F110" s="53" t="n">
        <v>70</v>
      </c>
      <c r="G110" s="55" t="n">
        <v>5813.93</v>
      </c>
      <c r="H110" s="55" t="n">
        <v>2301.79</v>
      </c>
      <c r="I110" s="55" t="n">
        <v>1334.79</v>
      </c>
      <c r="J110" s="55" t="n">
        <v>481.27</v>
      </c>
      <c r="K110" s="53" t="n">
        <v>10</v>
      </c>
      <c r="L110" s="53" t="n">
        <v>8</v>
      </c>
      <c r="M110" s="53" t="n">
        <v>4</v>
      </c>
      <c r="N110" s="53" t="n">
        <v>13</v>
      </c>
      <c r="O110" s="53" t="n">
        <v>6</v>
      </c>
      <c r="P110" s="53" t="n">
        <v>58</v>
      </c>
    </row>
    <row r="111">
      <c r="A111" s="58" t="inlineStr">
        <is>
          <t>Brian Sengebush</t>
        </is>
      </c>
      <c r="B111" s="58" t="inlineStr">
        <is>
          <t>Qualifier</t>
        </is>
      </c>
      <c r="C111" s="58" t="inlineStr">
        <is>
          <t>Boston Beer Company</t>
        </is>
      </c>
      <c r="D111" s="58" t="inlineStr">
        <is>
          <t>Twisted Tea</t>
        </is>
      </c>
      <c r="E111" s="53" t="n">
        <v>1382</v>
      </c>
      <c r="F111" s="53" t="n">
        <v>1006</v>
      </c>
      <c r="G111" s="55" t="n">
        <v>42407.09</v>
      </c>
      <c r="H111" s="55" t="n">
        <v>31223.69</v>
      </c>
      <c r="I111" s="55" t="n">
        <v>11425.83</v>
      </c>
      <c r="J111" s="55" t="n">
        <v>8564.429999999998</v>
      </c>
      <c r="K111" s="53" t="n">
        <v>50</v>
      </c>
      <c r="L111" s="53" t="n">
        <v>45</v>
      </c>
      <c r="M111" s="53" t="n">
        <v>2</v>
      </c>
      <c r="N111" s="53" t="n">
        <v>2</v>
      </c>
      <c r="O111" s="53" t="n">
        <v>7</v>
      </c>
      <c r="P111" s="53" t="n">
        <v>29</v>
      </c>
    </row>
    <row r="112">
      <c r="A112" s="58" t="inlineStr">
        <is>
          <t>Brian Sengebush</t>
        </is>
      </c>
      <c r="B112" s="58" t="inlineStr">
        <is>
          <t>Qualifier</t>
        </is>
      </c>
      <c r="C112" s="58" t="inlineStr">
        <is>
          <t>Constellation Brands</t>
        </is>
      </c>
      <c r="D112" s="58" t="inlineStr">
        <is>
          <t>Corona Extra</t>
        </is>
      </c>
      <c r="E112" s="53" t="n">
        <v>3812</v>
      </c>
      <c r="F112" s="53" t="n">
        <v>3426</v>
      </c>
      <c r="G112" s="55" t="n">
        <v>128196.66</v>
      </c>
      <c r="H112" s="55" t="n">
        <v>115477.41</v>
      </c>
      <c r="I112" s="55" t="n">
        <v>35815.56</v>
      </c>
      <c r="J112" s="55" t="n">
        <v>32661.16999999999</v>
      </c>
      <c r="K112" s="53" t="n">
        <v>109</v>
      </c>
      <c r="L112" s="53" t="n">
        <v>105</v>
      </c>
      <c r="M112" s="53" t="n">
        <v>4</v>
      </c>
      <c r="N112" s="53" t="n">
        <v>16</v>
      </c>
      <c r="O112" s="53" t="n">
        <v>8</v>
      </c>
      <c r="P112" s="53" t="n">
        <v>108</v>
      </c>
    </row>
    <row r="113">
      <c r="A113" s="58" t="inlineStr">
        <is>
          <t>Brian Sengebush</t>
        </is>
      </c>
      <c r="B113" s="58" t="inlineStr">
        <is>
          <t>Qualifier</t>
        </is>
      </c>
      <c r="C113" s="58" t="inlineStr">
        <is>
          <t>Constellation Brands</t>
        </is>
      </c>
      <c r="D113" s="58" t="inlineStr">
        <is>
          <t>Modelo Especial</t>
        </is>
      </c>
      <c r="E113" s="53" t="n">
        <v>1642</v>
      </c>
      <c r="F113" s="53" t="n">
        <v>1608</v>
      </c>
      <c r="G113" s="55" t="n">
        <v>50015.68000000001</v>
      </c>
      <c r="H113" s="55" t="n">
        <v>49280.5</v>
      </c>
      <c r="I113" s="55" t="n">
        <v>12140.48</v>
      </c>
      <c r="J113" s="55" t="n">
        <v>12562.19000000001</v>
      </c>
      <c r="K113" s="53" t="n">
        <v>57</v>
      </c>
      <c r="L113" s="53" t="n">
        <v>56</v>
      </c>
      <c r="M113" s="53" t="n">
        <v>11</v>
      </c>
      <c r="N113" s="53" t="n">
        <v>72</v>
      </c>
      <c r="O113" s="53" t="n">
        <v>12</v>
      </c>
      <c r="P113" s="53" t="n">
        <v>79</v>
      </c>
    </row>
    <row r="114">
      <c r="A114" s="58" t="inlineStr">
        <is>
          <t>Brian Sengebush</t>
        </is>
      </c>
      <c r="B114" s="58" t="inlineStr">
        <is>
          <t>Qualifier</t>
        </is>
      </c>
      <c r="C114" s="58" t="inlineStr">
        <is>
          <t>DG Yuengling Inc</t>
        </is>
      </c>
      <c r="D114" s="58" t="inlineStr">
        <is>
          <t>Yuengling Lager</t>
        </is>
      </c>
      <c r="E114" s="53" t="n">
        <v>4962</v>
      </c>
      <c r="F114" s="53" t="n">
        <v>4378</v>
      </c>
      <c r="G114" s="55" t="n">
        <v>102724.88</v>
      </c>
      <c r="H114" s="55" t="n">
        <v>90003.68000000001</v>
      </c>
      <c r="I114" s="55" t="n">
        <v>29766.75999999999</v>
      </c>
      <c r="J114" s="55" t="n">
        <v>26385.79</v>
      </c>
      <c r="K114" s="53" t="n">
        <v>105</v>
      </c>
      <c r="L114" s="53" t="n">
        <v>105</v>
      </c>
      <c r="M114" s="53" t="n">
        <v>5</v>
      </c>
      <c r="N114" s="53" t="n">
        <v>13</v>
      </c>
      <c r="O114" s="53" t="n">
        <v>5</v>
      </c>
      <c r="P114" s="53" t="n">
        <v>28</v>
      </c>
    </row>
    <row r="115">
      <c r="A115" s="58" t="inlineStr">
        <is>
          <t>Brian Sengebush</t>
        </is>
      </c>
      <c r="B115" s="58" t="inlineStr">
        <is>
          <t>Qualifier</t>
        </is>
      </c>
      <c r="C115" s="58" t="inlineStr">
        <is>
          <t>Mark Anthony</t>
        </is>
      </c>
      <c r="D115" s="58" t="inlineStr">
        <is>
          <t>White Claw</t>
        </is>
      </c>
      <c r="E115" s="53" t="n">
        <v>1635</v>
      </c>
      <c r="F115" s="53" t="n">
        <v>1157</v>
      </c>
      <c r="G115" s="55" t="n">
        <v>53545.21000000002</v>
      </c>
      <c r="H115" s="55" t="n">
        <v>38801.23000000002</v>
      </c>
      <c r="I115" s="55" t="n">
        <v>13016.03</v>
      </c>
      <c r="J115" s="55" t="n">
        <v>9453.030000000002</v>
      </c>
      <c r="K115" s="53" t="n">
        <v>67</v>
      </c>
      <c r="L115" s="53" t="n">
        <v>55</v>
      </c>
      <c r="M115" s="53" t="n">
        <v>4</v>
      </c>
      <c r="N115" s="53" t="n">
        <v>9</v>
      </c>
      <c r="O115" s="53" t="n">
        <v>16</v>
      </c>
      <c r="P115" s="53" t="n">
        <v>160</v>
      </c>
    </row>
    <row r="116">
      <c r="A116" s="58" t="inlineStr">
        <is>
          <t>Brian Sengebush</t>
        </is>
      </c>
      <c r="B116" s="58" t="inlineStr">
        <is>
          <t>Qualifier</t>
        </is>
      </c>
      <c r="C116" s="58" t="inlineStr">
        <is>
          <t>MolsonCoors Beverage Company</t>
        </is>
      </c>
      <c r="D116" s="58" t="inlineStr">
        <is>
          <t>Blue Moon</t>
        </is>
      </c>
      <c r="E116" s="53" t="n">
        <v>1763</v>
      </c>
      <c r="F116" s="53" t="n">
        <v>1489</v>
      </c>
      <c r="G116" s="55" t="n">
        <v>57577.3</v>
      </c>
      <c r="H116" s="55" t="n">
        <v>47209.93</v>
      </c>
      <c r="I116" s="55" t="n">
        <v>19137.07</v>
      </c>
      <c r="J116" s="55" t="n">
        <v>15702.30000000001</v>
      </c>
      <c r="K116" s="53" t="n">
        <v>92</v>
      </c>
      <c r="L116" s="53" t="n">
        <v>89</v>
      </c>
      <c r="M116" s="53" t="n">
        <v>7</v>
      </c>
      <c r="N116" s="53" t="n">
        <v>46</v>
      </c>
      <c r="O116" s="53" t="n">
        <v>10</v>
      </c>
      <c r="P116" s="53" t="n">
        <v>104</v>
      </c>
    </row>
    <row r="117">
      <c r="A117" s="58" t="inlineStr">
        <is>
          <t>Brian Sengebush</t>
        </is>
      </c>
      <c r="B117" s="58" t="inlineStr">
        <is>
          <t>Qualifier</t>
        </is>
      </c>
      <c r="C117" s="58" t="inlineStr">
        <is>
          <t>MolsonCoors Beverage Company</t>
        </is>
      </c>
      <c r="D117" s="58" t="inlineStr">
        <is>
          <t>Coors Light</t>
        </is>
      </c>
      <c r="E117" s="53" t="n">
        <v>5118</v>
      </c>
      <c r="F117" s="53" t="n">
        <v>4825</v>
      </c>
      <c r="G117" s="55" t="n">
        <v>109902.15</v>
      </c>
      <c r="H117" s="55" t="n">
        <v>105329.56</v>
      </c>
      <c r="I117" s="55" t="n">
        <v>29110.27</v>
      </c>
      <c r="J117" s="55" t="n">
        <v>27946.2</v>
      </c>
      <c r="K117" s="53" t="n">
        <v>104</v>
      </c>
      <c r="L117" s="53" t="n">
        <v>101</v>
      </c>
      <c r="M117" s="53" t="n">
        <v>4</v>
      </c>
      <c r="N117" s="53" t="n">
        <v>54</v>
      </c>
      <c r="O117" s="53" t="n">
        <v>7</v>
      </c>
      <c r="P117" s="53" t="n">
        <v>44</v>
      </c>
    </row>
    <row r="118">
      <c r="A118" s="58" t="inlineStr">
        <is>
          <t>Brian Sengebush</t>
        </is>
      </c>
      <c r="B118" s="58" t="inlineStr">
        <is>
          <t>Qualifier</t>
        </is>
      </c>
      <c r="C118" s="58" t="inlineStr">
        <is>
          <t>MolsonCoors Beverage Company</t>
        </is>
      </c>
      <c r="D118" s="58" t="inlineStr">
        <is>
          <t>Lite</t>
        </is>
      </c>
      <c r="E118" s="53" t="n">
        <v>9451</v>
      </c>
      <c r="F118" s="53" t="n">
        <v>8505</v>
      </c>
      <c r="G118" s="55" t="n">
        <v>197642.33</v>
      </c>
      <c r="H118" s="55" t="n">
        <v>183295.27</v>
      </c>
      <c r="I118" s="55" t="n">
        <v>44398.43000000001</v>
      </c>
      <c r="J118" s="55" t="n">
        <v>42276.19000000004</v>
      </c>
      <c r="K118" s="53" t="n">
        <v>109</v>
      </c>
      <c r="L118" s="53" t="n">
        <v>107</v>
      </c>
      <c r="M118" s="53" t="n">
        <v>4</v>
      </c>
      <c r="N118" s="53" t="n">
        <v>27</v>
      </c>
      <c r="O118" s="53" t="n">
        <v>6</v>
      </c>
      <c r="P118" s="53" t="n">
        <v>27</v>
      </c>
    </row>
    <row r="119">
      <c r="A119" s="58" t="inlineStr">
        <is>
          <t>Chris Payton</t>
        </is>
      </c>
      <c r="B119" s="58" t="inlineStr">
        <is>
          <t>Amplify</t>
        </is>
      </c>
      <c r="C119" s="58" t="inlineStr">
        <is>
          <t>Bell's</t>
        </is>
      </c>
      <c r="D119" s="58" t="inlineStr">
        <is>
          <t>Bell's</t>
        </is>
      </c>
      <c r="E119" s="53" t="n">
        <v>4</v>
      </c>
      <c r="F119" s="53" t="n">
        <v>6</v>
      </c>
      <c r="G119" s="55" t="n">
        <v>144.7</v>
      </c>
      <c r="H119" s="55" t="n">
        <v>210.4</v>
      </c>
      <c r="I119" s="55" t="n">
        <v>48.22</v>
      </c>
      <c r="J119" s="55" t="n">
        <v>75.12</v>
      </c>
      <c r="K119" s="53" t="n">
        <v>2</v>
      </c>
      <c r="L119" s="53" t="n">
        <v>2</v>
      </c>
      <c r="M119" s="53" t="n">
        <v>1</v>
      </c>
      <c r="N119" s="53" t="n">
        <v>5</v>
      </c>
      <c r="O119" s="53" t="n">
        <v>1</v>
      </c>
      <c r="P119" s="53" t="n">
        <v>1</v>
      </c>
    </row>
    <row r="120">
      <c r="A120" s="58" t="inlineStr">
        <is>
          <t>Chris Payton</t>
        </is>
      </c>
      <c r="B120" s="58" t="inlineStr">
        <is>
          <t>Amplify</t>
        </is>
      </c>
      <c r="C120" s="58" t="inlineStr">
        <is>
          <t>Boston Beer Company</t>
        </is>
      </c>
      <c r="D120" s="58" t="inlineStr">
        <is>
          <t>Dogfish Head Beer</t>
        </is>
      </c>
      <c r="E120" s="53" t="n">
        <v>333</v>
      </c>
      <c r="F120" s="53" t="n">
        <v>304</v>
      </c>
      <c r="G120" s="55" t="n">
        <v>12384.4</v>
      </c>
      <c r="H120" s="55" t="n">
        <v>11147.1</v>
      </c>
      <c r="I120" s="55" t="n">
        <v>3279.390000000001</v>
      </c>
      <c r="J120" s="55" t="n">
        <v>2847.340000000001</v>
      </c>
      <c r="K120" s="53" t="n">
        <v>25</v>
      </c>
      <c r="L120" s="53" t="n">
        <v>32</v>
      </c>
      <c r="M120" s="53" t="n">
        <v>10</v>
      </c>
      <c r="N120" s="53" t="n">
        <v>50</v>
      </c>
      <c r="O120" s="53" t="n">
        <v>3</v>
      </c>
      <c r="P120" s="53" t="n">
        <v>26</v>
      </c>
    </row>
    <row r="121">
      <c r="A121" s="58" t="inlineStr">
        <is>
          <t>Chris Payton</t>
        </is>
      </c>
      <c r="B121" s="58" t="inlineStr">
        <is>
          <t>Amplify</t>
        </is>
      </c>
      <c r="C121" s="58" t="inlineStr">
        <is>
          <t>Boston Beer Company</t>
        </is>
      </c>
      <c r="D121" s="58" t="inlineStr">
        <is>
          <t>Dogfish Head Spirits</t>
        </is>
      </c>
      <c r="E121" s="53" t="n">
        <v>40</v>
      </c>
      <c r="F121" s="53" t="n">
        <v>88</v>
      </c>
      <c r="G121" s="55" t="n">
        <v>1928</v>
      </c>
      <c r="H121" s="55" t="n">
        <v>3902</v>
      </c>
      <c r="I121" s="55" t="n">
        <v>744.2500000000001</v>
      </c>
      <c r="J121" s="55" t="n">
        <v>1250.49</v>
      </c>
      <c r="K121" s="53" t="n">
        <v>4</v>
      </c>
      <c r="L121" s="53" t="n">
        <v>7</v>
      </c>
      <c r="M121" s="53" t="n">
        <v>4</v>
      </c>
      <c r="N121" s="53" t="n">
        <v>28</v>
      </c>
      <c r="O121" s="53" t="n">
        <v>1</v>
      </c>
      <c r="P121" s="53" t="n">
        <v>10</v>
      </c>
    </row>
    <row r="122">
      <c r="A122" s="58" t="inlineStr">
        <is>
          <t>Chris Payton</t>
        </is>
      </c>
      <c r="B122" s="58" t="inlineStr">
        <is>
          <t>Amplify</t>
        </is>
      </c>
      <c r="C122" s="58" t="inlineStr">
        <is>
          <t>Cape May</t>
        </is>
      </c>
      <c r="D122" s="58" t="inlineStr">
        <is>
          <t>Cape May</t>
        </is>
      </c>
      <c r="E122" s="53" t="n">
        <v>246</v>
      </c>
      <c r="F122" s="53" t="n">
        <v>255</v>
      </c>
      <c r="G122" s="55" t="n">
        <v>10208.4</v>
      </c>
      <c r="H122" s="55" t="n">
        <v>10024.3</v>
      </c>
      <c r="I122" s="55" t="n">
        <v>3006.91</v>
      </c>
      <c r="J122" s="55" t="n">
        <v>2983.84</v>
      </c>
      <c r="K122" s="53" t="n">
        <v>21</v>
      </c>
      <c r="L122" s="53" t="n">
        <v>20</v>
      </c>
      <c r="M122" s="53" t="n">
        <v>2</v>
      </c>
      <c r="N122" s="53" t="n">
        <v>4</v>
      </c>
      <c r="O122" s="53" t="n">
        <v>3</v>
      </c>
      <c r="P122" s="53" t="n">
        <v>17</v>
      </c>
    </row>
    <row r="123">
      <c r="A123" s="58" t="inlineStr">
        <is>
          <t>Chris Payton</t>
        </is>
      </c>
      <c r="B123" s="58" t="inlineStr">
        <is>
          <t>Amplify</t>
        </is>
      </c>
      <c r="C123" s="58" t="inlineStr">
        <is>
          <t>Constellation Brands</t>
        </is>
      </c>
      <c r="D123" s="58" t="inlineStr">
        <is>
          <t>Corona Premier</t>
        </is>
      </c>
      <c r="E123" s="53" t="n">
        <v>837</v>
      </c>
      <c r="F123" s="53" t="n">
        <v>702</v>
      </c>
      <c r="G123" s="55" t="n">
        <v>26133.2</v>
      </c>
      <c r="H123" s="55" t="n">
        <v>18991.25</v>
      </c>
      <c r="I123" s="55" t="n">
        <v>5545.75</v>
      </c>
      <c r="J123" s="55" t="n">
        <v>4740.969999999999</v>
      </c>
      <c r="K123" s="53" t="n">
        <v>34</v>
      </c>
      <c r="L123" s="53" t="n">
        <v>34</v>
      </c>
      <c r="M123" s="53" t="n">
        <v>4</v>
      </c>
      <c r="N123" s="53" t="n">
        <v>16</v>
      </c>
      <c r="O123" s="53" t="n">
        <v>4</v>
      </c>
      <c r="P123" s="53" t="n">
        <v>46</v>
      </c>
    </row>
    <row r="124">
      <c r="A124" s="58" t="inlineStr">
        <is>
          <t>Chris Payton</t>
        </is>
      </c>
      <c r="B124" s="58" t="inlineStr">
        <is>
          <t>Amplify</t>
        </is>
      </c>
      <c r="C124" s="58" t="inlineStr">
        <is>
          <t>Constellation Brands</t>
        </is>
      </c>
      <c r="D124" s="58" t="inlineStr">
        <is>
          <t>Modelo Chelada</t>
        </is>
      </c>
      <c r="E124" s="53" t="n">
        <v>1716</v>
      </c>
      <c r="F124" s="53" t="n">
        <v>2102</v>
      </c>
      <c r="G124" s="55" t="n">
        <v>53034.05</v>
      </c>
      <c r="H124" s="55" t="n">
        <v>64758.90000000002</v>
      </c>
      <c r="I124" s="55" t="n">
        <v>13253.77</v>
      </c>
      <c r="J124" s="55" t="n">
        <v>16200.14</v>
      </c>
      <c r="K124" s="53" t="n">
        <v>38</v>
      </c>
      <c r="L124" s="53" t="n">
        <v>38</v>
      </c>
      <c r="M124" s="53" t="n">
        <v>1</v>
      </c>
      <c r="N124" s="53" t="n">
        <v>2</v>
      </c>
      <c r="O124" s="53" t="n">
        <v>1</v>
      </c>
      <c r="P124" s="53" t="n">
        <v>6</v>
      </c>
    </row>
    <row r="125">
      <c r="A125" s="58" t="inlineStr">
        <is>
          <t>Chris Payton</t>
        </is>
      </c>
      <c r="B125" s="58" t="inlineStr">
        <is>
          <t>Amplify</t>
        </is>
      </c>
      <c r="C125" s="58" t="inlineStr">
        <is>
          <t>Constellation Brands</t>
        </is>
      </c>
      <c r="D125" s="58" t="inlineStr">
        <is>
          <t>Pacifico</t>
        </is>
      </c>
      <c r="E125" s="53" t="n">
        <v>823</v>
      </c>
      <c r="F125" s="53" t="n">
        <v>1097</v>
      </c>
      <c r="G125" s="55" t="n">
        <v>25741.8</v>
      </c>
      <c r="H125" s="55" t="n">
        <v>34262.10000000001</v>
      </c>
      <c r="I125" s="55" t="n">
        <v>6023.940000000001</v>
      </c>
      <c r="J125" s="55" t="n">
        <v>8048.619999999998</v>
      </c>
      <c r="K125" s="53" t="n">
        <v>29</v>
      </c>
      <c r="L125" s="53" t="n">
        <v>35</v>
      </c>
      <c r="M125" s="53" t="n">
        <v>8</v>
      </c>
      <c r="N125" s="53" t="n">
        <v>74</v>
      </c>
      <c r="O125" s="53" t="n">
        <v>2</v>
      </c>
      <c r="P125" s="53" t="n">
        <v>18</v>
      </c>
    </row>
    <row r="126">
      <c r="A126" s="58" t="inlineStr">
        <is>
          <t>Chris Payton</t>
        </is>
      </c>
      <c r="B126" s="58" t="inlineStr">
        <is>
          <t>Amplify</t>
        </is>
      </c>
      <c r="C126" s="58" t="inlineStr">
        <is>
          <t>Constellation Brands</t>
        </is>
      </c>
      <c r="D126" s="58" t="inlineStr">
        <is>
          <t>Victoria</t>
        </is>
      </c>
      <c r="E126" s="53" t="n">
        <v>1056</v>
      </c>
      <c r="F126" s="53" t="n">
        <v>1050</v>
      </c>
      <c r="G126" s="55" t="n">
        <v>32096.59999999999</v>
      </c>
      <c r="H126" s="55" t="n">
        <v>31866.49999999999</v>
      </c>
      <c r="I126" s="55" t="n">
        <v>7481.559999999999</v>
      </c>
      <c r="J126" s="55" t="n">
        <v>7489.96</v>
      </c>
      <c r="K126" s="53" t="n">
        <v>30</v>
      </c>
      <c r="L126" s="53" t="n">
        <v>27</v>
      </c>
      <c r="M126" s="53" t="n">
        <v>2</v>
      </c>
      <c r="N126" s="53" t="n">
        <v>7</v>
      </c>
      <c r="O126" s="53" t="n">
        <v>5</v>
      </c>
      <c r="P126" s="53" t="n">
        <v>41</v>
      </c>
    </row>
    <row r="127">
      <c r="A127" s="58" t="inlineStr">
        <is>
          <t>Chris Payton</t>
        </is>
      </c>
      <c r="B127" s="58" t="inlineStr">
        <is>
          <t>Amplify</t>
        </is>
      </c>
      <c r="C127" s="58" t="inlineStr">
        <is>
          <t>DG Yuengling Inc</t>
        </is>
      </c>
      <c r="D127" s="58" t="inlineStr">
        <is>
          <t>Yuengling Flight</t>
        </is>
      </c>
      <c r="E127" s="53" t="n">
        <v>114</v>
      </c>
      <c r="F127" s="53" t="n">
        <v>69</v>
      </c>
      <c r="G127" s="55" t="n">
        <v>2675.85</v>
      </c>
      <c r="H127" s="55" t="n">
        <v>1483.85</v>
      </c>
      <c r="I127" s="55" t="n">
        <v>746.28</v>
      </c>
      <c r="J127" s="55" t="n">
        <v>385.2</v>
      </c>
      <c r="K127" s="53" t="n">
        <v>13</v>
      </c>
      <c r="L127" s="53" t="n">
        <v>9</v>
      </c>
      <c r="M127" s="53" t="n">
        <v>2</v>
      </c>
      <c r="N127" s="53" t="n">
        <v>2</v>
      </c>
      <c r="O127" s="53" t="n">
        <v>6</v>
      </c>
      <c r="P127" s="53" t="n">
        <v>20</v>
      </c>
    </row>
    <row r="128">
      <c r="A128" s="58" t="inlineStr">
        <is>
          <t>Chris Payton</t>
        </is>
      </c>
      <c r="B128" s="58" t="inlineStr">
        <is>
          <t>Amplify</t>
        </is>
      </c>
      <c r="C128" s="58" t="inlineStr">
        <is>
          <t>DG Yuengling Inc</t>
        </is>
      </c>
      <c r="D128" s="58" t="inlineStr">
        <is>
          <t>Yuengling Light Lager</t>
        </is>
      </c>
      <c r="E128" s="53" t="n">
        <v>22</v>
      </c>
      <c r="F128" s="53" t="n">
        <v>26</v>
      </c>
      <c r="G128" s="55" t="n">
        <v>590.8</v>
      </c>
      <c r="H128" s="55" t="n">
        <v>686.4</v>
      </c>
      <c r="I128" s="55" t="n">
        <v>175.52</v>
      </c>
      <c r="J128" s="55" t="n">
        <v>209.87</v>
      </c>
      <c r="K128" s="53" t="n">
        <v>10</v>
      </c>
      <c r="L128" s="53" t="n">
        <v>9</v>
      </c>
      <c r="M128" s="53" t="n">
        <v>2</v>
      </c>
      <c r="N128" s="53" t="n">
        <v>2</v>
      </c>
      <c r="O128" s="53" t="n">
        <v>3</v>
      </c>
      <c r="P128" s="53" t="n">
        <v>3</v>
      </c>
    </row>
    <row r="129">
      <c r="A129" s="58" t="inlineStr">
        <is>
          <t>Chris Payton</t>
        </is>
      </c>
      <c r="B129" s="58" t="inlineStr">
        <is>
          <t>Amplify</t>
        </is>
      </c>
      <c r="C129" s="58" t="inlineStr">
        <is>
          <t>Heineken USA</t>
        </is>
      </c>
      <c r="D129" s="58" t="inlineStr">
        <is>
          <t>Heineken 0.0</t>
        </is>
      </c>
      <c r="E129" s="53" t="n">
        <v>566</v>
      </c>
      <c r="F129" s="53" t="n">
        <v>611</v>
      </c>
      <c r="G129" s="55" t="n">
        <v>18899.6</v>
      </c>
      <c r="H129" s="55" t="n">
        <v>20475.09999999999</v>
      </c>
      <c r="I129" s="55" t="n">
        <v>5020.700000000002</v>
      </c>
      <c r="J129" s="55" t="n">
        <v>5407.970000000001</v>
      </c>
      <c r="K129" s="53" t="n">
        <v>44</v>
      </c>
      <c r="L129" s="53" t="n">
        <v>45</v>
      </c>
      <c r="M129" s="53" t="n">
        <v>5</v>
      </c>
      <c r="N129" s="53" t="n">
        <v>10</v>
      </c>
      <c r="O129" s="53" t="n">
        <v>4</v>
      </c>
      <c r="P129" s="53" t="n">
        <v>6</v>
      </c>
    </row>
    <row r="130">
      <c r="A130" s="58" t="inlineStr">
        <is>
          <t>Chris Payton</t>
        </is>
      </c>
      <c r="B130" s="58" t="inlineStr">
        <is>
          <t>Amplify</t>
        </is>
      </c>
      <c r="C130" s="58" t="inlineStr">
        <is>
          <t>Heineken USA</t>
        </is>
      </c>
      <c r="D130" s="58" t="inlineStr">
        <is>
          <t>Heineken Light</t>
        </is>
      </c>
      <c r="E130" s="53" t="n">
        <v>772</v>
      </c>
      <c r="F130" s="53" t="n">
        <v>628</v>
      </c>
      <c r="G130" s="55" t="n">
        <v>24038.9</v>
      </c>
      <c r="H130" s="55" t="n">
        <v>19408.6</v>
      </c>
      <c r="I130" s="55" t="n">
        <v>5694.77</v>
      </c>
      <c r="J130" s="55" t="n">
        <v>4485.969999999998</v>
      </c>
      <c r="K130" s="53" t="n">
        <v>34</v>
      </c>
      <c r="L130" s="53" t="n">
        <v>32</v>
      </c>
      <c r="M130" s="53" t="n">
        <v>4</v>
      </c>
      <c r="N130" s="53" t="n">
        <v>23</v>
      </c>
      <c r="O130" s="53" t="n">
        <v>6</v>
      </c>
      <c r="P130" s="53" t="n">
        <v>25</v>
      </c>
    </row>
    <row r="131">
      <c r="A131" s="58" t="inlineStr">
        <is>
          <t>Chris Payton</t>
        </is>
      </c>
      <c r="B131" s="58" t="inlineStr">
        <is>
          <t>Amplify</t>
        </is>
      </c>
      <c r="C131" s="58" t="inlineStr">
        <is>
          <t>Mark Anthony</t>
        </is>
      </c>
      <c r="D131" s="58" t="inlineStr">
        <is>
          <t>Cayman Jack</t>
        </is>
      </c>
      <c r="E131" s="53" t="n">
        <v>1007</v>
      </c>
      <c r="F131" s="53" t="n">
        <v>1253</v>
      </c>
      <c r="G131" s="55" t="n">
        <v>31757.75</v>
      </c>
      <c r="H131" s="55" t="n">
        <v>39491.5</v>
      </c>
      <c r="I131" s="55" t="n">
        <v>7545.4</v>
      </c>
      <c r="J131" s="55" t="n">
        <v>9275.279999999997</v>
      </c>
      <c r="K131" s="53" t="n">
        <v>29</v>
      </c>
      <c r="L131" s="53" t="n">
        <v>32</v>
      </c>
      <c r="M131" s="53" t="n">
        <v>5</v>
      </c>
      <c r="N131" s="53" t="n">
        <v>26</v>
      </c>
      <c r="O131" s="53" t="n">
        <v>2</v>
      </c>
      <c r="P131" s="53" t="n">
        <v>20</v>
      </c>
    </row>
    <row r="132">
      <c r="A132" s="58" t="inlineStr">
        <is>
          <t>Chris Payton</t>
        </is>
      </c>
      <c r="B132" s="58" t="inlineStr">
        <is>
          <t>Amplify</t>
        </is>
      </c>
      <c r="C132" s="58" t="inlineStr">
        <is>
          <t>Mark Anthony</t>
        </is>
      </c>
      <c r="D132" s="58" t="inlineStr">
        <is>
          <t>Mike's Harder</t>
        </is>
      </c>
      <c r="E132" s="53" t="n">
        <v>227</v>
      </c>
      <c r="F132" s="53" t="n">
        <v>259</v>
      </c>
      <c r="G132" s="55" t="n">
        <v>6211</v>
      </c>
      <c r="H132" s="55" t="n">
        <v>7647.5</v>
      </c>
      <c r="I132" s="55" t="n">
        <v>1364.31</v>
      </c>
      <c r="J132" s="55" t="n">
        <v>1647.92</v>
      </c>
      <c r="K132" s="53" t="n">
        <v>18</v>
      </c>
      <c r="L132" s="53" t="n">
        <v>17</v>
      </c>
      <c r="M132" s="53" t="n">
        <v>2</v>
      </c>
      <c r="N132" s="53" t="n">
        <v>22</v>
      </c>
      <c r="O132" s="53" t="n">
        <v>3</v>
      </c>
      <c r="P132" s="53" t="n">
        <v>15</v>
      </c>
    </row>
    <row r="133">
      <c r="A133" s="58" t="inlineStr">
        <is>
          <t>Chris Payton</t>
        </is>
      </c>
      <c r="B133" s="58" t="inlineStr">
        <is>
          <t>Amplify</t>
        </is>
      </c>
      <c r="C133" s="58" t="inlineStr">
        <is>
          <t>Mark Anthony</t>
        </is>
      </c>
      <c r="D133" s="58" t="inlineStr">
        <is>
          <t>Mxd Cocktails</t>
        </is>
      </c>
      <c r="E133" s="53" t="n">
        <v>0</v>
      </c>
      <c r="F133" s="53" t="n">
        <v>16</v>
      </c>
      <c r="G133" s="55" t="n">
        <v>0</v>
      </c>
      <c r="H133" s="55" t="n">
        <v>384</v>
      </c>
      <c r="I133" s="55" t="n">
        <v>0</v>
      </c>
      <c r="J133" s="55" t="n">
        <v>72.48</v>
      </c>
      <c r="K133" s="53" t="n">
        <v>0</v>
      </c>
      <c r="L133" s="53" t="n">
        <v>2</v>
      </c>
      <c r="M133" s="53" t="n">
        <v>2</v>
      </c>
      <c r="N133" s="53" t="n">
        <v>21</v>
      </c>
      <c r="O133" s="53" t="n">
        <v>0</v>
      </c>
      <c r="P133" s="53" t="n">
        <v>0</v>
      </c>
    </row>
    <row r="134">
      <c r="A134" s="58" t="inlineStr">
        <is>
          <t>Chris Payton</t>
        </is>
      </c>
      <c r="B134" s="58" t="inlineStr">
        <is>
          <t>Amplify</t>
        </is>
      </c>
      <c r="C134" s="58" t="inlineStr">
        <is>
          <t>MolsonCoors Beverage Company</t>
        </is>
      </c>
      <c r="D134" s="58" t="inlineStr">
        <is>
          <t>Coors</t>
        </is>
      </c>
      <c r="E134" s="53" t="n">
        <v>1310</v>
      </c>
      <c r="F134" s="53" t="n">
        <v>1320</v>
      </c>
      <c r="G134" s="55" t="n">
        <v>25775.5</v>
      </c>
      <c r="H134" s="55" t="n">
        <v>27948.2</v>
      </c>
      <c r="I134" s="55" t="n">
        <v>5891.48</v>
      </c>
      <c r="J134" s="55" t="n">
        <v>6770.34</v>
      </c>
      <c r="K134" s="53" t="n">
        <v>35</v>
      </c>
      <c r="L134" s="53" t="n">
        <v>38</v>
      </c>
      <c r="M134" s="53" t="n">
        <v>4</v>
      </c>
      <c r="N134" s="53" t="n">
        <v>14</v>
      </c>
      <c r="O134" s="53" t="n">
        <v>1</v>
      </c>
      <c r="P134" s="53" t="n">
        <v>1</v>
      </c>
    </row>
    <row r="135">
      <c r="A135" s="58" t="inlineStr">
        <is>
          <t>Chris Payton</t>
        </is>
      </c>
      <c r="B135" s="58" t="inlineStr">
        <is>
          <t>Amplify</t>
        </is>
      </c>
      <c r="C135" s="58" t="inlineStr">
        <is>
          <t>MolsonCoors Beverage Company</t>
        </is>
      </c>
      <c r="D135" s="58" t="inlineStr">
        <is>
          <t>Fever Tree</t>
        </is>
      </c>
      <c r="E135" s="53" t="n">
        <v>95</v>
      </c>
      <c r="F135" s="53" t="n">
        <v>115</v>
      </c>
      <c r="G135" s="55" t="n">
        <v>4317.5</v>
      </c>
      <c r="H135" s="55" t="n">
        <v>5231</v>
      </c>
      <c r="I135" s="55" t="n">
        <v>1455.7</v>
      </c>
      <c r="J135" s="55" t="n">
        <v>1753.42</v>
      </c>
      <c r="K135" s="53" t="n">
        <v>12</v>
      </c>
      <c r="L135" s="53" t="n">
        <v>17</v>
      </c>
      <c r="M135" s="53" t="n">
        <v>8</v>
      </c>
      <c r="N135" s="53" t="n">
        <v>16</v>
      </c>
      <c r="O135" s="53" t="n">
        <v>3</v>
      </c>
      <c r="P135" s="53" t="n">
        <v>4</v>
      </c>
    </row>
    <row r="136">
      <c r="A136" s="58" t="inlineStr">
        <is>
          <t>Chris Payton</t>
        </is>
      </c>
      <c r="B136" s="58" t="inlineStr">
        <is>
          <t>Amplify</t>
        </is>
      </c>
      <c r="C136" s="58" t="inlineStr">
        <is>
          <t>MolsonCoors Beverage Company</t>
        </is>
      </c>
      <c r="D136" s="58" t="inlineStr">
        <is>
          <t>Peroni</t>
        </is>
      </c>
      <c r="E136" s="53" t="n">
        <v>1038</v>
      </c>
      <c r="F136" s="53" t="n">
        <v>1069</v>
      </c>
      <c r="G136" s="55" t="n">
        <v>35543.25</v>
      </c>
      <c r="H136" s="55" t="n">
        <v>35984.2</v>
      </c>
      <c r="I136" s="55" t="n">
        <v>7117.570000000002</v>
      </c>
      <c r="J136" s="55" t="n">
        <v>6946.39</v>
      </c>
      <c r="K136" s="53" t="n">
        <v>42</v>
      </c>
      <c r="L136" s="53" t="n">
        <v>46</v>
      </c>
      <c r="M136" s="53" t="n">
        <v>6</v>
      </c>
      <c r="N136" s="53" t="n">
        <v>35</v>
      </c>
      <c r="O136" s="53" t="n">
        <v>2</v>
      </c>
      <c r="P136" s="53" t="n">
        <v>10</v>
      </c>
    </row>
    <row r="137">
      <c r="A137" s="58" t="inlineStr">
        <is>
          <t>Chris Payton</t>
        </is>
      </c>
      <c r="B137" s="58" t="inlineStr">
        <is>
          <t>Amplify</t>
        </is>
      </c>
      <c r="C137" s="58" t="inlineStr">
        <is>
          <t>New Belgium Brewing Company</t>
        </is>
      </c>
      <c r="D137" s="58" t="inlineStr">
        <is>
          <t>Fat Tire Family</t>
        </is>
      </c>
      <c r="E137" s="53" t="n">
        <v>54</v>
      </c>
      <c r="F137" s="53" t="n">
        <v>34</v>
      </c>
      <c r="G137" s="55" t="n">
        <v>1803.35</v>
      </c>
      <c r="H137" s="55" t="n">
        <v>1068.6</v>
      </c>
      <c r="I137" s="55" t="n">
        <v>419.35</v>
      </c>
      <c r="J137" s="55" t="n">
        <v>245.32</v>
      </c>
      <c r="K137" s="53" t="n">
        <v>16</v>
      </c>
      <c r="L137" s="53" t="n">
        <v>14</v>
      </c>
      <c r="M137" s="53" t="n">
        <v>3</v>
      </c>
      <c r="N137" s="53" t="n">
        <v>5</v>
      </c>
      <c r="O137" s="53" t="n">
        <v>5</v>
      </c>
      <c r="P137" s="53" t="n">
        <v>12</v>
      </c>
    </row>
    <row r="138">
      <c r="A138" s="58" t="inlineStr">
        <is>
          <t>Chris Payton</t>
        </is>
      </c>
      <c r="B138" s="58" t="inlineStr">
        <is>
          <t>Amplify</t>
        </is>
      </c>
      <c r="C138" s="58" t="inlineStr">
        <is>
          <t>New Belgium Brewing Company</t>
        </is>
      </c>
      <c r="D138" s="58" t="inlineStr">
        <is>
          <t>Kirin Ichiban</t>
        </is>
      </c>
      <c r="E138" s="53" t="n">
        <v>10</v>
      </c>
      <c r="F138" s="53" t="n">
        <v>23</v>
      </c>
      <c r="G138" s="55" t="n">
        <v>315</v>
      </c>
      <c r="H138" s="55" t="n">
        <v>738</v>
      </c>
      <c r="I138" s="55" t="n">
        <v>73.2</v>
      </c>
      <c r="J138" s="55" t="n">
        <v>181.86</v>
      </c>
      <c r="K138" s="53" t="n">
        <v>1</v>
      </c>
      <c r="L138" s="53" t="n">
        <v>4</v>
      </c>
      <c r="M138" s="53" t="n">
        <v>3</v>
      </c>
      <c r="N138" s="53" t="n">
        <v>8</v>
      </c>
      <c r="O138" s="53" t="n">
        <v>0</v>
      </c>
      <c r="P138" s="53" t="n">
        <v>0</v>
      </c>
    </row>
    <row r="139">
      <c r="A139" s="58" t="inlineStr">
        <is>
          <t>Chris Payton</t>
        </is>
      </c>
      <c r="B139" s="58" t="inlineStr">
        <is>
          <t>Amplify</t>
        </is>
      </c>
      <c r="C139" s="58" t="inlineStr">
        <is>
          <t>New Belgium Brewing Company</t>
        </is>
      </c>
      <c r="D139" s="58" t="inlineStr">
        <is>
          <t>Voodoo Family</t>
        </is>
      </c>
      <c r="E139" s="53" t="n">
        <v>764</v>
      </c>
      <c r="F139" s="53" t="n">
        <v>909</v>
      </c>
      <c r="G139" s="55" t="n">
        <v>27623</v>
      </c>
      <c r="H139" s="55" t="n">
        <v>32494</v>
      </c>
      <c r="I139" s="55" t="n">
        <v>6984.65</v>
      </c>
      <c r="J139" s="55" t="n">
        <v>8198.470000000001</v>
      </c>
      <c r="K139" s="53" t="n">
        <v>39</v>
      </c>
      <c r="L139" s="53" t="n">
        <v>42</v>
      </c>
      <c r="M139" s="53" t="n">
        <v>4</v>
      </c>
      <c r="N139" s="53" t="n">
        <v>19</v>
      </c>
      <c r="O139" s="53" t="n">
        <v>1</v>
      </c>
      <c r="P139" s="53" t="n">
        <v>5</v>
      </c>
    </row>
    <row r="140">
      <c r="A140" s="58" t="inlineStr">
        <is>
          <t>Chris Payton</t>
        </is>
      </c>
      <c r="B140" s="58" t="inlineStr">
        <is>
          <t>Amplify</t>
        </is>
      </c>
      <c r="C140" s="58" t="inlineStr">
        <is>
          <t>Sapporo</t>
        </is>
      </c>
      <c r="D140" s="58" t="inlineStr">
        <is>
          <t>Sapporo</t>
        </is>
      </c>
      <c r="E140" s="53" t="n">
        <v>764</v>
      </c>
      <c r="F140" s="53" t="n">
        <v>955</v>
      </c>
      <c r="G140" s="55" t="n">
        <v>22208.75</v>
      </c>
      <c r="H140" s="55" t="n">
        <v>26990.5</v>
      </c>
      <c r="I140" s="55" t="n">
        <v>5730.140000000001</v>
      </c>
      <c r="J140" s="55" t="n">
        <v>7044.980000000001</v>
      </c>
      <c r="K140" s="53" t="n">
        <v>35</v>
      </c>
      <c r="L140" s="53" t="n">
        <v>36</v>
      </c>
      <c r="M140" s="53" t="n">
        <v>5</v>
      </c>
      <c r="N140" s="53" t="n">
        <v>33</v>
      </c>
      <c r="O140" s="53" t="n">
        <v>4</v>
      </c>
      <c r="P140" s="53" t="n">
        <v>27</v>
      </c>
    </row>
    <row r="141">
      <c r="A141" s="58" t="inlineStr">
        <is>
          <t>Chris Payton</t>
        </is>
      </c>
      <c r="B141" s="58" t="inlineStr">
        <is>
          <t>Qualifier</t>
        </is>
      </c>
      <c r="C141" s="58" t="inlineStr">
        <is>
          <t>Boston Beer Company</t>
        </is>
      </c>
      <c r="D141" s="58" t="inlineStr">
        <is>
          <t>Truly</t>
        </is>
      </c>
      <c r="E141" s="53" t="n">
        <v>539</v>
      </c>
      <c r="F141" s="53" t="n">
        <v>453</v>
      </c>
      <c r="G141" s="55" t="n">
        <v>15386.85</v>
      </c>
      <c r="H141" s="55" t="n">
        <v>13434.4</v>
      </c>
      <c r="I141" s="55" t="n">
        <v>3308.5</v>
      </c>
      <c r="J141" s="55" t="n">
        <v>3189.38</v>
      </c>
      <c r="K141" s="53" t="n">
        <v>25</v>
      </c>
      <c r="L141" s="53" t="n">
        <v>25</v>
      </c>
      <c r="M141" s="53" t="n">
        <v>8</v>
      </c>
      <c r="N141" s="53" t="n">
        <v>42</v>
      </c>
      <c r="O141" s="53" t="n">
        <v>8</v>
      </c>
      <c r="P141" s="53" t="n">
        <v>107</v>
      </c>
    </row>
    <row r="142">
      <c r="A142" s="58" t="inlineStr">
        <is>
          <t>Chris Payton</t>
        </is>
      </c>
      <c r="B142" s="58" t="inlineStr">
        <is>
          <t>Qualifier</t>
        </is>
      </c>
      <c r="C142" s="58" t="inlineStr">
        <is>
          <t>Boston Beer Company</t>
        </is>
      </c>
      <c r="D142" s="58" t="inlineStr">
        <is>
          <t>Twisted Tea</t>
        </is>
      </c>
      <c r="E142" s="53" t="n">
        <v>1897</v>
      </c>
      <c r="F142" s="53" t="n">
        <v>1591</v>
      </c>
      <c r="G142" s="55" t="n">
        <v>55863</v>
      </c>
      <c r="H142" s="55" t="n">
        <v>47253.25</v>
      </c>
      <c r="I142" s="55" t="n">
        <v>14626.74</v>
      </c>
      <c r="J142" s="55" t="n">
        <v>12465.3</v>
      </c>
      <c r="K142" s="53" t="n">
        <v>41</v>
      </c>
      <c r="L142" s="53" t="n">
        <v>40</v>
      </c>
      <c r="M142" s="53" t="n">
        <v>1</v>
      </c>
      <c r="N142" s="53" t="n">
        <v>7</v>
      </c>
      <c r="O142" s="53" t="n">
        <v>2</v>
      </c>
      <c r="P142" s="53" t="n">
        <v>17</v>
      </c>
    </row>
    <row r="143">
      <c r="A143" s="58" t="inlineStr">
        <is>
          <t>Chris Payton</t>
        </is>
      </c>
      <c r="B143" s="58" t="inlineStr">
        <is>
          <t>Qualifier</t>
        </is>
      </c>
      <c r="C143" s="58" t="inlineStr">
        <is>
          <t>Constellation Brands</t>
        </is>
      </c>
      <c r="D143" s="58" t="inlineStr">
        <is>
          <t>Corona Extra</t>
        </is>
      </c>
      <c r="E143" s="53" t="n">
        <v>25560</v>
      </c>
      <c r="F143" s="53" t="n">
        <v>24621</v>
      </c>
      <c r="G143" s="55" t="n">
        <v>825487.3499999999</v>
      </c>
      <c r="H143" s="55" t="n">
        <v>799322.1</v>
      </c>
      <c r="I143" s="55" t="n">
        <v>193548.44</v>
      </c>
      <c r="J143" s="55" t="n">
        <v>192353.83</v>
      </c>
      <c r="K143" s="53" t="n">
        <v>57</v>
      </c>
      <c r="L143" s="53" t="n">
        <v>59</v>
      </c>
      <c r="M143" s="53" t="n">
        <v>4</v>
      </c>
      <c r="N143" s="53" t="n">
        <v>46</v>
      </c>
      <c r="O143" s="53" t="n">
        <v>2</v>
      </c>
      <c r="P143" s="53" t="n">
        <v>29</v>
      </c>
    </row>
    <row r="144">
      <c r="A144" s="58" t="inlineStr">
        <is>
          <t>Chris Payton</t>
        </is>
      </c>
      <c r="B144" s="58" t="inlineStr">
        <is>
          <t>Qualifier</t>
        </is>
      </c>
      <c r="C144" s="58" t="inlineStr">
        <is>
          <t>Constellation Brands</t>
        </is>
      </c>
      <c r="D144" s="58" t="inlineStr">
        <is>
          <t>Modelo Especial</t>
        </is>
      </c>
      <c r="E144" s="53" t="n">
        <v>19685</v>
      </c>
      <c r="F144" s="53" t="n">
        <v>20169</v>
      </c>
      <c r="G144" s="55" t="n">
        <v>607645.4500000001</v>
      </c>
      <c r="H144" s="55" t="n">
        <v>622734.6499999999</v>
      </c>
      <c r="I144" s="55" t="n">
        <v>135703.58</v>
      </c>
      <c r="J144" s="55" t="n">
        <v>144459.7</v>
      </c>
      <c r="K144" s="53" t="n">
        <v>48</v>
      </c>
      <c r="L144" s="53" t="n">
        <v>50</v>
      </c>
      <c r="M144" s="53" t="n">
        <v>7</v>
      </c>
      <c r="N144" s="53" t="n">
        <v>157</v>
      </c>
      <c r="O144" s="53" t="n">
        <v>5</v>
      </c>
      <c r="P144" s="53" t="n">
        <v>47</v>
      </c>
    </row>
    <row r="145">
      <c r="A145" s="58" t="inlineStr">
        <is>
          <t>Chris Payton</t>
        </is>
      </c>
      <c r="B145" s="58" t="inlineStr">
        <is>
          <t>Qualifier</t>
        </is>
      </c>
      <c r="C145" s="58" t="inlineStr">
        <is>
          <t>DG Yuengling Inc</t>
        </is>
      </c>
      <c r="D145" s="58" t="inlineStr">
        <is>
          <t>Yuengling Lager</t>
        </is>
      </c>
      <c r="E145" s="53" t="n">
        <v>1787</v>
      </c>
      <c r="F145" s="53" t="n">
        <v>1897</v>
      </c>
      <c r="G145" s="55" t="n">
        <v>39626.05</v>
      </c>
      <c r="H145" s="55" t="n">
        <v>41223.15</v>
      </c>
      <c r="I145" s="55" t="n">
        <v>11004.22</v>
      </c>
      <c r="J145" s="55" t="n">
        <v>11203.72</v>
      </c>
      <c r="K145" s="53" t="n">
        <v>46</v>
      </c>
      <c r="L145" s="53" t="n">
        <v>47</v>
      </c>
      <c r="M145" s="53" t="n">
        <v>3</v>
      </c>
      <c r="N145" s="53" t="n">
        <v>37</v>
      </c>
      <c r="O145" s="53" t="n">
        <v>2</v>
      </c>
      <c r="P145" s="53" t="n">
        <v>24</v>
      </c>
    </row>
    <row r="146">
      <c r="A146" s="58" t="inlineStr">
        <is>
          <t>Chris Payton</t>
        </is>
      </c>
      <c r="B146" s="58" t="inlineStr">
        <is>
          <t>Qualifier</t>
        </is>
      </c>
      <c r="C146" s="58" t="inlineStr">
        <is>
          <t>Heineken USA</t>
        </is>
      </c>
      <c r="D146" s="58" t="inlineStr">
        <is>
          <t>Heineken USA</t>
        </is>
      </c>
      <c r="E146" s="53" t="n">
        <v>9291</v>
      </c>
      <c r="F146" s="53" t="n">
        <v>8870</v>
      </c>
      <c r="G146" s="55" t="n">
        <v>289980.0499999999</v>
      </c>
      <c r="H146" s="55" t="n">
        <v>274016.6</v>
      </c>
      <c r="I146" s="55" t="n">
        <v>69522.14999999999</v>
      </c>
      <c r="J146" s="55" t="n">
        <v>63569.25999999997</v>
      </c>
      <c r="K146" s="53" t="n">
        <v>55</v>
      </c>
      <c r="L146" s="53" t="n">
        <v>59</v>
      </c>
      <c r="M146" s="53" t="n">
        <v>6</v>
      </c>
      <c r="N146" s="53" t="n">
        <v>32</v>
      </c>
      <c r="O146" s="53" t="n">
        <v>2</v>
      </c>
      <c r="P146" s="53" t="n">
        <v>9</v>
      </c>
    </row>
    <row r="147">
      <c r="A147" s="58" t="inlineStr">
        <is>
          <t>Chris Payton</t>
        </is>
      </c>
      <c r="B147" s="58" t="inlineStr">
        <is>
          <t>Qualifier</t>
        </is>
      </c>
      <c r="C147" s="58" t="inlineStr">
        <is>
          <t>Mark Anthony</t>
        </is>
      </c>
      <c r="D147" s="58" t="inlineStr">
        <is>
          <t>White Claw</t>
        </is>
      </c>
      <c r="E147" s="53" t="n">
        <v>4787</v>
      </c>
      <c r="F147" s="53" t="n">
        <v>4203</v>
      </c>
      <c r="G147" s="55" t="n">
        <v>153152.4000000001</v>
      </c>
      <c r="H147" s="55" t="n">
        <v>138900.8</v>
      </c>
      <c r="I147" s="55" t="n">
        <v>33620.42999999999</v>
      </c>
      <c r="J147" s="55" t="n">
        <v>30326.53999999999</v>
      </c>
      <c r="K147" s="53" t="n">
        <v>46</v>
      </c>
      <c r="L147" s="53" t="n">
        <v>46</v>
      </c>
      <c r="M147" s="53" t="n">
        <v>4</v>
      </c>
      <c r="N147" s="53" t="n">
        <v>26</v>
      </c>
      <c r="O147" s="53" t="n">
        <v>4</v>
      </c>
      <c r="P147" s="53" t="n">
        <v>19</v>
      </c>
    </row>
    <row r="148">
      <c r="A148" s="58" t="inlineStr">
        <is>
          <t>Chris Payton</t>
        </is>
      </c>
      <c r="B148" s="58" t="inlineStr">
        <is>
          <t>Qualifier</t>
        </is>
      </c>
      <c r="C148" s="58" t="inlineStr">
        <is>
          <t>MolsonCoors Beverage Company</t>
        </is>
      </c>
      <c r="D148" s="58" t="inlineStr">
        <is>
          <t>Blue Moon</t>
        </is>
      </c>
      <c r="E148" s="53" t="n">
        <v>1526</v>
      </c>
      <c r="F148" s="53" t="n">
        <v>1416</v>
      </c>
      <c r="G148" s="55" t="n">
        <v>49009.55000000002</v>
      </c>
      <c r="H148" s="55" t="n">
        <v>45681.10000000001</v>
      </c>
      <c r="I148" s="55" t="n">
        <v>10925.13</v>
      </c>
      <c r="J148" s="55" t="n">
        <v>10320.97</v>
      </c>
      <c r="K148" s="53" t="n">
        <v>46</v>
      </c>
      <c r="L148" s="53" t="n">
        <v>48</v>
      </c>
      <c r="M148" s="53" t="n">
        <v>5</v>
      </c>
      <c r="N148" s="53" t="n">
        <v>13</v>
      </c>
      <c r="O148" s="53" t="n">
        <v>3</v>
      </c>
      <c r="P148" s="53" t="n">
        <v>18</v>
      </c>
    </row>
    <row r="149">
      <c r="A149" s="58" t="inlineStr">
        <is>
          <t>Chris Payton</t>
        </is>
      </c>
      <c r="B149" s="58" t="inlineStr">
        <is>
          <t>Qualifier</t>
        </is>
      </c>
      <c r="C149" s="58" t="inlineStr">
        <is>
          <t>MolsonCoors Beverage Company</t>
        </is>
      </c>
      <c r="D149" s="58" t="inlineStr">
        <is>
          <t>Coors Light</t>
        </is>
      </c>
      <c r="E149" s="53" t="n">
        <v>12732</v>
      </c>
      <c r="F149" s="53" t="n">
        <v>10714</v>
      </c>
      <c r="G149" s="55" t="n">
        <v>265163.3</v>
      </c>
      <c r="H149" s="55" t="n">
        <v>226936.25</v>
      </c>
      <c r="I149" s="55" t="n">
        <v>65843.69000000002</v>
      </c>
      <c r="J149" s="55" t="n">
        <v>56894.42999999999</v>
      </c>
      <c r="K149" s="53" t="n">
        <v>54</v>
      </c>
      <c r="L149" s="53" t="n">
        <v>58</v>
      </c>
      <c r="M149" s="53" t="n">
        <v>7</v>
      </c>
      <c r="N149" s="53" t="n">
        <v>38</v>
      </c>
      <c r="O149" s="53" t="n">
        <v>3</v>
      </c>
      <c r="P149" s="53" t="n">
        <v>21</v>
      </c>
    </row>
    <row r="150">
      <c r="A150" s="58" t="inlineStr">
        <is>
          <t>Chris Payton</t>
        </is>
      </c>
      <c r="B150" s="58" t="inlineStr">
        <is>
          <t>Qualifier</t>
        </is>
      </c>
      <c r="C150" s="58" t="inlineStr">
        <is>
          <t>MolsonCoors Beverage Company</t>
        </is>
      </c>
      <c r="D150" s="58" t="inlineStr">
        <is>
          <t>Lite</t>
        </is>
      </c>
      <c r="E150" s="53" t="n">
        <v>4678</v>
      </c>
      <c r="F150" s="53" t="n">
        <v>4622</v>
      </c>
      <c r="G150" s="55" t="n">
        <v>103051.6</v>
      </c>
      <c r="H150" s="55" t="n">
        <v>103383.1</v>
      </c>
      <c r="I150" s="55" t="n">
        <v>24749.07</v>
      </c>
      <c r="J150" s="55" t="n">
        <v>25184.58000000001</v>
      </c>
      <c r="K150" s="53" t="n">
        <v>48</v>
      </c>
      <c r="L150" s="53" t="n">
        <v>52</v>
      </c>
      <c r="M150" s="53" t="n">
        <v>5</v>
      </c>
      <c r="N150" s="53" t="n">
        <v>33</v>
      </c>
      <c r="O150" s="53" t="n">
        <v>1</v>
      </c>
      <c r="P150" s="53" t="n">
        <v>4</v>
      </c>
    </row>
    <row r="151">
      <c r="A151" s="58" t="inlineStr">
        <is>
          <t>Dan Lagala</t>
        </is>
      </c>
      <c r="B151" s="58" t="inlineStr">
        <is>
          <t>Amplify</t>
        </is>
      </c>
      <c r="C151" s="58" t="inlineStr">
        <is>
          <t>Bell's</t>
        </is>
      </c>
      <c r="D151" s="58" t="inlineStr">
        <is>
          <t>Bell's</t>
        </is>
      </c>
      <c r="E151" s="53" t="n">
        <v>1</v>
      </c>
      <c r="F151" s="53" t="n">
        <v>10</v>
      </c>
      <c r="G151" s="55" t="n">
        <v>35.6</v>
      </c>
      <c r="H151" s="55" t="n">
        <v>359.9</v>
      </c>
      <c r="I151" s="55" t="n">
        <v>10.98</v>
      </c>
      <c r="J151" s="55" t="n">
        <v>129.33</v>
      </c>
      <c r="K151" s="53" t="n">
        <v>1</v>
      </c>
      <c r="L151" s="53" t="n">
        <v>4</v>
      </c>
      <c r="M151" s="53" t="n">
        <v>3</v>
      </c>
      <c r="N151" s="53" t="n">
        <v>9</v>
      </c>
      <c r="O151" s="53" t="n">
        <v>0</v>
      </c>
      <c r="P151" s="53" t="n">
        <v>0</v>
      </c>
    </row>
    <row r="152">
      <c r="A152" s="58" t="inlineStr">
        <is>
          <t>Dan Lagala</t>
        </is>
      </c>
      <c r="B152" s="58" t="inlineStr">
        <is>
          <t>Amplify</t>
        </is>
      </c>
      <c r="C152" s="58" t="inlineStr">
        <is>
          <t>Boston Beer Company</t>
        </is>
      </c>
      <c r="D152" s="58" t="inlineStr">
        <is>
          <t>Dogfish Head Beer</t>
        </is>
      </c>
      <c r="E152" s="53" t="n">
        <v>309</v>
      </c>
      <c r="F152" s="53" t="n">
        <v>285</v>
      </c>
      <c r="G152" s="55" t="n">
        <v>12156</v>
      </c>
      <c r="H152" s="55" t="n">
        <v>10919.4</v>
      </c>
      <c r="I152" s="55" t="n">
        <v>3304.76</v>
      </c>
      <c r="J152" s="55" t="n">
        <v>2943.25</v>
      </c>
      <c r="K152" s="53" t="n">
        <v>36</v>
      </c>
      <c r="L152" s="53" t="n">
        <v>25</v>
      </c>
      <c r="M152" s="53" t="n">
        <v>3</v>
      </c>
      <c r="N152" s="53" t="n">
        <v>19</v>
      </c>
      <c r="O152" s="53" t="n">
        <v>14</v>
      </c>
      <c r="P152" s="53" t="n">
        <v>74</v>
      </c>
    </row>
    <row r="153">
      <c r="A153" s="58" t="inlineStr">
        <is>
          <t>Dan Lagala</t>
        </is>
      </c>
      <c r="B153" s="58" t="inlineStr">
        <is>
          <t>Amplify</t>
        </is>
      </c>
      <c r="C153" s="58" t="inlineStr">
        <is>
          <t>Boston Beer Company</t>
        </is>
      </c>
      <c r="D153" s="58" t="inlineStr">
        <is>
          <t>Dogfish Head Spirits</t>
        </is>
      </c>
      <c r="E153" s="53" t="n">
        <v>0</v>
      </c>
      <c r="F153" s="53" t="n">
        <v>19</v>
      </c>
      <c r="G153" s="55" t="n">
        <v>0</v>
      </c>
      <c r="H153" s="55" t="n">
        <v>963</v>
      </c>
      <c r="I153" s="55" t="n">
        <v>0</v>
      </c>
      <c r="J153" s="55" t="n">
        <v>334.52</v>
      </c>
      <c r="K153" s="53" t="n">
        <v>0</v>
      </c>
      <c r="L153" s="53" t="n">
        <v>3</v>
      </c>
      <c r="M153" s="53" t="n">
        <v>3</v>
      </c>
      <c r="N153" s="53" t="n">
        <v>21</v>
      </c>
      <c r="O153" s="53" t="n">
        <v>0</v>
      </c>
      <c r="P153" s="53" t="n">
        <v>0</v>
      </c>
    </row>
    <row r="154">
      <c r="A154" s="58" t="inlineStr">
        <is>
          <t>Dan Lagala</t>
        </is>
      </c>
      <c r="B154" s="58" t="inlineStr">
        <is>
          <t>Amplify</t>
        </is>
      </c>
      <c r="C154" s="58" t="inlineStr">
        <is>
          <t>Cape May</t>
        </is>
      </c>
      <c r="D154" s="58" t="inlineStr">
        <is>
          <t>Cape May</t>
        </is>
      </c>
      <c r="E154" s="53" t="n">
        <v>148</v>
      </c>
      <c r="F154" s="53" t="n">
        <v>82</v>
      </c>
      <c r="G154" s="55" t="n">
        <v>5803.4</v>
      </c>
      <c r="H154" s="55" t="n">
        <v>3396</v>
      </c>
      <c r="I154" s="55" t="n">
        <v>1713.87</v>
      </c>
      <c r="J154" s="55" t="n">
        <v>1053.94</v>
      </c>
      <c r="K154" s="53" t="n">
        <v>9</v>
      </c>
      <c r="L154" s="53" t="n">
        <v>11</v>
      </c>
      <c r="M154" s="53" t="n">
        <v>4</v>
      </c>
      <c r="N154" s="53" t="n">
        <v>18</v>
      </c>
      <c r="O154" s="53" t="n">
        <v>2</v>
      </c>
      <c r="P154" s="53" t="n">
        <v>31</v>
      </c>
    </row>
    <row r="155">
      <c r="A155" s="58" t="inlineStr">
        <is>
          <t>Dan Lagala</t>
        </is>
      </c>
      <c r="B155" s="58" t="inlineStr">
        <is>
          <t>Amplify</t>
        </is>
      </c>
      <c r="C155" s="58" t="inlineStr">
        <is>
          <t>Constellation Brands</t>
        </is>
      </c>
      <c r="D155" s="58" t="inlineStr">
        <is>
          <t>Corona Premier</t>
        </is>
      </c>
      <c r="E155" s="53" t="n">
        <v>313</v>
      </c>
      <c r="F155" s="53" t="n">
        <v>251</v>
      </c>
      <c r="G155" s="55" t="n">
        <v>9863.049999999999</v>
      </c>
      <c r="H155" s="55" t="n">
        <v>7080.949999999999</v>
      </c>
      <c r="I155" s="55" t="n">
        <v>2037.19</v>
      </c>
      <c r="J155" s="55" t="n">
        <v>1899.71</v>
      </c>
      <c r="K155" s="53" t="n">
        <v>22</v>
      </c>
      <c r="L155" s="53" t="n">
        <v>28</v>
      </c>
      <c r="M155" s="53" t="n">
        <v>6</v>
      </c>
      <c r="N155" s="53" t="n">
        <v>25</v>
      </c>
      <c r="O155" s="53" t="n">
        <v>0</v>
      </c>
      <c r="P155" s="53" t="n">
        <v>0</v>
      </c>
    </row>
    <row r="156">
      <c r="A156" s="58" t="inlineStr">
        <is>
          <t>Dan Lagala</t>
        </is>
      </c>
      <c r="B156" s="58" t="inlineStr">
        <is>
          <t>Amplify</t>
        </is>
      </c>
      <c r="C156" s="58" t="inlineStr">
        <is>
          <t>Constellation Brands</t>
        </is>
      </c>
      <c r="D156" s="58" t="inlineStr">
        <is>
          <t>Modelo Chelada</t>
        </is>
      </c>
      <c r="E156" s="53" t="n">
        <v>2985</v>
      </c>
      <c r="F156" s="53" t="n">
        <v>3729</v>
      </c>
      <c r="G156" s="55" t="n">
        <v>92860.84999999998</v>
      </c>
      <c r="H156" s="55" t="n">
        <v>115203.8</v>
      </c>
      <c r="I156" s="55" t="n">
        <v>24377.03</v>
      </c>
      <c r="J156" s="55" t="n">
        <v>30019.49000000001</v>
      </c>
      <c r="K156" s="53" t="n">
        <v>41</v>
      </c>
      <c r="L156" s="53" t="n">
        <v>39</v>
      </c>
      <c r="M156" s="53" t="n">
        <v>1</v>
      </c>
      <c r="N156" s="53" t="n">
        <v>2</v>
      </c>
      <c r="O156" s="53" t="n">
        <v>3</v>
      </c>
      <c r="P156" s="53" t="n">
        <v>39</v>
      </c>
    </row>
    <row r="157">
      <c r="A157" s="58" t="inlineStr">
        <is>
          <t>Dan Lagala</t>
        </is>
      </c>
      <c r="B157" s="58" t="inlineStr">
        <is>
          <t>Amplify</t>
        </is>
      </c>
      <c r="C157" s="58" t="inlineStr">
        <is>
          <t>Constellation Brands</t>
        </is>
      </c>
      <c r="D157" s="58" t="inlineStr">
        <is>
          <t>Pacifico</t>
        </is>
      </c>
      <c r="E157" s="53" t="n">
        <v>185</v>
      </c>
      <c r="F157" s="53" t="n">
        <v>341</v>
      </c>
      <c r="G157" s="55" t="n">
        <v>5861.55</v>
      </c>
      <c r="H157" s="55" t="n">
        <v>10746.2</v>
      </c>
      <c r="I157" s="55" t="n">
        <v>1401</v>
      </c>
      <c r="J157" s="55" t="n">
        <v>2600.64</v>
      </c>
      <c r="K157" s="53" t="n">
        <v>21</v>
      </c>
      <c r="L157" s="53" t="n">
        <v>25</v>
      </c>
      <c r="M157" s="53" t="n">
        <v>8</v>
      </c>
      <c r="N157" s="53" t="n">
        <v>47</v>
      </c>
      <c r="O157" s="53" t="n">
        <v>4</v>
      </c>
      <c r="P157" s="53" t="n">
        <v>14</v>
      </c>
    </row>
    <row r="158">
      <c r="A158" s="58" t="inlineStr">
        <is>
          <t>Dan Lagala</t>
        </is>
      </c>
      <c r="B158" s="58" t="inlineStr">
        <is>
          <t>Amplify</t>
        </is>
      </c>
      <c r="C158" s="58" t="inlineStr">
        <is>
          <t>Constellation Brands</t>
        </is>
      </c>
      <c r="D158" s="58" t="inlineStr">
        <is>
          <t>Victoria</t>
        </is>
      </c>
      <c r="E158" s="53" t="n">
        <v>229</v>
      </c>
      <c r="F158" s="53" t="n">
        <v>295</v>
      </c>
      <c r="G158" s="55" t="n">
        <v>7027.6</v>
      </c>
      <c r="H158" s="55" t="n">
        <v>8998.300000000001</v>
      </c>
      <c r="I158" s="55" t="n">
        <v>1669.13</v>
      </c>
      <c r="J158" s="55" t="n">
        <v>2193.16</v>
      </c>
      <c r="K158" s="53" t="n">
        <v>21</v>
      </c>
      <c r="L158" s="53" t="n">
        <v>22</v>
      </c>
      <c r="M158" s="53" t="n">
        <v>2</v>
      </c>
      <c r="N158" s="53" t="n">
        <v>39</v>
      </c>
      <c r="O158" s="53" t="n">
        <v>1</v>
      </c>
      <c r="P158" s="53" t="n">
        <v>10</v>
      </c>
    </row>
    <row r="159">
      <c r="A159" s="58" t="inlineStr">
        <is>
          <t>Dan Lagala</t>
        </is>
      </c>
      <c r="B159" s="58" t="inlineStr">
        <is>
          <t>Amplify</t>
        </is>
      </c>
      <c r="C159" s="58" t="inlineStr">
        <is>
          <t>DG Yuengling Inc</t>
        </is>
      </c>
      <c r="D159" s="58" t="inlineStr">
        <is>
          <t>Yuengling Flight</t>
        </is>
      </c>
      <c r="E159" s="53" t="n">
        <v>39</v>
      </c>
      <c r="F159" s="53" t="n">
        <v>50</v>
      </c>
      <c r="G159" s="55" t="n">
        <v>686.5500000000001</v>
      </c>
      <c r="H159" s="55" t="n">
        <v>926.6</v>
      </c>
      <c r="I159" s="55" t="n">
        <v>131.35</v>
      </c>
      <c r="J159" s="55" t="n">
        <v>210.31</v>
      </c>
      <c r="K159" s="53" t="n">
        <v>4</v>
      </c>
      <c r="L159" s="53" t="n">
        <v>7</v>
      </c>
      <c r="M159" s="53" t="n">
        <v>4</v>
      </c>
      <c r="N159" s="53" t="n">
        <v>8</v>
      </c>
      <c r="O159" s="53" t="n">
        <v>1</v>
      </c>
      <c r="P159" s="53" t="n">
        <v>3</v>
      </c>
    </row>
    <row r="160">
      <c r="A160" s="58" t="inlineStr">
        <is>
          <t>Dan Lagala</t>
        </is>
      </c>
      <c r="B160" s="58" t="inlineStr">
        <is>
          <t>Amplify</t>
        </is>
      </c>
      <c r="C160" s="58" t="inlineStr">
        <is>
          <t>DG Yuengling Inc</t>
        </is>
      </c>
      <c r="D160" s="58" t="inlineStr">
        <is>
          <t>Yuengling Light Lager</t>
        </is>
      </c>
      <c r="E160" s="53" t="n">
        <v>9</v>
      </c>
      <c r="F160" s="53" t="n">
        <v>14</v>
      </c>
      <c r="G160" s="55" t="n">
        <v>246</v>
      </c>
      <c r="H160" s="55" t="n">
        <v>376</v>
      </c>
      <c r="I160" s="55" t="n">
        <v>73.91</v>
      </c>
      <c r="J160" s="55" t="n">
        <v>114.45</v>
      </c>
      <c r="K160" s="53" t="n">
        <v>3</v>
      </c>
      <c r="L160" s="53" t="n">
        <v>4</v>
      </c>
      <c r="M160" s="53" t="n">
        <v>2</v>
      </c>
      <c r="N160" s="53" t="n">
        <v>3</v>
      </c>
      <c r="O160" s="53" t="n">
        <v>1</v>
      </c>
      <c r="P160" s="53" t="n">
        <v>2</v>
      </c>
    </row>
    <row r="161">
      <c r="A161" s="58" t="inlineStr">
        <is>
          <t>Dan Lagala</t>
        </is>
      </c>
      <c r="B161" s="58" t="inlineStr">
        <is>
          <t>Amplify</t>
        </is>
      </c>
      <c r="C161" s="58" t="inlineStr">
        <is>
          <t>Heineken USA</t>
        </is>
      </c>
      <c r="D161" s="58" t="inlineStr">
        <is>
          <t>Heineken 0.0</t>
        </is>
      </c>
      <c r="E161" s="53" t="n">
        <v>392</v>
      </c>
      <c r="F161" s="53" t="n">
        <v>431</v>
      </c>
      <c r="G161" s="55" t="n">
        <v>13151.8</v>
      </c>
      <c r="H161" s="55" t="n">
        <v>14501.35</v>
      </c>
      <c r="I161" s="55" t="n">
        <v>3597.53</v>
      </c>
      <c r="J161" s="55" t="n">
        <v>3943.710000000001</v>
      </c>
      <c r="K161" s="53" t="n">
        <v>47</v>
      </c>
      <c r="L161" s="53" t="n">
        <v>43</v>
      </c>
      <c r="M161" s="53" t="n">
        <v>10</v>
      </c>
      <c r="N161" s="53" t="n">
        <v>74</v>
      </c>
      <c r="O161" s="53" t="n">
        <v>14</v>
      </c>
      <c r="P161" s="53" t="n">
        <v>38</v>
      </c>
    </row>
    <row r="162">
      <c r="A162" s="58" t="inlineStr">
        <is>
          <t>Dan Lagala</t>
        </is>
      </c>
      <c r="B162" s="58" t="inlineStr">
        <is>
          <t>Amplify</t>
        </is>
      </c>
      <c r="C162" s="58" t="inlineStr">
        <is>
          <t>Heineken USA</t>
        </is>
      </c>
      <c r="D162" s="58" t="inlineStr">
        <is>
          <t>Heineken Light</t>
        </is>
      </c>
      <c r="E162" s="53" t="n">
        <v>245</v>
      </c>
      <c r="F162" s="53" t="n">
        <v>240</v>
      </c>
      <c r="G162" s="55" t="n">
        <v>7771.9</v>
      </c>
      <c r="H162" s="55" t="n">
        <v>7583.95</v>
      </c>
      <c r="I162" s="55" t="n">
        <v>1945.35</v>
      </c>
      <c r="J162" s="55" t="n">
        <v>1876.29</v>
      </c>
      <c r="K162" s="53" t="n">
        <v>27</v>
      </c>
      <c r="L162" s="53" t="n">
        <v>23</v>
      </c>
      <c r="M162" s="53" t="n">
        <v>4</v>
      </c>
      <c r="N162" s="53" t="n">
        <v>21</v>
      </c>
      <c r="O162" s="53" t="n">
        <v>8</v>
      </c>
      <c r="P162" s="53" t="n">
        <v>33</v>
      </c>
    </row>
    <row r="163">
      <c r="A163" s="58" t="inlineStr">
        <is>
          <t>Dan Lagala</t>
        </is>
      </c>
      <c r="B163" s="58" t="inlineStr">
        <is>
          <t>Amplify</t>
        </is>
      </c>
      <c r="C163" s="58" t="inlineStr">
        <is>
          <t>Mark Anthony</t>
        </is>
      </c>
      <c r="D163" s="58" t="inlineStr">
        <is>
          <t>Cayman Jack</t>
        </is>
      </c>
      <c r="E163" s="53" t="n">
        <v>163</v>
      </c>
      <c r="F163" s="53" t="n">
        <v>202</v>
      </c>
      <c r="G163" s="55" t="n">
        <v>5383.25</v>
      </c>
      <c r="H163" s="55" t="n">
        <v>6626</v>
      </c>
      <c r="I163" s="55" t="n">
        <v>1409.34</v>
      </c>
      <c r="J163" s="55" t="n">
        <v>1676.38</v>
      </c>
      <c r="K163" s="53" t="n">
        <v>10</v>
      </c>
      <c r="L163" s="53" t="n">
        <v>13</v>
      </c>
      <c r="M163" s="53" t="n">
        <v>5</v>
      </c>
      <c r="N163" s="53" t="n">
        <v>36</v>
      </c>
      <c r="O163" s="53" t="n">
        <v>2</v>
      </c>
      <c r="P163" s="53" t="n">
        <v>10</v>
      </c>
    </row>
    <row r="164">
      <c r="A164" s="58" t="inlineStr">
        <is>
          <t>Dan Lagala</t>
        </is>
      </c>
      <c r="B164" s="58" t="inlineStr">
        <is>
          <t>Amplify</t>
        </is>
      </c>
      <c r="C164" s="58" t="inlineStr">
        <is>
          <t>Mark Anthony</t>
        </is>
      </c>
      <c r="D164" s="58" t="inlineStr">
        <is>
          <t>Mike's Harder</t>
        </is>
      </c>
      <c r="E164" s="53" t="n">
        <v>55</v>
      </c>
      <c r="F164" s="53" t="n">
        <v>33</v>
      </c>
      <c r="G164" s="55" t="n">
        <v>1505</v>
      </c>
      <c r="H164" s="55" t="n">
        <v>968</v>
      </c>
      <c r="I164" s="55" t="n">
        <v>341.5</v>
      </c>
      <c r="J164" s="55" t="n">
        <v>209.32</v>
      </c>
      <c r="K164" s="53" t="n">
        <v>7</v>
      </c>
      <c r="L164" s="53" t="n">
        <v>5</v>
      </c>
      <c r="M164" s="53" t="n">
        <v>3</v>
      </c>
      <c r="N164" s="53" t="n">
        <v>25</v>
      </c>
      <c r="O164" s="53" t="n">
        <v>5</v>
      </c>
      <c r="P164" s="53" t="n">
        <v>44</v>
      </c>
    </row>
    <row r="165">
      <c r="A165" s="58" t="inlineStr">
        <is>
          <t>Dan Lagala</t>
        </is>
      </c>
      <c r="B165" s="58" t="inlineStr">
        <is>
          <t>Amplify</t>
        </is>
      </c>
      <c r="C165" s="58" t="inlineStr">
        <is>
          <t>MolsonCoors Beverage Company</t>
        </is>
      </c>
      <c r="D165" s="58" t="inlineStr">
        <is>
          <t>Coors</t>
        </is>
      </c>
      <c r="E165" s="53" t="n">
        <v>778</v>
      </c>
      <c r="F165" s="53" t="n">
        <v>902</v>
      </c>
      <c r="G165" s="55" t="n">
        <v>14587.25</v>
      </c>
      <c r="H165" s="55" t="n">
        <v>18563.25</v>
      </c>
      <c r="I165" s="55" t="n">
        <v>3155.59</v>
      </c>
      <c r="J165" s="55" t="n">
        <v>4442.27</v>
      </c>
      <c r="K165" s="53" t="n">
        <v>30</v>
      </c>
      <c r="L165" s="53" t="n">
        <v>26</v>
      </c>
      <c r="M165" s="53" t="n">
        <v>1</v>
      </c>
      <c r="N165" s="53" t="n">
        <v>9</v>
      </c>
      <c r="O165" s="53" t="n">
        <v>5</v>
      </c>
      <c r="P165" s="53" t="n">
        <v>60</v>
      </c>
    </row>
    <row r="166">
      <c r="A166" s="58" t="inlineStr">
        <is>
          <t>Dan Lagala</t>
        </is>
      </c>
      <c r="B166" s="58" t="inlineStr">
        <is>
          <t>Amplify</t>
        </is>
      </c>
      <c r="C166" s="58" t="inlineStr">
        <is>
          <t>MolsonCoors Beverage Company</t>
        </is>
      </c>
      <c r="D166" s="58" t="inlineStr">
        <is>
          <t>Fever Tree</t>
        </is>
      </c>
      <c r="E166" s="53" t="n">
        <v>81</v>
      </c>
      <c r="F166" s="53" t="n">
        <v>66</v>
      </c>
      <c r="G166" s="55" t="n">
        <v>3412</v>
      </c>
      <c r="H166" s="55" t="n">
        <v>2783.5</v>
      </c>
      <c r="I166" s="55" t="n">
        <v>981.5700000000001</v>
      </c>
      <c r="J166" s="55" t="n">
        <v>802.5899999999999</v>
      </c>
      <c r="K166" s="53" t="n">
        <v>12</v>
      </c>
      <c r="L166" s="53" t="n">
        <v>12</v>
      </c>
      <c r="M166" s="53" t="n">
        <v>3</v>
      </c>
      <c r="N166" s="53" t="n">
        <v>5</v>
      </c>
      <c r="O166" s="53" t="n">
        <v>3</v>
      </c>
      <c r="P166" s="53" t="n">
        <v>12</v>
      </c>
    </row>
    <row r="167">
      <c r="A167" s="58" t="inlineStr">
        <is>
          <t>Dan Lagala</t>
        </is>
      </c>
      <c r="B167" s="58" t="inlineStr">
        <is>
          <t>Amplify</t>
        </is>
      </c>
      <c r="C167" s="58" t="inlineStr">
        <is>
          <t>MolsonCoors Beverage Company</t>
        </is>
      </c>
      <c r="D167" s="58" t="inlineStr">
        <is>
          <t>Peroni</t>
        </is>
      </c>
      <c r="E167" s="53" t="n">
        <v>785</v>
      </c>
      <c r="F167" s="53" t="n">
        <v>875</v>
      </c>
      <c r="G167" s="55" t="n">
        <v>27287.35000000001</v>
      </c>
      <c r="H167" s="55" t="n">
        <v>29833.5</v>
      </c>
      <c r="I167" s="55" t="n">
        <v>5686.660000000002</v>
      </c>
      <c r="J167" s="55" t="n">
        <v>6264.229999999999</v>
      </c>
      <c r="K167" s="53" t="n">
        <v>39</v>
      </c>
      <c r="L167" s="53" t="n">
        <v>41</v>
      </c>
      <c r="M167" s="53" t="n">
        <v>5</v>
      </c>
      <c r="N167" s="53" t="n">
        <v>101</v>
      </c>
      <c r="O167" s="53" t="n">
        <v>3</v>
      </c>
      <c r="P167" s="53" t="n">
        <v>52</v>
      </c>
    </row>
    <row r="168">
      <c r="A168" s="58" t="inlineStr">
        <is>
          <t>Dan Lagala</t>
        </is>
      </c>
      <c r="B168" s="58" t="inlineStr">
        <is>
          <t>Amplify</t>
        </is>
      </c>
      <c r="C168" s="58" t="inlineStr">
        <is>
          <t>New Belgium Brewing Company</t>
        </is>
      </c>
      <c r="D168" s="58" t="inlineStr">
        <is>
          <t>Fat Tire Family</t>
        </is>
      </c>
      <c r="E168" s="53" t="n">
        <v>49</v>
      </c>
      <c r="F168" s="53" t="n">
        <v>43</v>
      </c>
      <c r="G168" s="55" t="n">
        <v>1678.45</v>
      </c>
      <c r="H168" s="55" t="n">
        <v>1305</v>
      </c>
      <c r="I168" s="55" t="n">
        <v>466.47</v>
      </c>
      <c r="J168" s="55" t="n">
        <v>334.16</v>
      </c>
      <c r="K168" s="53" t="n">
        <v>12</v>
      </c>
      <c r="L168" s="53" t="n">
        <v>12</v>
      </c>
      <c r="M168" s="53" t="n">
        <v>4</v>
      </c>
      <c r="N168" s="53" t="n">
        <v>9</v>
      </c>
      <c r="O168" s="53" t="n">
        <v>4</v>
      </c>
      <c r="P168" s="53" t="n">
        <v>12</v>
      </c>
    </row>
    <row r="169">
      <c r="A169" s="58" t="inlineStr">
        <is>
          <t>Dan Lagala</t>
        </is>
      </c>
      <c r="B169" s="58" t="inlineStr">
        <is>
          <t>Amplify</t>
        </is>
      </c>
      <c r="C169" s="58" t="inlineStr">
        <is>
          <t>New Belgium Brewing Company</t>
        </is>
      </c>
      <c r="D169" s="58" t="inlineStr">
        <is>
          <t>Kirin Ichiban</t>
        </is>
      </c>
      <c r="E169" s="53" t="n">
        <v>1365</v>
      </c>
      <c r="F169" s="53" t="n">
        <v>1621</v>
      </c>
      <c r="G169" s="55" t="n">
        <v>32160.9</v>
      </c>
      <c r="H169" s="55" t="n">
        <v>37051.1</v>
      </c>
      <c r="I169" s="55" t="n">
        <v>5067.02</v>
      </c>
      <c r="J169" s="55" t="n">
        <v>7548.479999999999</v>
      </c>
      <c r="K169" s="53" t="n">
        <v>11</v>
      </c>
      <c r="L169" s="53" t="n">
        <v>15</v>
      </c>
      <c r="M169" s="53" t="n">
        <v>5</v>
      </c>
      <c r="N169" s="53" t="n">
        <v>35</v>
      </c>
      <c r="O169" s="53" t="n">
        <v>1</v>
      </c>
      <c r="P169" s="53" t="n">
        <v>1</v>
      </c>
    </row>
    <row r="170">
      <c r="A170" s="58" t="inlineStr">
        <is>
          <t>Dan Lagala</t>
        </is>
      </c>
      <c r="B170" s="58" t="inlineStr">
        <is>
          <t>Amplify</t>
        </is>
      </c>
      <c r="C170" s="58" t="inlineStr">
        <is>
          <t>New Belgium Brewing Company</t>
        </is>
      </c>
      <c r="D170" s="58" t="inlineStr">
        <is>
          <t>Voodoo Family</t>
        </is>
      </c>
      <c r="E170" s="53" t="n">
        <v>517</v>
      </c>
      <c r="F170" s="53" t="n">
        <v>491</v>
      </c>
      <c r="G170" s="55" t="n">
        <v>19123</v>
      </c>
      <c r="H170" s="55" t="n">
        <v>17968</v>
      </c>
      <c r="I170" s="55" t="n">
        <v>4563.559999999999</v>
      </c>
      <c r="J170" s="55" t="n">
        <v>4481.31</v>
      </c>
      <c r="K170" s="53" t="n">
        <v>29</v>
      </c>
      <c r="L170" s="53" t="n">
        <v>28</v>
      </c>
      <c r="M170" s="53" t="n">
        <v>6</v>
      </c>
      <c r="N170" s="53" t="n">
        <v>25</v>
      </c>
      <c r="O170" s="53" t="n">
        <v>7</v>
      </c>
      <c r="P170" s="53" t="n">
        <v>26</v>
      </c>
    </row>
    <row r="171">
      <c r="A171" s="58" t="inlineStr">
        <is>
          <t>Dan Lagala</t>
        </is>
      </c>
      <c r="B171" s="58" t="inlineStr">
        <is>
          <t>Amplify</t>
        </is>
      </c>
      <c r="C171" s="58" t="inlineStr">
        <is>
          <t>Sapporo</t>
        </is>
      </c>
      <c r="D171" s="58" t="inlineStr">
        <is>
          <t>Sapporo</t>
        </is>
      </c>
      <c r="E171" s="53" t="n">
        <v>2086</v>
      </c>
      <c r="F171" s="53" t="n">
        <v>2898</v>
      </c>
      <c r="G171" s="55" t="n">
        <v>56280.25</v>
      </c>
      <c r="H171" s="55" t="n">
        <v>76894.75</v>
      </c>
      <c r="I171" s="55" t="n">
        <v>14288.89</v>
      </c>
      <c r="J171" s="55" t="n">
        <v>19190.57</v>
      </c>
      <c r="K171" s="53" t="n">
        <v>48</v>
      </c>
      <c r="L171" s="53" t="n">
        <v>44</v>
      </c>
      <c r="M171" s="53" t="n">
        <v>4</v>
      </c>
      <c r="N171" s="53" t="n">
        <v>146</v>
      </c>
      <c r="O171" s="53" t="n">
        <v>8</v>
      </c>
      <c r="P171" s="53" t="n">
        <v>138</v>
      </c>
    </row>
    <row r="172">
      <c r="A172" s="58" t="inlineStr">
        <is>
          <t>Dan Lagala</t>
        </is>
      </c>
      <c r="B172" s="58" t="inlineStr">
        <is>
          <t>Qualifier</t>
        </is>
      </c>
      <c r="C172" s="58" t="inlineStr">
        <is>
          <t>Boston Beer Company</t>
        </is>
      </c>
      <c r="D172" s="58" t="inlineStr">
        <is>
          <t>Truly</t>
        </is>
      </c>
      <c r="E172" s="53" t="n">
        <v>261</v>
      </c>
      <c r="F172" s="53" t="n">
        <v>184</v>
      </c>
      <c r="G172" s="55" t="n">
        <v>7658</v>
      </c>
      <c r="H172" s="55" t="n">
        <v>5581.4</v>
      </c>
      <c r="I172" s="55" t="n">
        <v>1798.25</v>
      </c>
      <c r="J172" s="55" t="n">
        <v>1416.01</v>
      </c>
      <c r="K172" s="53" t="n">
        <v>12</v>
      </c>
      <c r="L172" s="53" t="n">
        <v>7</v>
      </c>
      <c r="M172" s="53" t="n">
        <v>0</v>
      </c>
      <c r="N172" s="53" t="n">
        <v>0</v>
      </c>
      <c r="O172" s="53" t="n">
        <v>5</v>
      </c>
      <c r="P172" s="53" t="n">
        <v>38</v>
      </c>
    </row>
    <row r="173">
      <c r="A173" s="58" t="inlineStr">
        <is>
          <t>Dan Lagala</t>
        </is>
      </c>
      <c r="B173" s="58" t="inlineStr">
        <is>
          <t>Qualifier</t>
        </is>
      </c>
      <c r="C173" s="58" t="inlineStr">
        <is>
          <t>Boston Beer Company</t>
        </is>
      </c>
      <c r="D173" s="58" t="inlineStr">
        <is>
          <t>Twisted Tea</t>
        </is>
      </c>
      <c r="E173" s="53" t="n">
        <v>625</v>
      </c>
      <c r="F173" s="53" t="n">
        <v>435</v>
      </c>
      <c r="G173" s="55" t="n">
        <v>18827.25</v>
      </c>
      <c r="H173" s="55" t="n">
        <v>13217.5</v>
      </c>
      <c r="I173" s="55" t="n">
        <v>5108.599999999999</v>
      </c>
      <c r="J173" s="55" t="n">
        <v>3677.630000000001</v>
      </c>
      <c r="K173" s="53" t="n">
        <v>32</v>
      </c>
      <c r="L173" s="53" t="n">
        <v>27</v>
      </c>
      <c r="M173" s="53" t="n">
        <v>1</v>
      </c>
      <c r="N173" s="53" t="n">
        <v>13</v>
      </c>
      <c r="O173" s="53" t="n">
        <v>6</v>
      </c>
      <c r="P173" s="53" t="n">
        <v>50</v>
      </c>
    </row>
    <row r="174">
      <c r="A174" s="58" t="inlineStr">
        <is>
          <t>Dan Lagala</t>
        </is>
      </c>
      <c r="B174" s="58" t="inlineStr">
        <is>
          <t>Qualifier</t>
        </is>
      </c>
      <c r="C174" s="58" t="inlineStr">
        <is>
          <t>Constellation Brands</t>
        </is>
      </c>
      <c r="D174" s="58" t="inlineStr">
        <is>
          <t>Corona Extra</t>
        </is>
      </c>
      <c r="E174" s="53" t="n">
        <v>24370</v>
      </c>
      <c r="F174" s="53" t="n">
        <v>21686</v>
      </c>
      <c r="G174" s="55" t="n">
        <v>773510.7</v>
      </c>
      <c r="H174" s="55" t="n">
        <v>691251.9500000002</v>
      </c>
      <c r="I174" s="55" t="n">
        <v>185161.1499999999</v>
      </c>
      <c r="J174" s="55" t="n">
        <v>169919.79</v>
      </c>
      <c r="K174" s="53" t="n">
        <v>85</v>
      </c>
      <c r="L174" s="53" t="n">
        <v>83</v>
      </c>
      <c r="M174" s="53" t="n">
        <v>9</v>
      </c>
      <c r="N174" s="53" t="n">
        <v>169</v>
      </c>
      <c r="O174" s="53" t="n">
        <v>11</v>
      </c>
      <c r="P174" s="53" t="n">
        <v>597</v>
      </c>
    </row>
    <row r="175">
      <c r="A175" s="58" t="inlineStr">
        <is>
          <t>Dan Lagala</t>
        </is>
      </c>
      <c r="B175" s="58" t="inlineStr">
        <is>
          <t>Qualifier</t>
        </is>
      </c>
      <c r="C175" s="58" t="inlineStr">
        <is>
          <t>Constellation Brands</t>
        </is>
      </c>
      <c r="D175" s="58" t="inlineStr">
        <is>
          <t>Modelo Especial</t>
        </is>
      </c>
      <c r="E175" s="53" t="n">
        <v>22416</v>
      </c>
      <c r="F175" s="53" t="n">
        <v>23043</v>
      </c>
      <c r="G175" s="55" t="n">
        <v>680605.6</v>
      </c>
      <c r="H175" s="55" t="n">
        <v>697458.2500000001</v>
      </c>
      <c r="I175" s="55" t="n">
        <v>151548.58</v>
      </c>
      <c r="J175" s="55" t="n">
        <v>163122.1500000001</v>
      </c>
      <c r="K175" s="53" t="n">
        <v>66</v>
      </c>
      <c r="L175" s="53" t="n">
        <v>67</v>
      </c>
      <c r="M175" s="53" t="n">
        <v>9</v>
      </c>
      <c r="N175" s="53" t="n">
        <v>269</v>
      </c>
      <c r="O175" s="53" t="n">
        <v>8</v>
      </c>
      <c r="P175" s="53" t="n">
        <v>520</v>
      </c>
    </row>
    <row r="176">
      <c r="A176" s="58" t="inlineStr">
        <is>
          <t>Dan Lagala</t>
        </is>
      </c>
      <c r="B176" s="58" t="inlineStr">
        <is>
          <t>Qualifier</t>
        </is>
      </c>
      <c r="C176" s="58" t="inlineStr">
        <is>
          <t>DG Yuengling Inc</t>
        </is>
      </c>
      <c r="D176" s="58" t="inlineStr">
        <is>
          <t>Yuengling Lager</t>
        </is>
      </c>
      <c r="E176" s="53" t="n">
        <v>1220</v>
      </c>
      <c r="F176" s="53" t="n">
        <v>1083</v>
      </c>
      <c r="G176" s="55" t="n">
        <v>25824.1</v>
      </c>
      <c r="H176" s="55" t="n">
        <v>23254.85</v>
      </c>
      <c r="I176" s="55" t="n">
        <v>7207.98</v>
      </c>
      <c r="J176" s="55" t="n">
        <v>6442.260000000002</v>
      </c>
      <c r="K176" s="53" t="n">
        <v>42</v>
      </c>
      <c r="L176" s="53" t="n">
        <v>41</v>
      </c>
      <c r="M176" s="53" t="n">
        <v>6</v>
      </c>
      <c r="N176" s="53" t="n">
        <v>48</v>
      </c>
      <c r="O176" s="53" t="n">
        <v>7</v>
      </c>
      <c r="P176" s="53" t="n">
        <v>90</v>
      </c>
    </row>
    <row r="177">
      <c r="A177" s="58" t="inlineStr">
        <is>
          <t>Dan Lagala</t>
        </is>
      </c>
      <c r="B177" s="58" t="inlineStr">
        <is>
          <t>Qualifier</t>
        </is>
      </c>
      <c r="C177" s="58" t="inlineStr">
        <is>
          <t>Heineken USA</t>
        </is>
      </c>
      <c r="D177" s="58" t="inlineStr">
        <is>
          <t>Heineken USA</t>
        </is>
      </c>
      <c r="E177" s="53" t="n">
        <v>11042</v>
      </c>
      <c r="F177" s="53" t="n">
        <v>9091</v>
      </c>
      <c r="G177" s="55" t="n">
        <v>337551</v>
      </c>
      <c r="H177" s="55" t="n">
        <v>277293.45</v>
      </c>
      <c r="I177" s="55" t="n">
        <v>80425.05000000002</v>
      </c>
      <c r="J177" s="55" t="n">
        <v>65690.83</v>
      </c>
      <c r="K177" s="53" t="n">
        <v>88</v>
      </c>
      <c r="L177" s="53" t="n">
        <v>82</v>
      </c>
      <c r="M177" s="53" t="n">
        <v>9</v>
      </c>
      <c r="N177" s="53" t="n">
        <v>119</v>
      </c>
      <c r="O177" s="53" t="n">
        <v>15</v>
      </c>
      <c r="P177" s="53" t="n">
        <v>362</v>
      </c>
    </row>
    <row r="178">
      <c r="A178" s="58" t="inlineStr">
        <is>
          <t>Dan Lagala</t>
        </is>
      </c>
      <c r="B178" s="58" t="inlineStr">
        <is>
          <t>Qualifier</t>
        </is>
      </c>
      <c r="C178" s="58" t="inlineStr">
        <is>
          <t>Mark Anthony</t>
        </is>
      </c>
      <c r="D178" s="58" t="inlineStr">
        <is>
          <t>White Claw</t>
        </is>
      </c>
      <c r="E178" s="53" t="n">
        <v>2948</v>
      </c>
      <c r="F178" s="53" t="n">
        <v>2717</v>
      </c>
      <c r="G178" s="55" t="n">
        <v>95963.35000000002</v>
      </c>
      <c r="H178" s="55" t="n">
        <v>90782.24999999999</v>
      </c>
      <c r="I178" s="55" t="n">
        <v>21706.82</v>
      </c>
      <c r="J178" s="55" t="n">
        <v>20376.08</v>
      </c>
      <c r="K178" s="53" t="n">
        <v>43</v>
      </c>
      <c r="L178" s="53" t="n">
        <v>43</v>
      </c>
      <c r="M178" s="53" t="n">
        <v>6</v>
      </c>
      <c r="N178" s="53" t="n">
        <v>82</v>
      </c>
      <c r="O178" s="53" t="n">
        <v>6</v>
      </c>
      <c r="P178" s="53" t="n">
        <v>65</v>
      </c>
    </row>
    <row r="179">
      <c r="A179" s="58" t="inlineStr">
        <is>
          <t>Dan Lagala</t>
        </is>
      </c>
      <c r="B179" s="58" t="inlineStr">
        <is>
          <t>Qualifier</t>
        </is>
      </c>
      <c r="C179" s="58" t="inlineStr">
        <is>
          <t>MolsonCoors Beverage Company</t>
        </is>
      </c>
      <c r="D179" s="58" t="inlineStr">
        <is>
          <t>Blue Moon</t>
        </is>
      </c>
      <c r="E179" s="53" t="n">
        <v>1602</v>
      </c>
      <c r="F179" s="53" t="n">
        <v>1492</v>
      </c>
      <c r="G179" s="55" t="n">
        <v>53172.85000000001</v>
      </c>
      <c r="H179" s="55" t="n">
        <v>49259.25</v>
      </c>
      <c r="I179" s="55" t="n">
        <v>13450.65</v>
      </c>
      <c r="J179" s="55" t="n">
        <v>12151.77</v>
      </c>
      <c r="K179" s="53" t="n">
        <v>71</v>
      </c>
      <c r="L179" s="53" t="n">
        <v>64</v>
      </c>
      <c r="M179" s="53" t="n">
        <v>6</v>
      </c>
      <c r="N179" s="53" t="n">
        <v>48</v>
      </c>
      <c r="O179" s="53" t="n">
        <v>13</v>
      </c>
      <c r="P179" s="53" t="n">
        <v>153</v>
      </c>
    </row>
    <row r="180">
      <c r="A180" s="58" t="inlineStr">
        <is>
          <t>Dan Lagala</t>
        </is>
      </c>
      <c r="B180" s="58" t="inlineStr">
        <is>
          <t>Qualifier</t>
        </is>
      </c>
      <c r="C180" s="58" t="inlineStr">
        <is>
          <t>MolsonCoors Beverage Company</t>
        </is>
      </c>
      <c r="D180" s="58" t="inlineStr">
        <is>
          <t>Coors Light</t>
        </is>
      </c>
      <c r="E180" s="53" t="n">
        <v>13085</v>
      </c>
      <c r="F180" s="53" t="n">
        <v>12975</v>
      </c>
      <c r="G180" s="55" t="n">
        <v>265363.1499999999</v>
      </c>
      <c r="H180" s="55" t="n">
        <v>266643.7</v>
      </c>
      <c r="I180" s="55" t="n">
        <v>63834.20000000002</v>
      </c>
      <c r="J180" s="55" t="n">
        <v>64001.45999999999</v>
      </c>
      <c r="K180" s="53" t="n">
        <v>90</v>
      </c>
      <c r="L180" s="53" t="n">
        <v>77</v>
      </c>
      <c r="M180" s="53" t="n">
        <v>3</v>
      </c>
      <c r="N180" s="53" t="n">
        <v>44</v>
      </c>
      <c r="O180" s="53" t="n">
        <v>16</v>
      </c>
      <c r="P180" s="53" t="n">
        <v>389</v>
      </c>
    </row>
    <row r="181">
      <c r="A181" s="58" t="inlineStr">
        <is>
          <t>Dan Lagala</t>
        </is>
      </c>
      <c r="B181" s="58" t="inlineStr">
        <is>
          <t>Qualifier</t>
        </is>
      </c>
      <c r="C181" s="58" t="inlineStr">
        <is>
          <t>MolsonCoors Beverage Company</t>
        </is>
      </c>
      <c r="D181" s="58" t="inlineStr">
        <is>
          <t>Lite</t>
        </is>
      </c>
      <c r="E181" s="53" t="n">
        <v>2012</v>
      </c>
      <c r="F181" s="53" t="n">
        <v>2189</v>
      </c>
      <c r="G181" s="55" t="n">
        <v>42722.14999999999</v>
      </c>
      <c r="H181" s="55" t="n">
        <v>47038.64999999999</v>
      </c>
      <c r="I181" s="55" t="n">
        <v>9534.270000000002</v>
      </c>
      <c r="J181" s="55" t="n">
        <v>10656.96</v>
      </c>
      <c r="K181" s="53" t="n">
        <v>53</v>
      </c>
      <c r="L181" s="53" t="n">
        <v>48</v>
      </c>
      <c r="M181" s="53" t="n">
        <v>5</v>
      </c>
      <c r="N181" s="53" t="n">
        <v>24</v>
      </c>
      <c r="O181" s="53" t="n">
        <v>10</v>
      </c>
      <c r="P181" s="53" t="n">
        <v>85</v>
      </c>
    </row>
    <row r="182">
      <c r="A182" s="58" t="inlineStr">
        <is>
          <t>Dave Ehlers</t>
        </is>
      </c>
      <c r="B182" s="58" t="inlineStr">
        <is>
          <t>Amplify</t>
        </is>
      </c>
      <c r="C182" s="58" t="inlineStr">
        <is>
          <t>Bell's</t>
        </is>
      </c>
      <c r="D182" s="58" t="inlineStr">
        <is>
          <t>Bell's</t>
        </is>
      </c>
      <c r="E182" s="53" t="n">
        <v>36</v>
      </c>
      <c r="F182" s="53" t="n">
        <v>26</v>
      </c>
      <c r="G182" s="55" t="n">
        <v>1277.05</v>
      </c>
      <c r="H182" s="55" t="n">
        <v>957.4</v>
      </c>
      <c r="I182" s="55" t="n">
        <v>420.37</v>
      </c>
      <c r="J182" s="55" t="n">
        <v>314.86</v>
      </c>
      <c r="K182" s="53" t="n">
        <v>2</v>
      </c>
      <c r="L182" s="53" t="n">
        <v>3</v>
      </c>
      <c r="M182" s="53" t="n">
        <v>1</v>
      </c>
      <c r="N182" s="53" t="n">
        <v>1</v>
      </c>
      <c r="O182" s="53" t="n">
        <v>0</v>
      </c>
      <c r="P182" s="53" t="n">
        <v>0</v>
      </c>
    </row>
    <row r="183">
      <c r="A183" s="58" t="inlineStr">
        <is>
          <t>Dave Ehlers</t>
        </is>
      </c>
      <c r="B183" s="58" t="inlineStr">
        <is>
          <t>Amplify</t>
        </is>
      </c>
      <c r="C183" s="58" t="inlineStr">
        <is>
          <t>Boston Beer Company</t>
        </is>
      </c>
      <c r="D183" s="58" t="inlineStr">
        <is>
          <t>Dogfish Head Beer</t>
        </is>
      </c>
      <c r="E183" s="53" t="n">
        <v>624</v>
      </c>
      <c r="F183" s="53" t="n">
        <v>768</v>
      </c>
      <c r="G183" s="55" t="n">
        <v>21571.2</v>
      </c>
      <c r="H183" s="55" t="n">
        <v>25805.8</v>
      </c>
      <c r="I183" s="55" t="n">
        <v>5224.200000000001</v>
      </c>
      <c r="J183" s="55" t="n">
        <v>5834.03</v>
      </c>
      <c r="K183" s="53" t="n">
        <v>23</v>
      </c>
      <c r="L183" s="53" t="n">
        <v>24</v>
      </c>
      <c r="M183" s="53" t="n">
        <v>3</v>
      </c>
      <c r="N183" s="53" t="n">
        <v>21</v>
      </c>
      <c r="O183" s="53" t="n">
        <v>2</v>
      </c>
      <c r="P183" s="53" t="n">
        <v>7</v>
      </c>
    </row>
    <row r="184">
      <c r="A184" s="58" t="inlineStr">
        <is>
          <t>Dave Ehlers</t>
        </is>
      </c>
      <c r="B184" s="58" t="inlineStr">
        <is>
          <t>Amplify</t>
        </is>
      </c>
      <c r="C184" s="58" t="inlineStr">
        <is>
          <t>Boston Beer Company</t>
        </is>
      </c>
      <c r="D184" s="58" t="inlineStr">
        <is>
          <t>Dogfish Head Spirits</t>
        </is>
      </c>
      <c r="E184" s="53" t="n">
        <v>161</v>
      </c>
      <c r="F184" s="53" t="n">
        <v>138</v>
      </c>
      <c r="G184" s="55" t="n">
        <v>7778</v>
      </c>
      <c r="H184" s="55" t="n">
        <v>6558</v>
      </c>
      <c r="I184" s="55" t="n">
        <v>2742.53</v>
      </c>
      <c r="J184" s="55" t="n">
        <v>2129.690000000001</v>
      </c>
      <c r="K184" s="53" t="n">
        <v>3</v>
      </c>
      <c r="L184" s="53" t="n">
        <v>6</v>
      </c>
      <c r="M184" s="53" t="n">
        <v>3</v>
      </c>
      <c r="N184" s="53" t="n">
        <v>6</v>
      </c>
      <c r="O184" s="53" t="n">
        <v>0</v>
      </c>
      <c r="P184" s="53" t="n">
        <v>0</v>
      </c>
    </row>
    <row r="185">
      <c r="A185" s="58" t="inlineStr">
        <is>
          <t>Dave Ehlers</t>
        </is>
      </c>
      <c r="B185" s="58" t="inlineStr">
        <is>
          <t>Amplify</t>
        </is>
      </c>
      <c r="C185" s="58" t="inlineStr">
        <is>
          <t>Cape May</t>
        </is>
      </c>
      <c r="D185" s="58" t="inlineStr">
        <is>
          <t>Cape May</t>
        </is>
      </c>
      <c r="E185" s="53" t="n">
        <v>463</v>
      </c>
      <c r="F185" s="53" t="n">
        <v>613</v>
      </c>
      <c r="G185" s="55" t="n">
        <v>18622.9</v>
      </c>
      <c r="H185" s="55" t="n">
        <v>24660.9</v>
      </c>
      <c r="I185" s="55" t="n">
        <v>5474.89</v>
      </c>
      <c r="J185" s="55" t="n">
        <v>7170.93</v>
      </c>
      <c r="K185" s="53" t="n">
        <v>10</v>
      </c>
      <c r="L185" s="53" t="n">
        <v>13</v>
      </c>
      <c r="M185" s="53" t="n">
        <v>4</v>
      </c>
      <c r="N185" s="53" t="n">
        <v>10</v>
      </c>
      <c r="O185" s="53" t="n">
        <v>1</v>
      </c>
      <c r="P185" s="53" t="n">
        <v>10</v>
      </c>
    </row>
    <row r="186">
      <c r="A186" s="58" t="inlineStr">
        <is>
          <t>Dave Ehlers</t>
        </is>
      </c>
      <c r="B186" s="58" t="inlineStr">
        <is>
          <t>Amplify</t>
        </is>
      </c>
      <c r="C186" s="58" t="inlineStr">
        <is>
          <t>Constellation Brands</t>
        </is>
      </c>
      <c r="D186" s="58" t="inlineStr">
        <is>
          <t>Corona Premier</t>
        </is>
      </c>
      <c r="E186" s="53" t="n">
        <v>1170</v>
      </c>
      <c r="F186" s="53" t="n">
        <v>1379</v>
      </c>
      <c r="G186" s="55" t="n">
        <v>35924.75</v>
      </c>
      <c r="H186" s="55" t="n">
        <v>37000.05</v>
      </c>
      <c r="I186" s="55" t="n">
        <v>7481.270000000001</v>
      </c>
      <c r="J186" s="55" t="n">
        <v>9256.280000000002</v>
      </c>
      <c r="K186" s="53" t="n">
        <v>21</v>
      </c>
      <c r="L186" s="53" t="n">
        <v>25</v>
      </c>
      <c r="M186" s="53" t="n">
        <v>4</v>
      </c>
      <c r="N186" s="53" t="n">
        <v>12</v>
      </c>
      <c r="O186" s="53" t="n">
        <v>0</v>
      </c>
      <c r="P186" s="53" t="n">
        <v>0</v>
      </c>
    </row>
    <row r="187">
      <c r="A187" s="58" t="inlineStr">
        <is>
          <t>Dave Ehlers</t>
        </is>
      </c>
      <c r="B187" s="58" t="inlineStr">
        <is>
          <t>Amplify</t>
        </is>
      </c>
      <c r="C187" s="58" t="inlineStr">
        <is>
          <t>Constellation Brands</t>
        </is>
      </c>
      <c r="D187" s="58" t="inlineStr">
        <is>
          <t>Modelo Chelada</t>
        </is>
      </c>
      <c r="E187" s="53" t="n">
        <v>3087</v>
      </c>
      <c r="F187" s="53" t="n">
        <v>3707</v>
      </c>
      <c r="G187" s="55" t="n">
        <v>95006.09999999999</v>
      </c>
      <c r="H187" s="55" t="n">
        <v>114063.45</v>
      </c>
      <c r="I187" s="55" t="n">
        <v>23049.30999999999</v>
      </c>
      <c r="J187" s="55" t="n">
        <v>28048.35999999999</v>
      </c>
      <c r="K187" s="53" t="n">
        <v>30</v>
      </c>
      <c r="L187" s="53" t="n">
        <v>32</v>
      </c>
      <c r="M187" s="53" t="n">
        <v>2</v>
      </c>
      <c r="N187" s="53" t="n">
        <v>9</v>
      </c>
      <c r="O187" s="53" t="n">
        <v>0</v>
      </c>
      <c r="P187" s="53" t="n">
        <v>0</v>
      </c>
    </row>
    <row r="188">
      <c r="A188" s="58" t="inlineStr">
        <is>
          <t>Dave Ehlers</t>
        </is>
      </c>
      <c r="B188" s="58" t="inlineStr">
        <is>
          <t>Amplify</t>
        </is>
      </c>
      <c r="C188" s="58" t="inlineStr">
        <is>
          <t>Constellation Brands</t>
        </is>
      </c>
      <c r="D188" s="58" t="inlineStr">
        <is>
          <t>Pacifico</t>
        </is>
      </c>
      <c r="E188" s="53" t="n">
        <v>1115</v>
      </c>
      <c r="F188" s="53" t="n">
        <v>1517</v>
      </c>
      <c r="G188" s="55" t="n">
        <v>34450.15</v>
      </c>
      <c r="H188" s="55" t="n">
        <v>47411.65</v>
      </c>
      <c r="I188" s="55" t="n">
        <v>7871.420000000001</v>
      </c>
      <c r="J188" s="55" t="n">
        <v>10956.38</v>
      </c>
      <c r="K188" s="53" t="n">
        <v>26</v>
      </c>
      <c r="L188" s="53" t="n">
        <v>28</v>
      </c>
      <c r="M188" s="53" t="n">
        <v>2</v>
      </c>
      <c r="N188" s="53" t="n">
        <v>12</v>
      </c>
      <c r="O188" s="53" t="n">
        <v>0</v>
      </c>
      <c r="P188" s="53" t="n">
        <v>0</v>
      </c>
    </row>
    <row r="189">
      <c r="A189" s="58" t="inlineStr">
        <is>
          <t>Dave Ehlers</t>
        </is>
      </c>
      <c r="B189" s="58" t="inlineStr">
        <is>
          <t>Amplify</t>
        </is>
      </c>
      <c r="C189" s="58" t="inlineStr">
        <is>
          <t>Constellation Brands</t>
        </is>
      </c>
      <c r="D189" s="58" t="inlineStr">
        <is>
          <t>Victoria</t>
        </is>
      </c>
      <c r="E189" s="53" t="n">
        <v>1713</v>
      </c>
      <c r="F189" s="53" t="n">
        <v>2015</v>
      </c>
      <c r="G189" s="55" t="n">
        <v>52135.89999999999</v>
      </c>
      <c r="H189" s="55" t="n">
        <v>61036.3</v>
      </c>
      <c r="I189" s="55" t="n">
        <v>12321.96</v>
      </c>
      <c r="J189" s="55" t="n">
        <v>14761.46</v>
      </c>
      <c r="K189" s="53" t="n">
        <v>29</v>
      </c>
      <c r="L189" s="53" t="n">
        <v>29</v>
      </c>
      <c r="M189" s="53" t="n">
        <v>0</v>
      </c>
      <c r="N189" s="53" t="n">
        <v>0</v>
      </c>
      <c r="O189" s="53" t="n">
        <v>0</v>
      </c>
      <c r="P189" s="53" t="n">
        <v>0</v>
      </c>
    </row>
    <row r="190">
      <c r="A190" s="58" t="inlineStr">
        <is>
          <t>Dave Ehlers</t>
        </is>
      </c>
      <c r="B190" s="58" t="inlineStr">
        <is>
          <t>Amplify</t>
        </is>
      </c>
      <c r="C190" s="58" t="inlineStr">
        <is>
          <t>DG Yuengling Inc</t>
        </is>
      </c>
      <c r="D190" s="58" t="inlineStr">
        <is>
          <t>Yuengling Flight</t>
        </is>
      </c>
      <c r="E190" s="53" t="n">
        <v>218</v>
      </c>
      <c r="F190" s="53" t="n">
        <v>198</v>
      </c>
      <c r="G190" s="55" t="n">
        <v>5036.849999999999</v>
      </c>
      <c r="H190" s="55" t="n">
        <v>4387.25</v>
      </c>
      <c r="I190" s="55" t="n">
        <v>1451.91</v>
      </c>
      <c r="J190" s="55" t="n">
        <v>1128.64</v>
      </c>
      <c r="K190" s="53" t="n">
        <v>10</v>
      </c>
      <c r="L190" s="53" t="n">
        <v>12</v>
      </c>
      <c r="M190" s="53" t="n">
        <v>4</v>
      </c>
      <c r="N190" s="53" t="n">
        <v>10</v>
      </c>
      <c r="O190" s="53" t="n">
        <v>2</v>
      </c>
      <c r="P190" s="53" t="n">
        <v>2</v>
      </c>
    </row>
    <row r="191">
      <c r="A191" s="58" t="inlineStr">
        <is>
          <t>Dave Ehlers</t>
        </is>
      </c>
      <c r="B191" s="58" t="inlineStr">
        <is>
          <t>Amplify</t>
        </is>
      </c>
      <c r="C191" s="58" t="inlineStr">
        <is>
          <t>DG Yuengling Inc</t>
        </is>
      </c>
      <c r="D191" s="58" t="inlineStr">
        <is>
          <t>Yuengling Light Lager</t>
        </is>
      </c>
      <c r="E191" s="53" t="n">
        <v>260</v>
      </c>
      <c r="F191" s="53" t="n">
        <v>335</v>
      </c>
      <c r="G191" s="55" t="n">
        <v>5787.799999999999</v>
      </c>
      <c r="H191" s="55" t="n">
        <v>7311.4</v>
      </c>
      <c r="I191" s="55" t="n">
        <v>1499.66</v>
      </c>
      <c r="J191" s="55" t="n">
        <v>1777.84</v>
      </c>
      <c r="K191" s="53" t="n">
        <v>8</v>
      </c>
      <c r="L191" s="53" t="n">
        <v>10</v>
      </c>
      <c r="M191" s="53" t="n">
        <v>3</v>
      </c>
      <c r="N191" s="53" t="n">
        <v>9</v>
      </c>
      <c r="O191" s="53" t="n">
        <v>1</v>
      </c>
      <c r="P191" s="53" t="n">
        <v>1</v>
      </c>
    </row>
    <row r="192">
      <c r="A192" s="58" t="inlineStr">
        <is>
          <t>Dave Ehlers</t>
        </is>
      </c>
      <c r="B192" s="58" t="inlineStr">
        <is>
          <t>Amplify</t>
        </is>
      </c>
      <c r="C192" s="58" t="inlineStr">
        <is>
          <t>Heineken USA</t>
        </is>
      </c>
      <c r="D192" s="58" t="inlineStr">
        <is>
          <t>Heineken 0.0</t>
        </is>
      </c>
      <c r="E192" s="53" t="n">
        <v>721</v>
      </c>
      <c r="F192" s="53" t="n">
        <v>695</v>
      </c>
      <c r="G192" s="55" t="n">
        <v>24208.35</v>
      </c>
      <c r="H192" s="55" t="n">
        <v>23349.55</v>
      </c>
      <c r="I192" s="55" t="n">
        <v>6336.250000000001</v>
      </c>
      <c r="J192" s="55" t="n">
        <v>6072.490000000001</v>
      </c>
      <c r="K192" s="53" t="n">
        <v>29</v>
      </c>
      <c r="L192" s="53" t="n">
        <v>27</v>
      </c>
      <c r="M192" s="53" t="n">
        <v>0</v>
      </c>
      <c r="N192" s="53" t="n">
        <v>0</v>
      </c>
      <c r="O192" s="53" t="n">
        <v>2</v>
      </c>
      <c r="P192" s="53" t="n">
        <v>4</v>
      </c>
    </row>
    <row r="193">
      <c r="A193" s="58" t="inlineStr">
        <is>
          <t>Dave Ehlers</t>
        </is>
      </c>
      <c r="B193" s="58" t="inlineStr">
        <is>
          <t>Amplify</t>
        </is>
      </c>
      <c r="C193" s="58" t="inlineStr">
        <is>
          <t>Heineken USA</t>
        </is>
      </c>
      <c r="D193" s="58" t="inlineStr">
        <is>
          <t>Heineken Light</t>
        </is>
      </c>
      <c r="E193" s="53" t="n">
        <v>773</v>
      </c>
      <c r="F193" s="53" t="n">
        <v>679</v>
      </c>
      <c r="G193" s="55" t="n">
        <v>24082.6</v>
      </c>
      <c r="H193" s="55" t="n">
        <v>20936.35</v>
      </c>
      <c r="I193" s="55" t="n">
        <v>5708.119999999999</v>
      </c>
      <c r="J193" s="55" t="n">
        <v>4797.85</v>
      </c>
      <c r="K193" s="53" t="n">
        <v>20</v>
      </c>
      <c r="L193" s="53" t="n">
        <v>21</v>
      </c>
      <c r="M193" s="53" t="n">
        <v>4</v>
      </c>
      <c r="N193" s="53" t="n">
        <v>19</v>
      </c>
      <c r="O193" s="53" t="n">
        <v>3</v>
      </c>
      <c r="P193" s="53" t="n">
        <v>12</v>
      </c>
    </row>
    <row r="194">
      <c r="A194" s="58" t="inlineStr">
        <is>
          <t>Dave Ehlers</t>
        </is>
      </c>
      <c r="B194" s="58" t="inlineStr">
        <is>
          <t>Amplify</t>
        </is>
      </c>
      <c r="C194" s="58" t="inlineStr">
        <is>
          <t>Mark Anthony</t>
        </is>
      </c>
      <c r="D194" s="58" t="inlineStr">
        <is>
          <t>Cayman Jack</t>
        </is>
      </c>
      <c r="E194" s="53" t="n">
        <v>1374</v>
      </c>
      <c r="F194" s="53" t="n">
        <v>1679</v>
      </c>
      <c r="G194" s="55" t="n">
        <v>42336.5</v>
      </c>
      <c r="H194" s="55" t="n">
        <v>52095.75</v>
      </c>
      <c r="I194" s="55" t="n">
        <v>9858.069999999998</v>
      </c>
      <c r="J194" s="55" t="n">
        <v>12201.88</v>
      </c>
      <c r="K194" s="53" t="n">
        <v>22</v>
      </c>
      <c r="L194" s="53" t="n">
        <v>27</v>
      </c>
      <c r="M194" s="53" t="n">
        <v>5</v>
      </c>
      <c r="N194" s="53" t="n">
        <v>63</v>
      </c>
      <c r="O194" s="53" t="n">
        <v>0</v>
      </c>
      <c r="P194" s="53" t="n">
        <v>0</v>
      </c>
    </row>
    <row r="195">
      <c r="A195" s="58" t="inlineStr">
        <is>
          <t>Dave Ehlers</t>
        </is>
      </c>
      <c r="B195" s="58" t="inlineStr">
        <is>
          <t>Amplify</t>
        </is>
      </c>
      <c r="C195" s="58" t="inlineStr">
        <is>
          <t>Mark Anthony</t>
        </is>
      </c>
      <c r="D195" s="58" t="inlineStr">
        <is>
          <t>Mike's Harder</t>
        </is>
      </c>
      <c r="E195" s="53" t="n">
        <v>374</v>
      </c>
      <c r="F195" s="53" t="n">
        <v>366</v>
      </c>
      <c r="G195" s="55" t="n">
        <v>10475</v>
      </c>
      <c r="H195" s="55" t="n">
        <v>10838</v>
      </c>
      <c r="I195" s="55" t="n">
        <v>2279.2</v>
      </c>
      <c r="J195" s="55" t="n">
        <v>2318.11</v>
      </c>
      <c r="K195" s="53" t="n">
        <v>20</v>
      </c>
      <c r="L195" s="53" t="n">
        <v>21</v>
      </c>
      <c r="M195" s="53" t="n">
        <v>5</v>
      </c>
      <c r="N195" s="53" t="n">
        <v>47</v>
      </c>
      <c r="O195" s="53" t="n">
        <v>4</v>
      </c>
      <c r="P195" s="53" t="n">
        <v>6</v>
      </c>
    </row>
    <row r="196">
      <c r="A196" s="58" t="inlineStr">
        <is>
          <t>Dave Ehlers</t>
        </is>
      </c>
      <c r="B196" s="58" t="inlineStr">
        <is>
          <t>Amplify</t>
        </is>
      </c>
      <c r="C196" s="58" t="inlineStr">
        <is>
          <t>Mark Anthony</t>
        </is>
      </c>
      <c r="D196" s="58" t="inlineStr">
        <is>
          <t>Mxd Cocktails</t>
        </is>
      </c>
      <c r="E196" s="53" t="n">
        <v>9</v>
      </c>
      <c r="F196" s="53" t="n">
        <v>7</v>
      </c>
      <c r="G196" s="55" t="n">
        <v>224</v>
      </c>
      <c r="H196" s="55" t="n">
        <v>192</v>
      </c>
      <c r="I196" s="55" t="n">
        <v>42.16</v>
      </c>
      <c r="J196" s="55" t="n">
        <v>36.15</v>
      </c>
      <c r="K196" s="53" t="n">
        <v>2</v>
      </c>
      <c r="L196" s="53" t="n">
        <v>3</v>
      </c>
      <c r="M196" s="53" t="n">
        <v>1</v>
      </c>
      <c r="N196" s="53" t="n">
        <v>1</v>
      </c>
      <c r="O196" s="53" t="n">
        <v>0</v>
      </c>
      <c r="P196" s="53" t="n">
        <v>0</v>
      </c>
    </row>
    <row r="197">
      <c r="A197" s="58" t="inlineStr">
        <is>
          <t>Dave Ehlers</t>
        </is>
      </c>
      <c r="B197" s="58" t="inlineStr">
        <is>
          <t>Amplify</t>
        </is>
      </c>
      <c r="C197" s="58" t="inlineStr">
        <is>
          <t>MolsonCoors Beverage Company</t>
        </is>
      </c>
      <c r="D197" s="58" t="inlineStr">
        <is>
          <t>Coors</t>
        </is>
      </c>
      <c r="E197" s="53" t="n">
        <v>2123</v>
      </c>
      <c r="F197" s="53" t="n">
        <v>2301</v>
      </c>
      <c r="G197" s="55" t="n">
        <v>43105.85000000001</v>
      </c>
      <c r="H197" s="55" t="n">
        <v>49367.7</v>
      </c>
      <c r="I197" s="55" t="n">
        <v>10246.95</v>
      </c>
      <c r="J197" s="55" t="n">
        <v>12271.82</v>
      </c>
      <c r="K197" s="53" t="n">
        <v>26</v>
      </c>
      <c r="L197" s="53" t="n">
        <v>28</v>
      </c>
      <c r="M197" s="53" t="n">
        <v>2</v>
      </c>
      <c r="N197" s="53" t="n">
        <v>21</v>
      </c>
      <c r="O197" s="53" t="n">
        <v>0</v>
      </c>
      <c r="P197" s="53" t="n">
        <v>0</v>
      </c>
    </row>
    <row r="198">
      <c r="A198" s="58" t="inlineStr">
        <is>
          <t>Dave Ehlers</t>
        </is>
      </c>
      <c r="B198" s="58" t="inlineStr">
        <is>
          <t>Amplify</t>
        </is>
      </c>
      <c r="C198" s="58" t="inlineStr">
        <is>
          <t>MolsonCoors Beverage Company</t>
        </is>
      </c>
      <c r="D198" s="58" t="inlineStr">
        <is>
          <t>Fever Tree</t>
        </is>
      </c>
      <c r="E198" s="53" t="n">
        <v>35</v>
      </c>
      <c r="F198" s="53" t="n">
        <v>36</v>
      </c>
      <c r="G198" s="55" t="n">
        <v>1456.5</v>
      </c>
      <c r="H198" s="55" t="n">
        <v>1727.5</v>
      </c>
      <c r="I198" s="55" t="n">
        <v>448.5100000000001</v>
      </c>
      <c r="J198" s="55" t="n">
        <v>566.6</v>
      </c>
      <c r="K198" s="53" t="n">
        <v>7</v>
      </c>
      <c r="L198" s="53" t="n">
        <v>8</v>
      </c>
      <c r="M198" s="53" t="n">
        <v>3</v>
      </c>
      <c r="N198" s="53" t="n">
        <v>11</v>
      </c>
      <c r="O198" s="53" t="n">
        <v>2</v>
      </c>
      <c r="P198" s="53" t="n">
        <v>11</v>
      </c>
    </row>
    <row r="199">
      <c r="A199" s="58" t="inlineStr">
        <is>
          <t>Dave Ehlers</t>
        </is>
      </c>
      <c r="B199" s="58" t="inlineStr">
        <is>
          <t>Amplify</t>
        </is>
      </c>
      <c r="C199" s="58" t="inlineStr">
        <is>
          <t>MolsonCoors Beverage Company</t>
        </is>
      </c>
      <c r="D199" s="58" t="inlineStr">
        <is>
          <t>Peroni</t>
        </is>
      </c>
      <c r="E199" s="53" t="n">
        <v>1218</v>
      </c>
      <c r="F199" s="53" t="n">
        <v>1611</v>
      </c>
      <c r="G199" s="55" t="n">
        <v>41081.1</v>
      </c>
      <c r="H199" s="55" t="n">
        <v>53380.35</v>
      </c>
      <c r="I199" s="55" t="n">
        <v>8129.92</v>
      </c>
      <c r="J199" s="55" t="n">
        <v>10049.45</v>
      </c>
      <c r="K199" s="53" t="n">
        <v>29</v>
      </c>
      <c r="L199" s="53" t="n">
        <v>31</v>
      </c>
      <c r="M199" s="53" t="n">
        <v>2</v>
      </c>
      <c r="N199" s="53" t="n">
        <v>8</v>
      </c>
      <c r="O199" s="53" t="n">
        <v>0</v>
      </c>
      <c r="P199" s="53" t="n">
        <v>0</v>
      </c>
    </row>
    <row r="200">
      <c r="A200" s="58" t="inlineStr">
        <is>
          <t>Dave Ehlers</t>
        </is>
      </c>
      <c r="B200" s="58" t="inlineStr">
        <is>
          <t>Amplify</t>
        </is>
      </c>
      <c r="C200" s="58" t="inlineStr">
        <is>
          <t>New Belgium Brewing Company</t>
        </is>
      </c>
      <c r="D200" s="58" t="inlineStr">
        <is>
          <t>Fat Tire Family</t>
        </is>
      </c>
      <c r="E200" s="53" t="n">
        <v>166</v>
      </c>
      <c r="F200" s="53" t="n">
        <v>166</v>
      </c>
      <c r="G200" s="55" t="n">
        <v>5532.2</v>
      </c>
      <c r="H200" s="55" t="n">
        <v>4879.35</v>
      </c>
      <c r="I200" s="55" t="n">
        <v>1087.93</v>
      </c>
      <c r="J200" s="55" t="n">
        <v>941.3299999999999</v>
      </c>
      <c r="K200" s="53" t="n">
        <v>15</v>
      </c>
      <c r="L200" s="53" t="n">
        <v>11</v>
      </c>
      <c r="M200" s="53" t="n">
        <v>3</v>
      </c>
      <c r="N200" s="53" t="n">
        <v>7</v>
      </c>
      <c r="O200" s="53" t="n">
        <v>7</v>
      </c>
      <c r="P200" s="53" t="n">
        <v>17</v>
      </c>
    </row>
    <row r="201">
      <c r="A201" s="58" t="inlineStr">
        <is>
          <t>Dave Ehlers</t>
        </is>
      </c>
      <c r="B201" s="58" t="inlineStr">
        <is>
          <t>Amplify</t>
        </is>
      </c>
      <c r="C201" s="58" t="inlineStr">
        <is>
          <t>New Belgium Brewing Company</t>
        </is>
      </c>
      <c r="D201" s="58" t="inlineStr">
        <is>
          <t>Kirin Ichiban</t>
        </is>
      </c>
      <c r="E201" s="53" t="n">
        <v>47</v>
      </c>
      <c r="F201" s="53" t="n">
        <v>157</v>
      </c>
      <c r="G201" s="55" t="n">
        <v>1485</v>
      </c>
      <c r="H201" s="55" t="n">
        <v>4034.5</v>
      </c>
      <c r="I201" s="55" t="n">
        <v>348.54</v>
      </c>
      <c r="J201" s="55" t="n">
        <v>780.88</v>
      </c>
      <c r="K201" s="53" t="n">
        <v>3</v>
      </c>
      <c r="L201" s="53" t="n">
        <v>4</v>
      </c>
      <c r="M201" s="53" t="n">
        <v>1</v>
      </c>
      <c r="N201" s="53" t="n">
        <v>35</v>
      </c>
      <c r="O201" s="53" t="n">
        <v>0</v>
      </c>
      <c r="P201" s="53" t="n">
        <v>0</v>
      </c>
    </row>
    <row r="202">
      <c r="A202" s="58" t="inlineStr">
        <is>
          <t>Dave Ehlers</t>
        </is>
      </c>
      <c r="B202" s="58" t="inlineStr">
        <is>
          <t>Amplify</t>
        </is>
      </c>
      <c r="C202" s="58" t="inlineStr">
        <is>
          <t>New Belgium Brewing Company</t>
        </is>
      </c>
      <c r="D202" s="58" t="inlineStr">
        <is>
          <t>Voodoo Family</t>
        </is>
      </c>
      <c r="E202" s="53" t="n">
        <v>1018</v>
      </c>
      <c r="F202" s="53" t="n">
        <v>1205</v>
      </c>
      <c r="G202" s="55" t="n">
        <v>36397.10000000001</v>
      </c>
      <c r="H202" s="55" t="n">
        <v>42531.10000000001</v>
      </c>
      <c r="I202" s="55" t="n">
        <v>8878.689999999999</v>
      </c>
      <c r="J202" s="55" t="n">
        <v>10406.76</v>
      </c>
      <c r="K202" s="53" t="n">
        <v>28</v>
      </c>
      <c r="L202" s="53" t="n">
        <v>32</v>
      </c>
      <c r="M202" s="53" t="n">
        <v>5</v>
      </c>
      <c r="N202" s="53" t="n">
        <v>52</v>
      </c>
      <c r="O202" s="53" t="n">
        <v>1</v>
      </c>
      <c r="P202" s="53" t="n">
        <v>3</v>
      </c>
    </row>
    <row r="203">
      <c r="A203" s="58" t="inlineStr">
        <is>
          <t>Dave Ehlers</t>
        </is>
      </c>
      <c r="B203" s="58" t="inlineStr">
        <is>
          <t>Amplify</t>
        </is>
      </c>
      <c r="C203" s="58" t="inlineStr">
        <is>
          <t>Sapporo</t>
        </is>
      </c>
      <c r="D203" s="58" t="inlineStr">
        <is>
          <t>Sapporo</t>
        </is>
      </c>
      <c r="E203" s="53" t="n">
        <v>1422</v>
      </c>
      <c r="F203" s="53" t="n">
        <v>1798</v>
      </c>
      <c r="G203" s="55" t="n">
        <v>36734.25</v>
      </c>
      <c r="H203" s="55" t="n">
        <v>46289.5</v>
      </c>
      <c r="I203" s="55" t="n">
        <v>9409.91</v>
      </c>
      <c r="J203" s="55" t="n">
        <v>11662.9</v>
      </c>
      <c r="K203" s="53" t="n">
        <v>31</v>
      </c>
      <c r="L203" s="53" t="n">
        <v>31</v>
      </c>
      <c r="M203" s="53" t="n">
        <v>1</v>
      </c>
      <c r="N203" s="53" t="n">
        <v>11</v>
      </c>
      <c r="O203" s="53" t="n">
        <v>1</v>
      </c>
      <c r="P203" s="53" t="n">
        <v>5</v>
      </c>
    </row>
    <row r="204">
      <c r="A204" s="58" t="inlineStr">
        <is>
          <t>Dave Ehlers</t>
        </is>
      </c>
      <c r="B204" s="58" t="inlineStr">
        <is>
          <t>Qualifier</t>
        </is>
      </c>
      <c r="C204" s="58" t="inlineStr">
        <is>
          <t>Boston Beer Company</t>
        </is>
      </c>
      <c r="D204" s="58" t="inlineStr">
        <is>
          <t>Truly</t>
        </is>
      </c>
      <c r="E204" s="53" t="n">
        <v>841</v>
      </c>
      <c r="F204" s="53" t="n">
        <v>1166</v>
      </c>
      <c r="G204" s="55" t="n">
        <v>23887.15</v>
      </c>
      <c r="H204" s="55" t="n">
        <v>33062.8</v>
      </c>
      <c r="I204" s="55" t="n">
        <v>5336.23</v>
      </c>
      <c r="J204" s="55" t="n">
        <v>6619.87</v>
      </c>
      <c r="K204" s="53" t="n">
        <v>19</v>
      </c>
      <c r="L204" s="53" t="n">
        <v>19</v>
      </c>
      <c r="M204" s="53" t="n">
        <v>3</v>
      </c>
      <c r="N204" s="53" t="n">
        <v>14</v>
      </c>
      <c r="O204" s="53" t="n">
        <v>3</v>
      </c>
      <c r="P204" s="53" t="n">
        <v>17</v>
      </c>
    </row>
    <row r="205">
      <c r="A205" s="58" t="inlineStr">
        <is>
          <t>Dave Ehlers</t>
        </is>
      </c>
      <c r="B205" s="58" t="inlineStr">
        <is>
          <t>Qualifier</t>
        </is>
      </c>
      <c r="C205" s="58" t="inlineStr">
        <is>
          <t>Boston Beer Company</t>
        </is>
      </c>
      <c r="D205" s="58" t="inlineStr">
        <is>
          <t>Twisted Tea</t>
        </is>
      </c>
      <c r="E205" s="53" t="n">
        <v>2539</v>
      </c>
      <c r="F205" s="53" t="n">
        <v>2196</v>
      </c>
      <c r="G205" s="55" t="n">
        <v>73502.25</v>
      </c>
      <c r="H205" s="55" t="n">
        <v>63545.25</v>
      </c>
      <c r="I205" s="55" t="n">
        <v>18192.7</v>
      </c>
      <c r="J205" s="55" t="n">
        <v>15673.16</v>
      </c>
      <c r="K205" s="53" t="n">
        <v>30</v>
      </c>
      <c r="L205" s="53" t="n">
        <v>30</v>
      </c>
      <c r="M205" s="53" t="n">
        <v>0</v>
      </c>
      <c r="N205" s="53" t="n">
        <v>0</v>
      </c>
      <c r="O205" s="53" t="n">
        <v>0</v>
      </c>
      <c r="P205" s="53" t="n">
        <v>0</v>
      </c>
    </row>
    <row r="206">
      <c r="A206" s="58" t="inlineStr">
        <is>
          <t>Dave Ehlers</t>
        </is>
      </c>
      <c r="B206" s="58" t="inlineStr">
        <is>
          <t>Qualifier</t>
        </is>
      </c>
      <c r="C206" s="58" t="inlineStr">
        <is>
          <t>Constellation Brands</t>
        </is>
      </c>
      <c r="D206" s="58" t="inlineStr">
        <is>
          <t>Corona Extra</t>
        </is>
      </c>
      <c r="E206" s="53" t="n">
        <v>33001</v>
      </c>
      <c r="F206" s="53" t="n">
        <v>33346</v>
      </c>
      <c r="G206" s="55" t="n">
        <v>1060369.1</v>
      </c>
      <c r="H206" s="55" t="n">
        <v>1079798.7</v>
      </c>
      <c r="I206" s="55" t="n">
        <v>246399.0299999999</v>
      </c>
      <c r="J206" s="55" t="n">
        <v>258075.8</v>
      </c>
      <c r="K206" s="53" t="n">
        <v>35</v>
      </c>
      <c r="L206" s="53" t="n">
        <v>35</v>
      </c>
      <c r="M206" s="53" t="n">
        <v>0</v>
      </c>
      <c r="N206" s="53" t="n">
        <v>0</v>
      </c>
      <c r="O206" s="53" t="n">
        <v>0</v>
      </c>
      <c r="P206" s="53" t="n">
        <v>0</v>
      </c>
    </row>
    <row r="207">
      <c r="A207" s="58" t="inlineStr">
        <is>
          <t>Dave Ehlers</t>
        </is>
      </c>
      <c r="B207" s="58" t="inlineStr">
        <is>
          <t>Qualifier</t>
        </is>
      </c>
      <c r="C207" s="58" t="inlineStr">
        <is>
          <t>Constellation Brands</t>
        </is>
      </c>
      <c r="D207" s="58" t="inlineStr">
        <is>
          <t>Modelo Especial</t>
        </is>
      </c>
      <c r="E207" s="53" t="n">
        <v>24790</v>
      </c>
      <c r="F207" s="53" t="n">
        <v>26021</v>
      </c>
      <c r="G207" s="55" t="n">
        <v>761771.8500000001</v>
      </c>
      <c r="H207" s="55" t="n">
        <v>799769.7000000002</v>
      </c>
      <c r="I207" s="55" t="n">
        <v>169756.8700000001</v>
      </c>
      <c r="J207" s="55" t="n">
        <v>184219.75</v>
      </c>
      <c r="K207" s="53" t="n">
        <v>35</v>
      </c>
      <c r="L207" s="53" t="n">
        <v>36</v>
      </c>
      <c r="M207" s="53" t="n">
        <v>1</v>
      </c>
      <c r="N207" s="53" t="n">
        <v>2</v>
      </c>
      <c r="O207" s="53" t="n">
        <v>0</v>
      </c>
      <c r="P207" s="53" t="n">
        <v>0</v>
      </c>
    </row>
    <row r="208">
      <c r="A208" s="58" t="inlineStr">
        <is>
          <t>Dave Ehlers</t>
        </is>
      </c>
      <c r="B208" s="58" t="inlineStr">
        <is>
          <t>Qualifier</t>
        </is>
      </c>
      <c r="C208" s="58" t="inlineStr">
        <is>
          <t>DG Yuengling Inc</t>
        </is>
      </c>
      <c r="D208" s="58" t="inlineStr">
        <is>
          <t>Yuengling Lager</t>
        </is>
      </c>
      <c r="E208" s="53" t="n">
        <v>2412</v>
      </c>
      <c r="F208" s="53" t="n">
        <v>2745</v>
      </c>
      <c r="G208" s="55" t="n">
        <v>53236.4</v>
      </c>
      <c r="H208" s="55" t="n">
        <v>59368.54999999999</v>
      </c>
      <c r="I208" s="55" t="n">
        <v>14140.62</v>
      </c>
      <c r="J208" s="55" t="n">
        <v>15389.33</v>
      </c>
      <c r="K208" s="53" t="n">
        <v>30</v>
      </c>
      <c r="L208" s="53" t="n">
        <v>29</v>
      </c>
      <c r="M208" s="53" t="n">
        <v>1</v>
      </c>
      <c r="N208" s="53" t="n">
        <v>4</v>
      </c>
      <c r="O208" s="53" t="n">
        <v>2</v>
      </c>
      <c r="P208" s="53" t="n">
        <v>7</v>
      </c>
    </row>
    <row r="209">
      <c r="A209" s="58" t="inlineStr">
        <is>
          <t>Dave Ehlers</t>
        </is>
      </c>
      <c r="B209" s="58" t="inlineStr">
        <is>
          <t>Qualifier</t>
        </is>
      </c>
      <c r="C209" s="58" t="inlineStr">
        <is>
          <t>Heineken USA</t>
        </is>
      </c>
      <c r="D209" s="58" t="inlineStr">
        <is>
          <t>Heineken USA</t>
        </is>
      </c>
      <c r="E209" s="53" t="n">
        <v>12386</v>
      </c>
      <c r="F209" s="53" t="n">
        <v>12047</v>
      </c>
      <c r="G209" s="55" t="n">
        <v>385987.85</v>
      </c>
      <c r="H209" s="55" t="n">
        <v>373122.65</v>
      </c>
      <c r="I209" s="55" t="n">
        <v>91021.22000000002</v>
      </c>
      <c r="J209" s="55" t="n">
        <v>86797.79000000001</v>
      </c>
      <c r="K209" s="53" t="n">
        <v>34</v>
      </c>
      <c r="L209" s="53" t="n">
        <v>35</v>
      </c>
      <c r="M209" s="53" t="n">
        <v>1</v>
      </c>
      <c r="N209" s="53" t="n">
        <v>3</v>
      </c>
      <c r="O209" s="53" t="n">
        <v>0</v>
      </c>
      <c r="P209" s="53" t="n">
        <v>0</v>
      </c>
    </row>
    <row r="210">
      <c r="A210" s="58" t="inlineStr">
        <is>
          <t>Dave Ehlers</t>
        </is>
      </c>
      <c r="B210" s="58" t="inlineStr">
        <is>
          <t>Qualifier</t>
        </is>
      </c>
      <c r="C210" s="58" t="inlineStr">
        <is>
          <t>Mark Anthony</t>
        </is>
      </c>
      <c r="D210" s="58" t="inlineStr">
        <is>
          <t>White Claw</t>
        </is>
      </c>
      <c r="E210" s="53" t="n">
        <v>6395</v>
      </c>
      <c r="F210" s="53" t="n">
        <v>7118</v>
      </c>
      <c r="G210" s="55" t="n">
        <v>194982.45</v>
      </c>
      <c r="H210" s="55" t="n">
        <v>221456.25</v>
      </c>
      <c r="I210" s="55" t="n">
        <v>37212.25999999999</v>
      </c>
      <c r="J210" s="55" t="n">
        <v>43108.81999999999</v>
      </c>
      <c r="K210" s="53" t="n">
        <v>31</v>
      </c>
      <c r="L210" s="53" t="n">
        <v>30</v>
      </c>
      <c r="M210" s="53" t="n">
        <v>0</v>
      </c>
      <c r="N210" s="53" t="n">
        <v>0</v>
      </c>
      <c r="O210" s="53" t="n">
        <v>1</v>
      </c>
      <c r="P210" s="53" t="n">
        <v>1</v>
      </c>
    </row>
    <row r="211">
      <c r="A211" s="58" t="inlineStr">
        <is>
          <t>Dave Ehlers</t>
        </is>
      </c>
      <c r="B211" s="58" t="inlineStr">
        <is>
          <t>Qualifier</t>
        </is>
      </c>
      <c r="C211" s="58" t="inlineStr">
        <is>
          <t>MolsonCoors Beverage Company</t>
        </is>
      </c>
      <c r="D211" s="58" t="inlineStr">
        <is>
          <t>Blue Moon</t>
        </is>
      </c>
      <c r="E211" s="53" t="n">
        <v>2530</v>
      </c>
      <c r="F211" s="53" t="n">
        <v>2331</v>
      </c>
      <c r="G211" s="55" t="n">
        <v>80187.25000000001</v>
      </c>
      <c r="H211" s="55" t="n">
        <v>74601.84999999999</v>
      </c>
      <c r="I211" s="55" t="n">
        <v>17357.01999999999</v>
      </c>
      <c r="J211" s="55" t="n">
        <v>16371.21</v>
      </c>
      <c r="K211" s="53" t="n">
        <v>31</v>
      </c>
      <c r="L211" s="53" t="n">
        <v>34</v>
      </c>
      <c r="M211" s="53" t="n">
        <v>3</v>
      </c>
      <c r="N211" s="53" t="n">
        <v>16</v>
      </c>
      <c r="O211" s="53" t="n">
        <v>0</v>
      </c>
      <c r="P211" s="53" t="n">
        <v>0</v>
      </c>
    </row>
    <row r="212">
      <c r="A212" s="58" t="inlineStr">
        <is>
          <t>Dave Ehlers</t>
        </is>
      </c>
      <c r="B212" s="58" t="inlineStr">
        <is>
          <t>Qualifier</t>
        </is>
      </c>
      <c r="C212" s="58" t="inlineStr">
        <is>
          <t>MolsonCoors Beverage Company</t>
        </is>
      </c>
      <c r="D212" s="58" t="inlineStr">
        <is>
          <t>Coors Light</t>
        </is>
      </c>
      <c r="E212" s="53" t="n">
        <v>13585</v>
      </c>
      <c r="F212" s="53" t="n">
        <v>13660</v>
      </c>
      <c r="G212" s="55" t="n">
        <v>281425.45</v>
      </c>
      <c r="H212" s="55" t="n">
        <v>290240.2</v>
      </c>
      <c r="I212" s="55" t="n">
        <v>69375.24000000002</v>
      </c>
      <c r="J212" s="55" t="n">
        <v>72764.38</v>
      </c>
      <c r="K212" s="53" t="n">
        <v>33</v>
      </c>
      <c r="L212" s="53" t="n">
        <v>33</v>
      </c>
      <c r="M212" s="53" t="n">
        <v>0</v>
      </c>
      <c r="N212" s="53" t="n">
        <v>0</v>
      </c>
      <c r="O212" s="53" t="n">
        <v>0</v>
      </c>
      <c r="P212" s="53" t="n">
        <v>0</v>
      </c>
    </row>
    <row r="213">
      <c r="A213" s="58" t="inlineStr">
        <is>
          <t>Dave Ehlers</t>
        </is>
      </c>
      <c r="B213" s="58" t="inlineStr">
        <is>
          <t>Qualifier</t>
        </is>
      </c>
      <c r="C213" s="58" t="inlineStr">
        <is>
          <t>MolsonCoors Beverage Company</t>
        </is>
      </c>
      <c r="D213" s="58" t="inlineStr">
        <is>
          <t>Lite</t>
        </is>
      </c>
      <c r="E213" s="53" t="n">
        <v>7227</v>
      </c>
      <c r="F213" s="53" t="n">
        <v>7339</v>
      </c>
      <c r="G213" s="55" t="n">
        <v>154461.75</v>
      </c>
      <c r="H213" s="55" t="n">
        <v>160884.65</v>
      </c>
      <c r="I213" s="55" t="n">
        <v>35266.37</v>
      </c>
      <c r="J213" s="55" t="n">
        <v>37565.72</v>
      </c>
      <c r="K213" s="53" t="n">
        <v>29</v>
      </c>
      <c r="L213" s="53" t="n">
        <v>30</v>
      </c>
      <c r="M213" s="53" t="n">
        <v>2</v>
      </c>
      <c r="N213" s="53" t="n">
        <v>61</v>
      </c>
      <c r="O213" s="53" t="n">
        <v>1</v>
      </c>
      <c r="P213" s="53" t="n">
        <v>2</v>
      </c>
    </row>
    <row r="214">
      <c r="A214" s="58" t="inlineStr">
        <is>
          <t>Derrick Laws</t>
        </is>
      </c>
      <c r="B214" s="58" t="inlineStr">
        <is>
          <t>Amplify</t>
        </is>
      </c>
      <c r="C214" s="58" t="inlineStr">
        <is>
          <t>Bell's</t>
        </is>
      </c>
      <c r="D214" s="58" t="inlineStr">
        <is>
          <t>Bell's</t>
        </is>
      </c>
      <c r="E214" s="53" t="n">
        <v>0</v>
      </c>
      <c r="F214" s="53" t="n">
        <v>1</v>
      </c>
      <c r="G214" s="55" t="n">
        <v>0</v>
      </c>
      <c r="H214" s="55" t="n">
        <v>35.6</v>
      </c>
      <c r="I214" s="55" t="n">
        <v>0</v>
      </c>
      <c r="J214" s="55" t="n">
        <v>10.33</v>
      </c>
      <c r="K214" s="53" t="n">
        <v>0</v>
      </c>
      <c r="L214" s="53" t="n">
        <v>1</v>
      </c>
      <c r="M214" s="53" t="n">
        <v>1</v>
      </c>
      <c r="N214" s="53" t="n">
        <v>1</v>
      </c>
      <c r="O214" s="53" t="n">
        <v>0</v>
      </c>
      <c r="P214" s="53" t="n">
        <v>0</v>
      </c>
    </row>
    <row r="215">
      <c r="A215" s="58" t="inlineStr">
        <is>
          <t>Derrick Laws</t>
        </is>
      </c>
      <c r="B215" s="58" t="inlineStr">
        <is>
          <t>Amplify</t>
        </is>
      </c>
      <c r="C215" s="58" t="inlineStr">
        <is>
          <t>Boston Beer Company</t>
        </is>
      </c>
      <c r="D215" s="58" t="inlineStr">
        <is>
          <t>Dogfish Head Beer</t>
        </is>
      </c>
      <c r="E215" s="53" t="n">
        <v>126</v>
      </c>
      <c r="F215" s="53" t="n">
        <v>94</v>
      </c>
      <c r="G215" s="55" t="n">
        <v>4315.9</v>
      </c>
      <c r="H215" s="55" t="n">
        <v>3182.5</v>
      </c>
      <c r="I215" s="55" t="n">
        <v>1112.45</v>
      </c>
      <c r="J215" s="55" t="n">
        <v>781.8099999999999</v>
      </c>
      <c r="K215" s="53" t="n">
        <v>5</v>
      </c>
      <c r="L215" s="53" t="n">
        <v>6</v>
      </c>
      <c r="M215" s="53" t="n">
        <v>2</v>
      </c>
      <c r="N215" s="53" t="n">
        <v>7</v>
      </c>
      <c r="O215" s="53" t="n">
        <v>1</v>
      </c>
      <c r="P215" s="53" t="n">
        <v>2</v>
      </c>
    </row>
    <row r="216">
      <c r="A216" s="58" t="inlineStr">
        <is>
          <t>Derrick Laws</t>
        </is>
      </c>
      <c r="B216" s="58" t="inlineStr">
        <is>
          <t>Amplify</t>
        </is>
      </c>
      <c r="C216" s="58" t="inlineStr">
        <is>
          <t>Boston Beer Company</t>
        </is>
      </c>
      <c r="D216" s="58" t="inlineStr">
        <is>
          <t>Dogfish Head Spirits</t>
        </is>
      </c>
      <c r="E216" s="53" t="n">
        <v>65</v>
      </c>
      <c r="F216" s="53" t="n">
        <v>33</v>
      </c>
      <c r="G216" s="55" t="n">
        <v>3281</v>
      </c>
      <c r="H216" s="55" t="n">
        <v>1672</v>
      </c>
      <c r="I216" s="55" t="n">
        <v>1174.1</v>
      </c>
      <c r="J216" s="55" t="n">
        <v>624.6899999999999</v>
      </c>
      <c r="K216" s="53" t="n">
        <v>2</v>
      </c>
      <c r="L216" s="53" t="n">
        <v>4</v>
      </c>
      <c r="M216" s="53" t="n">
        <v>2</v>
      </c>
      <c r="N216" s="53" t="n">
        <v>5</v>
      </c>
      <c r="O216" s="53" t="n">
        <v>0</v>
      </c>
      <c r="P216" s="53" t="n">
        <v>0</v>
      </c>
    </row>
    <row r="217">
      <c r="A217" s="58" t="inlineStr">
        <is>
          <t>Derrick Laws</t>
        </is>
      </c>
      <c r="B217" s="58" t="inlineStr">
        <is>
          <t>Amplify</t>
        </is>
      </c>
      <c r="C217" s="58" t="inlineStr">
        <is>
          <t>Cape May</t>
        </is>
      </c>
      <c r="D217" s="58" t="inlineStr">
        <is>
          <t>Cape May</t>
        </is>
      </c>
      <c r="E217" s="53" t="n">
        <v>117</v>
      </c>
      <c r="F217" s="53" t="n">
        <v>134</v>
      </c>
      <c r="G217" s="55" t="n">
        <v>4755.3</v>
      </c>
      <c r="H217" s="55" t="n">
        <v>5331.200000000001</v>
      </c>
      <c r="I217" s="55" t="n">
        <v>1391.99</v>
      </c>
      <c r="J217" s="55" t="n">
        <v>1555.48</v>
      </c>
      <c r="K217" s="53" t="n">
        <v>2</v>
      </c>
      <c r="L217" s="53" t="n">
        <v>2</v>
      </c>
      <c r="M217" s="53" t="n">
        <v>0</v>
      </c>
      <c r="N217" s="53" t="n">
        <v>0</v>
      </c>
      <c r="O217" s="53" t="n">
        <v>0</v>
      </c>
      <c r="P217" s="53" t="n">
        <v>0</v>
      </c>
    </row>
    <row r="218">
      <c r="A218" s="58" t="inlineStr">
        <is>
          <t>Derrick Laws</t>
        </is>
      </c>
      <c r="B218" s="58" t="inlineStr">
        <is>
          <t>Amplify</t>
        </is>
      </c>
      <c r="C218" s="58" t="inlineStr">
        <is>
          <t>Constellation Brands</t>
        </is>
      </c>
      <c r="D218" s="58" t="inlineStr">
        <is>
          <t>Corona Premier</t>
        </is>
      </c>
      <c r="E218" s="53" t="n">
        <v>550</v>
      </c>
      <c r="F218" s="53" t="n">
        <v>579</v>
      </c>
      <c r="G218" s="55" t="n">
        <v>17265.55</v>
      </c>
      <c r="H218" s="55" t="n">
        <v>16012</v>
      </c>
      <c r="I218" s="55" t="n">
        <v>3744.8</v>
      </c>
      <c r="J218" s="55" t="n">
        <v>4094.08</v>
      </c>
      <c r="K218" s="53" t="n">
        <v>21</v>
      </c>
      <c r="L218" s="53" t="n">
        <v>24</v>
      </c>
      <c r="M218" s="53" t="n">
        <v>4</v>
      </c>
      <c r="N218" s="53" t="n">
        <v>14</v>
      </c>
      <c r="O218" s="53" t="n">
        <v>1</v>
      </c>
      <c r="P218" s="53" t="n">
        <v>1</v>
      </c>
    </row>
    <row r="219">
      <c r="A219" s="58" t="inlineStr">
        <is>
          <t>Derrick Laws</t>
        </is>
      </c>
      <c r="B219" s="58" t="inlineStr">
        <is>
          <t>Amplify</t>
        </is>
      </c>
      <c r="C219" s="58" t="inlineStr">
        <is>
          <t>Constellation Brands</t>
        </is>
      </c>
      <c r="D219" s="58" t="inlineStr">
        <is>
          <t>Modelo Chelada</t>
        </is>
      </c>
      <c r="E219" s="53" t="n">
        <v>2407</v>
      </c>
      <c r="F219" s="53" t="n">
        <v>2502</v>
      </c>
      <c r="G219" s="55" t="n">
        <v>74448.45</v>
      </c>
      <c r="H219" s="55" t="n">
        <v>77268.35000000001</v>
      </c>
      <c r="I219" s="55" t="n">
        <v>18783.02</v>
      </c>
      <c r="J219" s="55" t="n">
        <v>19745.09</v>
      </c>
      <c r="K219" s="53" t="n">
        <v>31</v>
      </c>
      <c r="L219" s="53" t="n">
        <v>33</v>
      </c>
      <c r="M219" s="53" t="n">
        <v>3</v>
      </c>
      <c r="N219" s="53" t="n">
        <v>134</v>
      </c>
      <c r="O219" s="53" t="n">
        <v>1</v>
      </c>
      <c r="P219" s="53" t="n">
        <v>20</v>
      </c>
    </row>
    <row r="220">
      <c r="A220" s="58" t="inlineStr">
        <is>
          <t>Derrick Laws</t>
        </is>
      </c>
      <c r="B220" s="58" t="inlineStr">
        <is>
          <t>Amplify</t>
        </is>
      </c>
      <c r="C220" s="58" t="inlineStr">
        <is>
          <t>Constellation Brands</t>
        </is>
      </c>
      <c r="D220" s="58" t="inlineStr">
        <is>
          <t>Pacifico</t>
        </is>
      </c>
      <c r="E220" s="53" t="n">
        <v>543</v>
      </c>
      <c r="F220" s="53" t="n">
        <v>659</v>
      </c>
      <c r="G220" s="55" t="n">
        <v>16695.25</v>
      </c>
      <c r="H220" s="55" t="n">
        <v>20469.5</v>
      </c>
      <c r="I220" s="55" t="n">
        <v>3791.440000000001</v>
      </c>
      <c r="J220" s="55" t="n">
        <v>4719.269999999999</v>
      </c>
      <c r="K220" s="53" t="n">
        <v>17</v>
      </c>
      <c r="L220" s="53" t="n">
        <v>28</v>
      </c>
      <c r="M220" s="53" t="n">
        <v>12</v>
      </c>
      <c r="N220" s="53" t="n">
        <v>139</v>
      </c>
      <c r="O220" s="53" t="n">
        <v>1</v>
      </c>
      <c r="P220" s="53" t="n">
        <v>5</v>
      </c>
    </row>
    <row r="221">
      <c r="A221" s="58" t="inlineStr">
        <is>
          <t>Derrick Laws</t>
        </is>
      </c>
      <c r="B221" s="58" t="inlineStr">
        <is>
          <t>Amplify</t>
        </is>
      </c>
      <c r="C221" s="58" t="inlineStr">
        <is>
          <t>Constellation Brands</t>
        </is>
      </c>
      <c r="D221" s="58" t="inlineStr">
        <is>
          <t>Victoria</t>
        </is>
      </c>
      <c r="E221" s="53" t="n">
        <v>1224</v>
      </c>
      <c r="F221" s="53" t="n">
        <v>1493</v>
      </c>
      <c r="G221" s="55" t="n">
        <v>37013.2</v>
      </c>
      <c r="H221" s="55" t="n">
        <v>45284.65</v>
      </c>
      <c r="I221" s="55" t="n">
        <v>8805.150000000001</v>
      </c>
      <c r="J221" s="55" t="n">
        <v>10750.6</v>
      </c>
      <c r="K221" s="53" t="n">
        <v>28</v>
      </c>
      <c r="L221" s="53" t="n">
        <v>31</v>
      </c>
      <c r="M221" s="53" t="n">
        <v>6</v>
      </c>
      <c r="N221" s="53" t="n">
        <v>94</v>
      </c>
      <c r="O221" s="53" t="n">
        <v>3</v>
      </c>
      <c r="P221" s="53" t="n">
        <v>29</v>
      </c>
    </row>
    <row r="222">
      <c r="A222" s="58" t="inlineStr">
        <is>
          <t>Derrick Laws</t>
        </is>
      </c>
      <c r="B222" s="58" t="inlineStr">
        <is>
          <t>Amplify</t>
        </is>
      </c>
      <c r="C222" s="58" t="inlineStr">
        <is>
          <t>DG Yuengling Inc</t>
        </is>
      </c>
      <c r="D222" s="58" t="inlineStr">
        <is>
          <t>Yuengling Flight</t>
        </is>
      </c>
      <c r="E222" s="53" t="n">
        <v>65</v>
      </c>
      <c r="F222" s="53" t="n">
        <v>43</v>
      </c>
      <c r="G222" s="55" t="n">
        <v>1589.25</v>
      </c>
      <c r="H222" s="55" t="n">
        <v>1083.25</v>
      </c>
      <c r="I222" s="55" t="n">
        <v>486.54</v>
      </c>
      <c r="J222" s="55" t="n">
        <v>336.5700000000001</v>
      </c>
      <c r="K222" s="53" t="n">
        <v>2</v>
      </c>
      <c r="L222" s="53" t="n">
        <v>2</v>
      </c>
      <c r="M222" s="53" t="n">
        <v>0</v>
      </c>
      <c r="N222" s="53" t="n">
        <v>0</v>
      </c>
      <c r="O222" s="53" t="n">
        <v>0</v>
      </c>
      <c r="P222" s="53" t="n">
        <v>0</v>
      </c>
    </row>
    <row r="223">
      <c r="A223" s="58" t="inlineStr">
        <is>
          <t>Derrick Laws</t>
        </is>
      </c>
      <c r="B223" s="58" t="inlineStr">
        <is>
          <t>Amplify</t>
        </is>
      </c>
      <c r="C223" s="58" t="inlineStr">
        <is>
          <t>DG Yuengling Inc</t>
        </is>
      </c>
      <c r="D223" s="58" t="inlineStr">
        <is>
          <t>Yuengling Light Lager</t>
        </is>
      </c>
      <c r="E223" s="53" t="n">
        <v>19</v>
      </c>
      <c r="F223" s="53" t="n">
        <v>7</v>
      </c>
      <c r="G223" s="55" t="n">
        <v>501</v>
      </c>
      <c r="H223" s="55" t="n">
        <v>189</v>
      </c>
      <c r="I223" s="55" t="n">
        <v>128.02</v>
      </c>
      <c r="J223" s="55" t="n">
        <v>54.84</v>
      </c>
      <c r="K223" s="53" t="n">
        <v>2</v>
      </c>
      <c r="L223" s="53" t="n">
        <v>2</v>
      </c>
      <c r="M223" s="53" t="n">
        <v>0</v>
      </c>
      <c r="N223" s="53" t="n">
        <v>0</v>
      </c>
      <c r="O223" s="53" t="n">
        <v>0</v>
      </c>
      <c r="P223" s="53" t="n">
        <v>0</v>
      </c>
    </row>
    <row r="224">
      <c r="A224" s="58" t="inlineStr">
        <is>
          <t>Derrick Laws</t>
        </is>
      </c>
      <c r="B224" s="58" t="inlineStr">
        <is>
          <t>Amplify</t>
        </is>
      </c>
      <c r="C224" s="58" t="inlineStr">
        <is>
          <t>Heineken USA</t>
        </is>
      </c>
      <c r="D224" s="58" t="inlineStr">
        <is>
          <t>Heineken 0.0</t>
        </is>
      </c>
      <c r="E224" s="53" t="n">
        <v>496</v>
      </c>
      <c r="F224" s="53" t="n">
        <v>441</v>
      </c>
      <c r="G224" s="55" t="n">
        <v>16603</v>
      </c>
      <c r="H224" s="55" t="n">
        <v>14743.8</v>
      </c>
      <c r="I224" s="55" t="n">
        <v>4394.61</v>
      </c>
      <c r="J224" s="55" t="n">
        <v>3916.41</v>
      </c>
      <c r="K224" s="53" t="n">
        <v>34</v>
      </c>
      <c r="L224" s="53" t="n">
        <v>31</v>
      </c>
      <c r="M224" s="53" t="n">
        <v>3</v>
      </c>
      <c r="N224" s="53" t="n">
        <v>9</v>
      </c>
      <c r="O224" s="53" t="n">
        <v>6</v>
      </c>
      <c r="P224" s="53" t="n">
        <v>20</v>
      </c>
    </row>
    <row r="225">
      <c r="A225" s="58" t="inlineStr">
        <is>
          <t>Derrick Laws</t>
        </is>
      </c>
      <c r="B225" s="58" t="inlineStr">
        <is>
          <t>Amplify</t>
        </is>
      </c>
      <c r="C225" s="58" t="inlineStr">
        <is>
          <t>Heineken USA</t>
        </is>
      </c>
      <c r="D225" s="58" t="inlineStr">
        <is>
          <t>Heineken Light</t>
        </is>
      </c>
      <c r="E225" s="53" t="n">
        <v>1583</v>
      </c>
      <c r="F225" s="53" t="n">
        <v>1258</v>
      </c>
      <c r="G225" s="55" t="n">
        <v>49143.05</v>
      </c>
      <c r="H225" s="55" t="n">
        <v>39347.8</v>
      </c>
      <c r="I225" s="55" t="n">
        <v>11509.76</v>
      </c>
      <c r="J225" s="55" t="n">
        <v>9442.219999999999</v>
      </c>
      <c r="K225" s="53" t="n">
        <v>32</v>
      </c>
      <c r="L225" s="53" t="n">
        <v>34</v>
      </c>
      <c r="M225" s="53" t="n">
        <v>5</v>
      </c>
      <c r="N225" s="53" t="n">
        <v>48</v>
      </c>
      <c r="O225" s="53" t="n">
        <v>3</v>
      </c>
      <c r="P225" s="53" t="n">
        <v>50</v>
      </c>
    </row>
    <row r="226">
      <c r="A226" s="58" t="inlineStr">
        <is>
          <t>Derrick Laws</t>
        </is>
      </c>
      <c r="B226" s="58" t="inlineStr">
        <is>
          <t>Amplify</t>
        </is>
      </c>
      <c r="C226" s="58" t="inlineStr">
        <is>
          <t>Mark Anthony</t>
        </is>
      </c>
      <c r="D226" s="58" t="inlineStr">
        <is>
          <t>Cayman Jack</t>
        </is>
      </c>
      <c r="E226" s="53" t="n">
        <v>768</v>
      </c>
      <c r="F226" s="53" t="n">
        <v>922</v>
      </c>
      <c r="G226" s="55" t="n">
        <v>24555.75</v>
      </c>
      <c r="H226" s="55" t="n">
        <v>29300</v>
      </c>
      <c r="I226" s="55" t="n">
        <v>5979.67</v>
      </c>
      <c r="J226" s="55" t="n">
        <v>6951.78</v>
      </c>
      <c r="K226" s="53" t="n">
        <v>18</v>
      </c>
      <c r="L226" s="53" t="n">
        <v>22</v>
      </c>
      <c r="M226" s="53" t="n">
        <v>5</v>
      </c>
      <c r="N226" s="53" t="n">
        <v>72</v>
      </c>
      <c r="O226" s="53" t="n">
        <v>1</v>
      </c>
      <c r="P226" s="53" t="n">
        <v>9</v>
      </c>
    </row>
    <row r="227">
      <c r="A227" s="58" t="inlineStr">
        <is>
          <t>Derrick Laws</t>
        </is>
      </c>
      <c r="B227" s="58" t="inlineStr">
        <is>
          <t>Amplify</t>
        </is>
      </c>
      <c r="C227" s="58" t="inlineStr">
        <is>
          <t>Mark Anthony</t>
        </is>
      </c>
      <c r="D227" s="58" t="inlineStr">
        <is>
          <t>Mike's Harder</t>
        </is>
      </c>
      <c r="E227" s="53" t="n">
        <v>137</v>
      </c>
      <c r="F227" s="53" t="n">
        <v>112</v>
      </c>
      <c r="G227" s="55" t="n">
        <v>3798</v>
      </c>
      <c r="H227" s="55" t="n">
        <v>3255.5</v>
      </c>
      <c r="I227" s="55" t="n">
        <v>822.8000000000001</v>
      </c>
      <c r="J227" s="55" t="n">
        <v>687.9300000000001</v>
      </c>
      <c r="K227" s="53" t="n">
        <v>10</v>
      </c>
      <c r="L227" s="53" t="n">
        <v>12</v>
      </c>
      <c r="M227" s="53" t="n">
        <v>3</v>
      </c>
      <c r="N227" s="53" t="n">
        <v>17</v>
      </c>
      <c r="O227" s="53" t="n">
        <v>1</v>
      </c>
      <c r="P227" s="53" t="n">
        <v>10</v>
      </c>
    </row>
    <row r="228">
      <c r="A228" s="58" t="inlineStr">
        <is>
          <t>Derrick Laws</t>
        </is>
      </c>
      <c r="B228" s="58" t="inlineStr">
        <is>
          <t>Amplify</t>
        </is>
      </c>
      <c r="C228" s="58" t="inlineStr">
        <is>
          <t>Mark Anthony</t>
        </is>
      </c>
      <c r="D228" s="58" t="inlineStr">
        <is>
          <t>Mxd Cocktails</t>
        </is>
      </c>
      <c r="E228" s="53" t="n">
        <v>267</v>
      </c>
      <c r="F228" s="53" t="n">
        <v>434</v>
      </c>
      <c r="G228" s="55" t="n">
        <v>6432</v>
      </c>
      <c r="H228" s="55" t="n">
        <v>10511.6</v>
      </c>
      <c r="I228" s="55" t="n">
        <v>1208.28</v>
      </c>
      <c r="J228" s="55" t="n">
        <v>1983.77</v>
      </c>
      <c r="K228" s="53" t="n">
        <v>16</v>
      </c>
      <c r="L228" s="53" t="n">
        <v>19</v>
      </c>
      <c r="M228" s="53" t="n">
        <v>4</v>
      </c>
      <c r="N228" s="53" t="n">
        <v>23</v>
      </c>
      <c r="O228" s="53" t="n">
        <v>1</v>
      </c>
      <c r="P228" s="53" t="n">
        <v>16</v>
      </c>
    </row>
    <row r="229">
      <c r="A229" s="58" t="inlineStr">
        <is>
          <t>Derrick Laws</t>
        </is>
      </c>
      <c r="B229" s="58" t="inlineStr">
        <is>
          <t>Amplify</t>
        </is>
      </c>
      <c r="C229" s="58" t="inlineStr">
        <is>
          <t>MolsonCoors Beverage Company</t>
        </is>
      </c>
      <c r="D229" s="58" t="inlineStr">
        <is>
          <t>Coors</t>
        </is>
      </c>
      <c r="E229" s="53" t="n">
        <v>1888</v>
      </c>
      <c r="F229" s="53" t="n">
        <v>1888</v>
      </c>
      <c r="G229" s="55" t="n">
        <v>33795.9</v>
      </c>
      <c r="H229" s="55" t="n">
        <v>35037.45</v>
      </c>
      <c r="I229" s="55" t="n">
        <v>6699.429999999999</v>
      </c>
      <c r="J229" s="55" t="n">
        <v>7134.8</v>
      </c>
      <c r="K229" s="53" t="n">
        <v>30</v>
      </c>
      <c r="L229" s="53" t="n">
        <v>33</v>
      </c>
      <c r="M229" s="53" t="n">
        <v>3</v>
      </c>
      <c r="N229" s="53" t="n">
        <v>66</v>
      </c>
      <c r="O229" s="53" t="n">
        <v>0</v>
      </c>
      <c r="P229" s="53" t="n">
        <v>0</v>
      </c>
    </row>
    <row r="230">
      <c r="A230" s="58" t="inlineStr">
        <is>
          <t>Derrick Laws</t>
        </is>
      </c>
      <c r="B230" s="58" t="inlineStr">
        <is>
          <t>Amplify</t>
        </is>
      </c>
      <c r="C230" s="58" t="inlineStr">
        <is>
          <t>MolsonCoors Beverage Company</t>
        </is>
      </c>
      <c r="D230" s="58" t="inlineStr">
        <is>
          <t>Fever Tree</t>
        </is>
      </c>
      <c r="E230" s="53" t="n">
        <v>5</v>
      </c>
      <c r="F230" s="53" t="n">
        <v>24</v>
      </c>
      <c r="G230" s="55" t="n">
        <v>211.6</v>
      </c>
      <c r="H230" s="55" t="n">
        <v>1108</v>
      </c>
      <c r="I230" s="55" t="n">
        <v>90.13</v>
      </c>
      <c r="J230" s="55" t="n">
        <v>356.04</v>
      </c>
      <c r="K230" s="53" t="n">
        <v>1</v>
      </c>
      <c r="L230" s="53" t="n">
        <v>6</v>
      </c>
      <c r="M230" s="53" t="n">
        <v>5</v>
      </c>
      <c r="N230" s="53" t="n">
        <v>21</v>
      </c>
      <c r="O230" s="53" t="n">
        <v>0</v>
      </c>
      <c r="P230" s="53" t="n">
        <v>0</v>
      </c>
    </row>
    <row r="231">
      <c r="A231" s="58" t="inlineStr">
        <is>
          <t>Derrick Laws</t>
        </is>
      </c>
      <c r="B231" s="58" t="inlineStr">
        <is>
          <t>Amplify</t>
        </is>
      </c>
      <c r="C231" s="58" t="inlineStr">
        <is>
          <t>MolsonCoors Beverage Company</t>
        </is>
      </c>
      <c r="D231" s="58" t="inlineStr">
        <is>
          <t>Peroni</t>
        </is>
      </c>
      <c r="E231" s="53" t="n">
        <v>462</v>
      </c>
      <c r="F231" s="53" t="n">
        <v>547</v>
      </c>
      <c r="G231" s="55" t="n">
        <v>15874.55</v>
      </c>
      <c r="H231" s="55" t="n">
        <v>18500.7</v>
      </c>
      <c r="I231" s="55" t="n">
        <v>3216.02</v>
      </c>
      <c r="J231" s="55" t="n">
        <v>3713.650000000001</v>
      </c>
      <c r="K231" s="53" t="n">
        <v>18</v>
      </c>
      <c r="L231" s="53" t="n">
        <v>23</v>
      </c>
      <c r="M231" s="53" t="n">
        <v>5</v>
      </c>
      <c r="N231" s="53" t="n">
        <v>29</v>
      </c>
      <c r="O231" s="53" t="n">
        <v>0</v>
      </c>
      <c r="P231" s="53" t="n">
        <v>0</v>
      </c>
    </row>
    <row r="232">
      <c r="A232" s="58" t="inlineStr">
        <is>
          <t>Derrick Laws</t>
        </is>
      </c>
      <c r="B232" s="58" t="inlineStr">
        <is>
          <t>Amplify</t>
        </is>
      </c>
      <c r="C232" s="58" t="inlineStr">
        <is>
          <t>New Belgium Brewing Company</t>
        </is>
      </c>
      <c r="D232" s="58" t="inlineStr">
        <is>
          <t>Fat Tire Family</t>
        </is>
      </c>
      <c r="E232" s="53" t="n">
        <v>5</v>
      </c>
      <c r="F232" s="53" t="n">
        <v>6</v>
      </c>
      <c r="G232" s="55" t="n">
        <v>180</v>
      </c>
      <c r="H232" s="55" t="n">
        <v>205.75</v>
      </c>
      <c r="I232" s="55" t="n">
        <v>51</v>
      </c>
      <c r="J232" s="55" t="n">
        <v>49.67</v>
      </c>
      <c r="K232" s="53" t="n">
        <v>2</v>
      </c>
      <c r="L232" s="53" t="n">
        <v>2</v>
      </c>
      <c r="M232" s="53" t="n">
        <v>1</v>
      </c>
      <c r="N232" s="53" t="n">
        <v>1</v>
      </c>
      <c r="O232" s="53" t="n">
        <v>1</v>
      </c>
      <c r="P232" s="53" t="n">
        <v>1</v>
      </c>
    </row>
    <row r="233">
      <c r="A233" s="58" t="inlineStr">
        <is>
          <t>Derrick Laws</t>
        </is>
      </c>
      <c r="B233" s="58" t="inlineStr">
        <is>
          <t>Amplify</t>
        </is>
      </c>
      <c r="C233" s="58" t="inlineStr">
        <is>
          <t>New Belgium Brewing Company</t>
        </is>
      </c>
      <c r="D233" s="58" t="inlineStr">
        <is>
          <t>Kirin Ichiban</t>
        </is>
      </c>
      <c r="E233" s="53" t="n">
        <v>0</v>
      </c>
      <c r="F233" s="53" t="n">
        <v>6</v>
      </c>
      <c r="G233" s="55" t="n">
        <v>0</v>
      </c>
      <c r="H233" s="55" t="n">
        <v>188</v>
      </c>
      <c r="I233" s="55" t="n">
        <v>0</v>
      </c>
      <c r="J233" s="55" t="n">
        <v>53.56</v>
      </c>
      <c r="K233" s="53" t="n">
        <v>0</v>
      </c>
      <c r="L233" s="53" t="n">
        <v>3</v>
      </c>
      <c r="M233" s="53" t="n">
        <v>3</v>
      </c>
      <c r="N233" s="53" t="n">
        <v>6</v>
      </c>
      <c r="O233" s="53" t="n">
        <v>0</v>
      </c>
      <c r="P233" s="53" t="n">
        <v>0</v>
      </c>
    </row>
    <row r="234">
      <c r="A234" s="58" t="inlineStr">
        <is>
          <t>Derrick Laws</t>
        </is>
      </c>
      <c r="B234" s="58" t="inlineStr">
        <is>
          <t>Amplify</t>
        </is>
      </c>
      <c r="C234" s="58" t="inlineStr">
        <is>
          <t>New Belgium Brewing Company</t>
        </is>
      </c>
      <c r="D234" s="58" t="inlineStr">
        <is>
          <t>Voodoo Family</t>
        </is>
      </c>
      <c r="E234" s="53" t="n">
        <v>225</v>
      </c>
      <c r="F234" s="53" t="n">
        <v>249</v>
      </c>
      <c r="G234" s="55" t="n">
        <v>8202.800000000001</v>
      </c>
      <c r="H234" s="55" t="n">
        <v>8972.099999999999</v>
      </c>
      <c r="I234" s="55" t="n">
        <v>2065.53</v>
      </c>
      <c r="J234" s="55" t="n">
        <v>2240.5</v>
      </c>
      <c r="K234" s="53" t="n">
        <v>9</v>
      </c>
      <c r="L234" s="53" t="n">
        <v>9</v>
      </c>
      <c r="M234" s="53" t="n">
        <v>2</v>
      </c>
      <c r="N234" s="53" t="n">
        <v>7</v>
      </c>
      <c r="O234" s="53" t="n">
        <v>2</v>
      </c>
      <c r="P234" s="53" t="n">
        <v>14</v>
      </c>
    </row>
    <row r="235">
      <c r="A235" s="58" t="inlineStr">
        <is>
          <t>Derrick Laws</t>
        </is>
      </c>
      <c r="B235" s="58" t="inlineStr">
        <is>
          <t>Amplify</t>
        </is>
      </c>
      <c r="C235" s="58" t="inlineStr">
        <is>
          <t>Sapporo</t>
        </is>
      </c>
      <c r="D235" s="58" t="inlineStr">
        <is>
          <t>Sapporo</t>
        </is>
      </c>
      <c r="E235" s="53" t="n">
        <v>418</v>
      </c>
      <c r="F235" s="53" t="n">
        <v>367</v>
      </c>
      <c r="G235" s="55" t="n">
        <v>12292.25</v>
      </c>
      <c r="H235" s="55" t="n">
        <v>10836</v>
      </c>
      <c r="I235" s="55" t="n">
        <v>3181.64</v>
      </c>
      <c r="J235" s="55" t="n">
        <v>2787.22</v>
      </c>
      <c r="K235" s="53" t="n">
        <v>20</v>
      </c>
      <c r="L235" s="53" t="n">
        <v>21</v>
      </c>
      <c r="M235" s="53" t="n">
        <v>5</v>
      </c>
      <c r="N235" s="53" t="n">
        <v>22</v>
      </c>
      <c r="O235" s="53" t="n">
        <v>4</v>
      </c>
      <c r="P235" s="53" t="n">
        <v>35</v>
      </c>
    </row>
    <row r="236">
      <c r="A236" s="58" t="inlineStr">
        <is>
          <t>Derrick Laws</t>
        </is>
      </c>
      <c r="B236" s="58" t="inlineStr">
        <is>
          <t>Qualifier</t>
        </is>
      </c>
      <c r="C236" s="58" t="inlineStr">
        <is>
          <t>Boston Beer Company</t>
        </is>
      </c>
      <c r="D236" s="58" t="inlineStr">
        <is>
          <t>Truly</t>
        </is>
      </c>
      <c r="E236" s="53" t="n">
        <v>209</v>
      </c>
      <c r="F236" s="53" t="n">
        <v>183</v>
      </c>
      <c r="G236" s="55" t="n">
        <v>5786.55</v>
      </c>
      <c r="H236" s="55" t="n">
        <v>5330.4</v>
      </c>
      <c r="I236" s="55" t="n">
        <v>1039.56</v>
      </c>
      <c r="J236" s="55" t="n">
        <v>1171.86</v>
      </c>
      <c r="K236" s="53" t="n">
        <v>5</v>
      </c>
      <c r="L236" s="53" t="n">
        <v>6</v>
      </c>
      <c r="M236" s="53" t="n">
        <v>2</v>
      </c>
      <c r="N236" s="53" t="n">
        <v>2</v>
      </c>
      <c r="O236" s="53" t="n">
        <v>1</v>
      </c>
      <c r="P236" s="53" t="n">
        <v>2</v>
      </c>
    </row>
    <row r="237">
      <c r="A237" s="58" t="inlineStr">
        <is>
          <t>Derrick Laws</t>
        </is>
      </c>
      <c r="B237" s="58" t="inlineStr">
        <is>
          <t>Qualifier</t>
        </is>
      </c>
      <c r="C237" s="58" t="inlineStr">
        <is>
          <t>Boston Beer Company</t>
        </is>
      </c>
      <c r="D237" s="58" t="inlineStr">
        <is>
          <t>Twisted Tea</t>
        </is>
      </c>
      <c r="E237" s="53" t="n">
        <v>743</v>
      </c>
      <c r="F237" s="53" t="n">
        <v>637</v>
      </c>
      <c r="G237" s="55" t="n">
        <v>21678</v>
      </c>
      <c r="H237" s="55" t="n">
        <v>18838.25</v>
      </c>
      <c r="I237" s="55" t="n">
        <v>5471.23</v>
      </c>
      <c r="J237" s="55" t="n">
        <v>4876.72</v>
      </c>
      <c r="K237" s="53" t="n">
        <v>19</v>
      </c>
      <c r="L237" s="53" t="n">
        <v>24</v>
      </c>
      <c r="M237" s="53" t="n">
        <v>5</v>
      </c>
      <c r="N237" s="53" t="n">
        <v>27</v>
      </c>
      <c r="O237" s="53" t="n">
        <v>0</v>
      </c>
      <c r="P237" s="53" t="n">
        <v>0</v>
      </c>
    </row>
    <row r="238">
      <c r="A238" s="58" t="inlineStr">
        <is>
          <t>Derrick Laws</t>
        </is>
      </c>
      <c r="B238" s="58" t="inlineStr">
        <is>
          <t>Qualifier</t>
        </is>
      </c>
      <c r="C238" s="58" t="inlineStr">
        <is>
          <t>Constellation Brands</t>
        </is>
      </c>
      <c r="D238" s="58" t="inlineStr">
        <is>
          <t>Corona Extra</t>
        </is>
      </c>
      <c r="E238" s="53" t="n">
        <v>43496</v>
      </c>
      <c r="F238" s="53" t="n">
        <v>41321</v>
      </c>
      <c r="G238" s="55" t="n">
        <v>1437804.45</v>
      </c>
      <c r="H238" s="55" t="n">
        <v>1377165.35</v>
      </c>
      <c r="I238" s="55" t="n">
        <v>342813.96</v>
      </c>
      <c r="J238" s="55" t="n">
        <v>338592.15</v>
      </c>
      <c r="K238" s="53" t="n">
        <v>41</v>
      </c>
      <c r="L238" s="53" t="n">
        <v>43</v>
      </c>
      <c r="M238" s="53" t="n">
        <v>4</v>
      </c>
      <c r="N238" s="53" t="n">
        <v>715</v>
      </c>
      <c r="O238" s="53" t="n">
        <v>2</v>
      </c>
      <c r="P238" s="53" t="n">
        <v>255</v>
      </c>
    </row>
    <row r="239">
      <c r="A239" s="58" t="inlineStr">
        <is>
          <t>Derrick Laws</t>
        </is>
      </c>
      <c r="B239" s="58" t="inlineStr">
        <is>
          <t>Qualifier</t>
        </is>
      </c>
      <c r="C239" s="58" t="inlineStr">
        <is>
          <t>Constellation Brands</t>
        </is>
      </c>
      <c r="D239" s="58" t="inlineStr">
        <is>
          <t>Modelo Especial</t>
        </is>
      </c>
      <c r="E239" s="53" t="n">
        <v>26363</v>
      </c>
      <c r="F239" s="53" t="n">
        <v>25034</v>
      </c>
      <c r="G239" s="55" t="n">
        <v>826965.5499999998</v>
      </c>
      <c r="H239" s="55" t="n">
        <v>785818.65</v>
      </c>
      <c r="I239" s="55" t="n">
        <v>186695.24</v>
      </c>
      <c r="J239" s="55" t="n">
        <v>183822.05</v>
      </c>
      <c r="K239" s="53" t="n">
        <v>41</v>
      </c>
      <c r="L239" s="53" t="n">
        <v>43</v>
      </c>
      <c r="M239" s="53" t="n">
        <v>4</v>
      </c>
      <c r="N239" s="53" t="n">
        <v>628</v>
      </c>
      <c r="O239" s="53" t="n">
        <v>2</v>
      </c>
      <c r="P239" s="53" t="n">
        <v>149</v>
      </c>
    </row>
    <row r="240">
      <c r="A240" s="58" t="inlineStr">
        <is>
          <t>Derrick Laws</t>
        </is>
      </c>
      <c r="B240" s="58" t="inlineStr">
        <is>
          <t>Qualifier</t>
        </is>
      </c>
      <c r="C240" s="58" t="inlineStr">
        <is>
          <t>DG Yuengling Inc</t>
        </is>
      </c>
      <c r="D240" s="58" t="inlineStr">
        <is>
          <t>Yuengling Lager</t>
        </is>
      </c>
      <c r="E240" s="53" t="n">
        <v>659</v>
      </c>
      <c r="F240" s="53" t="n">
        <v>575</v>
      </c>
      <c r="G240" s="55" t="n">
        <v>14783.6</v>
      </c>
      <c r="H240" s="55" t="n">
        <v>12743.6</v>
      </c>
      <c r="I240" s="55" t="n">
        <v>3982.59</v>
      </c>
      <c r="J240" s="55" t="n">
        <v>3459.35</v>
      </c>
      <c r="K240" s="53" t="n">
        <v>14</v>
      </c>
      <c r="L240" s="53" t="n">
        <v>14</v>
      </c>
      <c r="M240" s="53" t="n">
        <v>3</v>
      </c>
      <c r="N240" s="53" t="n">
        <v>14</v>
      </c>
      <c r="O240" s="53" t="n">
        <v>3</v>
      </c>
      <c r="P240" s="53" t="n">
        <v>20</v>
      </c>
    </row>
    <row r="241">
      <c r="A241" s="58" t="inlineStr">
        <is>
          <t>Derrick Laws</t>
        </is>
      </c>
      <c r="B241" s="58" t="inlineStr">
        <is>
          <t>Qualifier</t>
        </is>
      </c>
      <c r="C241" s="58" t="inlineStr">
        <is>
          <t>Heineken USA</t>
        </is>
      </c>
      <c r="D241" s="58" t="inlineStr">
        <is>
          <t>Heineken USA</t>
        </is>
      </c>
      <c r="E241" s="53" t="n">
        <v>13153</v>
      </c>
      <c r="F241" s="53" t="n">
        <v>11133</v>
      </c>
      <c r="G241" s="55" t="n">
        <v>414509.8499999999</v>
      </c>
      <c r="H241" s="55" t="n">
        <v>349456.45</v>
      </c>
      <c r="I241" s="55" t="n">
        <v>96384.35000000002</v>
      </c>
      <c r="J241" s="55" t="n">
        <v>80425.55000000002</v>
      </c>
      <c r="K241" s="53" t="n">
        <v>41</v>
      </c>
      <c r="L241" s="53" t="n">
        <v>43</v>
      </c>
      <c r="M241" s="53" t="n">
        <v>4</v>
      </c>
      <c r="N241" s="53" t="n">
        <v>263</v>
      </c>
      <c r="O241" s="53" t="n">
        <v>2</v>
      </c>
      <c r="P241" s="53" t="n">
        <v>71</v>
      </c>
    </row>
    <row r="242">
      <c r="A242" s="58" t="inlineStr">
        <is>
          <t>Derrick Laws</t>
        </is>
      </c>
      <c r="B242" s="58" t="inlineStr">
        <is>
          <t>Qualifier</t>
        </is>
      </c>
      <c r="C242" s="58" t="inlineStr">
        <is>
          <t>Mark Anthony</t>
        </is>
      </c>
      <c r="D242" s="58" t="inlineStr">
        <is>
          <t>White Claw</t>
        </is>
      </c>
      <c r="E242" s="53" t="n">
        <v>1801</v>
      </c>
      <c r="F242" s="53" t="n">
        <v>1934</v>
      </c>
      <c r="G242" s="55" t="n">
        <v>55750.05</v>
      </c>
      <c r="H242" s="55" t="n">
        <v>59622.59999999999</v>
      </c>
      <c r="I242" s="55" t="n">
        <v>11370.45</v>
      </c>
      <c r="J242" s="55" t="n">
        <v>11484.84</v>
      </c>
      <c r="K242" s="53" t="n">
        <v>26</v>
      </c>
      <c r="L242" s="53" t="n">
        <v>27</v>
      </c>
      <c r="M242" s="53" t="n">
        <v>4</v>
      </c>
      <c r="N242" s="53" t="n">
        <v>27</v>
      </c>
      <c r="O242" s="53" t="n">
        <v>3</v>
      </c>
      <c r="P242" s="53" t="n">
        <v>48</v>
      </c>
    </row>
    <row r="243">
      <c r="A243" s="58" t="inlineStr">
        <is>
          <t>Derrick Laws</t>
        </is>
      </c>
      <c r="B243" s="58" t="inlineStr">
        <is>
          <t>Qualifier</t>
        </is>
      </c>
      <c r="C243" s="58" t="inlineStr">
        <is>
          <t>MolsonCoors Beverage Company</t>
        </is>
      </c>
      <c r="D243" s="58" t="inlineStr">
        <is>
          <t>Blue Moon</t>
        </is>
      </c>
      <c r="E243" s="53" t="n">
        <v>731</v>
      </c>
      <c r="F243" s="53" t="n">
        <v>652</v>
      </c>
      <c r="G243" s="55" t="n">
        <v>23256</v>
      </c>
      <c r="H243" s="55" t="n">
        <v>21175.45</v>
      </c>
      <c r="I243" s="55" t="n">
        <v>4953.66</v>
      </c>
      <c r="J243" s="55" t="n">
        <v>4843.549999999999</v>
      </c>
      <c r="K243" s="53" t="n">
        <v>31</v>
      </c>
      <c r="L243" s="53" t="n">
        <v>27</v>
      </c>
      <c r="M243" s="53" t="n">
        <v>2</v>
      </c>
      <c r="N243" s="53" t="n">
        <v>28</v>
      </c>
      <c r="O243" s="53" t="n">
        <v>6</v>
      </c>
      <c r="P243" s="53" t="n">
        <v>23</v>
      </c>
    </row>
    <row r="244">
      <c r="A244" s="58" t="inlineStr">
        <is>
          <t>Derrick Laws</t>
        </is>
      </c>
      <c r="B244" s="58" t="inlineStr">
        <is>
          <t>Qualifier</t>
        </is>
      </c>
      <c r="C244" s="58" t="inlineStr">
        <is>
          <t>MolsonCoors Beverage Company</t>
        </is>
      </c>
      <c r="D244" s="58" t="inlineStr">
        <is>
          <t>Coors Light</t>
        </is>
      </c>
      <c r="E244" s="53" t="n">
        <v>16710</v>
      </c>
      <c r="F244" s="53" t="n">
        <v>15547</v>
      </c>
      <c r="G244" s="55" t="n">
        <v>317855.7999999999</v>
      </c>
      <c r="H244" s="55" t="n">
        <v>302070.4</v>
      </c>
      <c r="I244" s="55" t="n">
        <v>67714.22</v>
      </c>
      <c r="J244" s="55" t="n">
        <v>65803.89000000001</v>
      </c>
      <c r="K244" s="53" t="n">
        <v>41</v>
      </c>
      <c r="L244" s="53" t="n">
        <v>42</v>
      </c>
      <c r="M244" s="53" t="n">
        <v>4</v>
      </c>
      <c r="N244" s="53" t="n">
        <v>339</v>
      </c>
      <c r="O244" s="53" t="n">
        <v>3</v>
      </c>
      <c r="P244" s="53" t="n">
        <v>76</v>
      </c>
    </row>
    <row r="245">
      <c r="A245" s="58" t="inlineStr">
        <is>
          <t>Derrick Laws</t>
        </is>
      </c>
      <c r="B245" s="58" t="inlineStr">
        <is>
          <t>Qualifier</t>
        </is>
      </c>
      <c r="C245" s="58" t="inlineStr">
        <is>
          <t>MolsonCoors Beverage Company</t>
        </is>
      </c>
      <c r="D245" s="58" t="inlineStr">
        <is>
          <t>Lite</t>
        </is>
      </c>
      <c r="E245" s="53" t="n">
        <v>1946</v>
      </c>
      <c r="F245" s="53" t="n">
        <v>1709</v>
      </c>
      <c r="G245" s="55" t="n">
        <v>41163.65</v>
      </c>
      <c r="H245" s="55" t="n">
        <v>36713.3</v>
      </c>
      <c r="I245" s="55" t="n">
        <v>9206.170000000002</v>
      </c>
      <c r="J245" s="55" t="n">
        <v>8186.209999999998</v>
      </c>
      <c r="K245" s="53" t="n">
        <v>25</v>
      </c>
      <c r="L245" s="53" t="n">
        <v>21</v>
      </c>
      <c r="M245" s="53" t="n">
        <v>1</v>
      </c>
      <c r="N245" s="53" t="n">
        <v>5</v>
      </c>
      <c r="O245" s="53" t="n">
        <v>5</v>
      </c>
      <c r="P245" s="53" t="n">
        <v>97</v>
      </c>
    </row>
    <row r="246">
      <c r="A246" s="58" t="inlineStr">
        <is>
          <t>Dylan Rubino</t>
        </is>
      </c>
      <c r="B246" s="58" t="inlineStr">
        <is>
          <t>Amplify</t>
        </is>
      </c>
      <c r="C246" s="58" t="inlineStr">
        <is>
          <t>Boston Beer Company</t>
        </is>
      </c>
      <c r="D246" s="58" t="inlineStr">
        <is>
          <t>Dogfish Head Beer</t>
        </is>
      </c>
      <c r="E246" s="53" t="n">
        <v>2</v>
      </c>
      <c r="F246" s="53" t="n">
        <v>4</v>
      </c>
      <c r="G246" s="55" t="n">
        <v>73.59999999999999</v>
      </c>
      <c r="H246" s="55" t="n">
        <v>149.2</v>
      </c>
      <c r="I246" s="55" t="n">
        <v>23.84</v>
      </c>
      <c r="J246" s="55" t="n">
        <v>49.68</v>
      </c>
      <c r="K246" s="53" t="n">
        <v>1</v>
      </c>
      <c r="L246" s="53" t="n">
        <v>1</v>
      </c>
      <c r="M246" s="53" t="n">
        <v>0</v>
      </c>
      <c r="N246" s="53" t="n">
        <v>0</v>
      </c>
      <c r="O246" s="53" t="n">
        <v>0</v>
      </c>
      <c r="P246" s="53" t="n">
        <v>0</v>
      </c>
    </row>
    <row r="247">
      <c r="A247" s="58" t="inlineStr">
        <is>
          <t>Dylan Rubino</t>
        </is>
      </c>
      <c r="B247" s="58" t="inlineStr">
        <is>
          <t>Amplify</t>
        </is>
      </c>
      <c r="C247" s="58" t="inlineStr">
        <is>
          <t>Cape May</t>
        </is>
      </c>
      <c r="D247" s="58" t="inlineStr">
        <is>
          <t>Cape May</t>
        </is>
      </c>
      <c r="E247" s="53" t="n">
        <v>0</v>
      </c>
      <c r="F247" s="53" t="n">
        <v>1</v>
      </c>
      <c r="G247" s="55" t="n">
        <v>0</v>
      </c>
      <c r="H247" s="55" t="n">
        <v>44</v>
      </c>
      <c r="I247" s="55" t="n">
        <v>0</v>
      </c>
      <c r="J247" s="55" t="n">
        <v>16.17</v>
      </c>
      <c r="K247" s="53" t="n">
        <v>0</v>
      </c>
      <c r="L247" s="53" t="n">
        <v>1</v>
      </c>
      <c r="M247" s="53" t="n">
        <v>1</v>
      </c>
      <c r="N247" s="53" t="n">
        <v>1</v>
      </c>
      <c r="O247" s="53" t="n">
        <v>0</v>
      </c>
      <c r="P247" s="53" t="n">
        <v>0</v>
      </c>
    </row>
    <row r="248">
      <c r="A248" s="58" t="inlineStr">
        <is>
          <t>Dylan Rubino</t>
        </is>
      </c>
      <c r="B248" s="58" t="inlineStr">
        <is>
          <t>Amplify</t>
        </is>
      </c>
      <c r="C248" s="58" t="inlineStr">
        <is>
          <t>Constellation Brands</t>
        </is>
      </c>
      <c r="D248" s="58" t="inlineStr">
        <is>
          <t>Corona Premier</t>
        </is>
      </c>
      <c r="E248" s="53" t="n">
        <v>1</v>
      </c>
      <c r="F248" s="53" t="n">
        <v>11</v>
      </c>
      <c r="G248" s="55" t="n">
        <v>34</v>
      </c>
      <c r="H248" s="55" t="n">
        <v>297.45</v>
      </c>
      <c r="I248" s="55" t="n">
        <v>9.869999999999999</v>
      </c>
      <c r="J248" s="55" t="n">
        <v>67.08</v>
      </c>
      <c r="K248" s="53" t="n">
        <v>1</v>
      </c>
      <c r="L248" s="53" t="n">
        <v>1</v>
      </c>
      <c r="M248" s="53" t="n">
        <v>0</v>
      </c>
      <c r="N248" s="53" t="n">
        <v>0</v>
      </c>
      <c r="O248" s="53" t="n">
        <v>0</v>
      </c>
      <c r="P248" s="53" t="n">
        <v>0</v>
      </c>
    </row>
    <row r="249">
      <c r="A249" s="58" t="inlineStr">
        <is>
          <t>Dylan Rubino</t>
        </is>
      </c>
      <c r="B249" s="58" t="inlineStr">
        <is>
          <t>Amplify</t>
        </is>
      </c>
      <c r="C249" s="58" t="inlineStr">
        <is>
          <t>Constellation Brands</t>
        </is>
      </c>
      <c r="D249" s="58" t="inlineStr">
        <is>
          <t>Modelo Chelada</t>
        </is>
      </c>
      <c r="E249" s="53" t="n">
        <v>7</v>
      </c>
      <c r="F249" s="53" t="n">
        <v>6</v>
      </c>
      <c r="G249" s="55" t="n">
        <v>220.9</v>
      </c>
      <c r="H249" s="55" t="n">
        <v>193.75</v>
      </c>
      <c r="I249" s="55" t="n">
        <v>62.15</v>
      </c>
      <c r="J249" s="55" t="n">
        <v>57.68</v>
      </c>
      <c r="K249" s="53" t="n">
        <v>1</v>
      </c>
      <c r="L249" s="53" t="n">
        <v>1</v>
      </c>
      <c r="M249" s="53" t="n">
        <v>0</v>
      </c>
      <c r="N249" s="53" t="n">
        <v>0</v>
      </c>
      <c r="O249" s="53" t="n">
        <v>0</v>
      </c>
      <c r="P249" s="53" t="n">
        <v>0</v>
      </c>
    </row>
    <row r="250">
      <c r="A250" s="58" t="inlineStr">
        <is>
          <t>Dylan Rubino</t>
        </is>
      </c>
      <c r="B250" s="58" t="inlineStr">
        <is>
          <t>Amplify</t>
        </is>
      </c>
      <c r="C250" s="58" t="inlineStr">
        <is>
          <t>Constellation Brands</t>
        </is>
      </c>
      <c r="D250" s="58" t="inlineStr">
        <is>
          <t>Pacifico</t>
        </is>
      </c>
      <c r="E250" s="53" t="n">
        <v>0</v>
      </c>
      <c r="F250" s="53" t="n">
        <v>7</v>
      </c>
      <c r="G250" s="55" t="n">
        <v>0</v>
      </c>
      <c r="H250" s="55" t="n">
        <v>227.8</v>
      </c>
      <c r="I250" s="55" t="n">
        <v>0</v>
      </c>
      <c r="J250" s="55" t="n">
        <v>60.09</v>
      </c>
      <c r="K250" s="53" t="n">
        <v>0</v>
      </c>
      <c r="L250" s="53" t="n">
        <v>1</v>
      </c>
      <c r="M250" s="53" t="n">
        <v>1</v>
      </c>
      <c r="N250" s="53" t="n">
        <v>7</v>
      </c>
      <c r="O250" s="53" t="n">
        <v>0</v>
      </c>
      <c r="P250" s="53" t="n">
        <v>0</v>
      </c>
    </row>
    <row r="251">
      <c r="A251" s="58" t="inlineStr">
        <is>
          <t>Dylan Rubino</t>
        </is>
      </c>
      <c r="B251" s="58" t="inlineStr">
        <is>
          <t>Amplify</t>
        </is>
      </c>
      <c r="C251" s="58" t="inlineStr">
        <is>
          <t>Constellation Brands</t>
        </is>
      </c>
      <c r="D251" s="58" t="inlineStr">
        <is>
          <t>Victoria</t>
        </is>
      </c>
      <c r="E251" s="53" t="n">
        <v>9</v>
      </c>
      <c r="F251" s="53" t="n">
        <v>6</v>
      </c>
      <c r="G251" s="55" t="n">
        <v>283.4</v>
      </c>
      <c r="H251" s="55" t="n">
        <v>188.9</v>
      </c>
      <c r="I251" s="55" t="n">
        <v>66.23</v>
      </c>
      <c r="J251" s="55" t="n">
        <v>47.02</v>
      </c>
      <c r="K251" s="53" t="n">
        <v>1</v>
      </c>
      <c r="L251" s="53" t="n">
        <v>1</v>
      </c>
      <c r="M251" s="53" t="n">
        <v>0</v>
      </c>
      <c r="N251" s="53" t="n">
        <v>0</v>
      </c>
      <c r="O251" s="53" t="n">
        <v>0</v>
      </c>
      <c r="P251" s="53" t="n">
        <v>0</v>
      </c>
    </row>
    <row r="252">
      <c r="A252" s="58" t="inlineStr">
        <is>
          <t>Dylan Rubino</t>
        </is>
      </c>
      <c r="B252" s="58" t="inlineStr">
        <is>
          <t>Amplify</t>
        </is>
      </c>
      <c r="C252" s="58" t="inlineStr">
        <is>
          <t>DG Yuengling Inc</t>
        </is>
      </c>
      <c r="D252" s="58" t="inlineStr">
        <is>
          <t>Yuengling Flight</t>
        </is>
      </c>
      <c r="E252" s="53" t="n">
        <v>3</v>
      </c>
      <c r="F252" s="53" t="n">
        <v>4</v>
      </c>
      <c r="G252" s="55" t="n">
        <v>40</v>
      </c>
      <c r="H252" s="55" t="n">
        <v>63</v>
      </c>
      <c r="I252" s="55" t="n">
        <v>6.85</v>
      </c>
      <c r="J252" s="55" t="n">
        <v>13.21</v>
      </c>
      <c r="K252" s="53" t="n">
        <v>1</v>
      </c>
      <c r="L252" s="53" t="n">
        <v>1</v>
      </c>
      <c r="M252" s="53" t="n">
        <v>0</v>
      </c>
      <c r="N252" s="53" t="n">
        <v>0</v>
      </c>
      <c r="O252" s="53" t="n">
        <v>0</v>
      </c>
      <c r="P252" s="53" t="n">
        <v>0</v>
      </c>
    </row>
    <row r="253">
      <c r="A253" s="58" t="inlineStr">
        <is>
          <t>Dylan Rubino</t>
        </is>
      </c>
      <c r="B253" s="58" t="inlineStr">
        <is>
          <t>Amplify</t>
        </is>
      </c>
      <c r="C253" s="58" t="inlineStr">
        <is>
          <t>Heineken USA</t>
        </is>
      </c>
      <c r="D253" s="58" t="inlineStr">
        <is>
          <t>Heineken 0.0</t>
        </is>
      </c>
      <c r="E253" s="53" t="n">
        <v>4</v>
      </c>
      <c r="F253" s="53" t="n">
        <v>6</v>
      </c>
      <c r="G253" s="55" t="n">
        <v>129.05</v>
      </c>
      <c r="H253" s="55" t="n">
        <v>188.1</v>
      </c>
      <c r="I253" s="55" t="n">
        <v>36.93</v>
      </c>
      <c r="J253" s="55" t="n">
        <v>49.92</v>
      </c>
      <c r="K253" s="53" t="n">
        <v>1</v>
      </c>
      <c r="L253" s="53" t="n">
        <v>1</v>
      </c>
      <c r="M253" s="53" t="n">
        <v>0</v>
      </c>
      <c r="N253" s="53" t="n">
        <v>0</v>
      </c>
      <c r="O253" s="53" t="n">
        <v>0</v>
      </c>
      <c r="P253" s="53" t="n">
        <v>0</v>
      </c>
    </row>
    <row r="254">
      <c r="A254" s="58" t="inlineStr">
        <is>
          <t>Dylan Rubino</t>
        </is>
      </c>
      <c r="B254" s="58" t="inlineStr">
        <is>
          <t>Amplify</t>
        </is>
      </c>
      <c r="C254" s="58" t="inlineStr">
        <is>
          <t>Heineken USA</t>
        </is>
      </c>
      <c r="D254" s="58" t="inlineStr">
        <is>
          <t>Heineken Light</t>
        </is>
      </c>
      <c r="E254" s="53" t="n">
        <v>1</v>
      </c>
      <c r="F254" s="53" t="n">
        <v>0</v>
      </c>
      <c r="G254" s="55" t="n">
        <v>36</v>
      </c>
      <c r="H254" s="55" t="n">
        <v>0</v>
      </c>
      <c r="I254" s="55" t="n">
        <v>12.2</v>
      </c>
      <c r="J254" s="55" t="n">
        <v>0</v>
      </c>
      <c r="K254" s="53" t="n">
        <v>1</v>
      </c>
      <c r="L254" s="53" t="n">
        <v>0</v>
      </c>
      <c r="M254" s="53" t="n">
        <v>0</v>
      </c>
      <c r="N254" s="53" t="n">
        <v>0</v>
      </c>
      <c r="O254" s="53" t="n">
        <v>1</v>
      </c>
      <c r="P254" s="53" t="n">
        <v>1</v>
      </c>
    </row>
    <row r="255">
      <c r="A255" s="58" t="inlineStr">
        <is>
          <t>Dylan Rubino</t>
        </is>
      </c>
      <c r="B255" s="58" t="inlineStr">
        <is>
          <t>Amplify</t>
        </is>
      </c>
      <c r="C255" s="58" t="inlineStr">
        <is>
          <t>Mark Anthony</t>
        </is>
      </c>
      <c r="D255" s="58" t="inlineStr">
        <is>
          <t>Cayman Jack</t>
        </is>
      </c>
      <c r="E255" s="53" t="n">
        <v>16</v>
      </c>
      <c r="F255" s="53" t="n">
        <v>3</v>
      </c>
      <c r="G255" s="55" t="n">
        <v>504.5</v>
      </c>
      <c r="H255" s="55" t="n">
        <v>97.5</v>
      </c>
      <c r="I255" s="55" t="n">
        <v>129.07</v>
      </c>
      <c r="J255" s="55" t="n">
        <v>27.13</v>
      </c>
      <c r="K255" s="53" t="n">
        <v>3</v>
      </c>
      <c r="L255" s="53" t="n">
        <v>1</v>
      </c>
      <c r="M255" s="53" t="n">
        <v>0</v>
      </c>
      <c r="N255" s="53" t="n">
        <v>0</v>
      </c>
      <c r="O255" s="53" t="n">
        <v>2</v>
      </c>
      <c r="P255" s="53" t="n">
        <v>15</v>
      </c>
    </row>
    <row r="256">
      <c r="A256" s="58" t="inlineStr">
        <is>
          <t>Dylan Rubino</t>
        </is>
      </c>
      <c r="B256" s="58" t="inlineStr">
        <is>
          <t>Amplify</t>
        </is>
      </c>
      <c r="C256" s="58" t="inlineStr">
        <is>
          <t>MolsonCoors Beverage Company</t>
        </is>
      </c>
      <c r="D256" s="58" t="inlineStr">
        <is>
          <t>Peroni</t>
        </is>
      </c>
      <c r="E256" s="53" t="n">
        <v>6</v>
      </c>
      <c r="F256" s="53" t="n">
        <v>3</v>
      </c>
      <c r="G256" s="55" t="n">
        <v>203</v>
      </c>
      <c r="H256" s="55" t="n">
        <v>102.2</v>
      </c>
      <c r="I256" s="55" t="n">
        <v>47.44</v>
      </c>
      <c r="J256" s="55" t="n">
        <v>25.13</v>
      </c>
      <c r="K256" s="53" t="n">
        <v>1</v>
      </c>
      <c r="L256" s="53" t="n">
        <v>1</v>
      </c>
      <c r="M256" s="53" t="n">
        <v>0</v>
      </c>
      <c r="N256" s="53" t="n">
        <v>0</v>
      </c>
      <c r="O256" s="53" t="n">
        <v>0</v>
      </c>
      <c r="P256" s="53" t="n">
        <v>0</v>
      </c>
    </row>
    <row r="257">
      <c r="A257" s="58" t="inlineStr">
        <is>
          <t>Dylan Rubino</t>
        </is>
      </c>
      <c r="B257" s="58" t="inlineStr">
        <is>
          <t>Amplify</t>
        </is>
      </c>
      <c r="C257" s="58" t="inlineStr">
        <is>
          <t>New Belgium Brewing Company</t>
        </is>
      </c>
      <c r="D257" s="58" t="inlineStr">
        <is>
          <t>Voodoo Family</t>
        </is>
      </c>
      <c r="E257" s="53" t="n">
        <v>5</v>
      </c>
      <c r="F257" s="53" t="n">
        <v>13</v>
      </c>
      <c r="G257" s="55" t="n">
        <v>189.3</v>
      </c>
      <c r="H257" s="55" t="n">
        <v>508.1</v>
      </c>
      <c r="I257" s="55" t="n">
        <v>53.1</v>
      </c>
      <c r="J257" s="55" t="n">
        <v>151.1</v>
      </c>
      <c r="K257" s="53" t="n">
        <v>1</v>
      </c>
      <c r="L257" s="53" t="n">
        <v>1</v>
      </c>
      <c r="M257" s="53" t="n">
        <v>0</v>
      </c>
      <c r="N257" s="53" t="n">
        <v>0</v>
      </c>
      <c r="O257" s="53" t="n">
        <v>0</v>
      </c>
      <c r="P257" s="53" t="n">
        <v>0</v>
      </c>
    </row>
    <row r="258">
      <c r="A258" s="58" t="inlineStr">
        <is>
          <t>Dylan Rubino</t>
        </is>
      </c>
      <c r="B258" s="58" t="inlineStr">
        <is>
          <t>Amplify</t>
        </is>
      </c>
      <c r="C258" s="58" t="inlineStr">
        <is>
          <t>Sapporo</t>
        </is>
      </c>
      <c r="D258" s="58" t="inlineStr">
        <is>
          <t>Sapporo</t>
        </is>
      </c>
      <c r="E258" s="53" t="n">
        <v>3433</v>
      </c>
      <c r="F258" s="53" t="n">
        <v>4106</v>
      </c>
      <c r="G258" s="55" t="n">
        <v>98330.25</v>
      </c>
      <c r="H258" s="55" t="n">
        <v>116385.75</v>
      </c>
      <c r="I258" s="55" t="n">
        <v>24552.56</v>
      </c>
      <c r="J258" s="55" t="n">
        <v>28756.98</v>
      </c>
      <c r="K258" s="53" t="n">
        <v>119</v>
      </c>
      <c r="L258" s="53" t="n">
        <v>126</v>
      </c>
      <c r="M258" s="53" t="n">
        <v>15</v>
      </c>
      <c r="N258" s="53" t="n">
        <v>253</v>
      </c>
      <c r="O258" s="53" t="n">
        <v>8</v>
      </c>
      <c r="P258" s="53" t="n">
        <v>68</v>
      </c>
    </row>
    <row r="259">
      <c r="A259" s="58" t="inlineStr">
        <is>
          <t>Dylan Rubino</t>
        </is>
      </c>
      <c r="B259" s="58" t="inlineStr">
        <is>
          <t>Qualifier</t>
        </is>
      </c>
      <c r="C259" s="58" t="inlineStr">
        <is>
          <t>Boston Beer Company</t>
        </is>
      </c>
      <c r="D259" s="58" t="inlineStr">
        <is>
          <t>Truly</t>
        </is>
      </c>
      <c r="E259" s="53" t="n">
        <v>9</v>
      </c>
      <c r="F259" s="53" t="n">
        <v>6</v>
      </c>
      <c r="G259" s="55" t="n">
        <v>247.5</v>
      </c>
      <c r="H259" s="55" t="n">
        <v>174</v>
      </c>
      <c r="I259" s="55" t="n">
        <v>65.25</v>
      </c>
      <c r="J259" s="55" t="n">
        <v>46.2</v>
      </c>
      <c r="K259" s="53" t="n">
        <v>1</v>
      </c>
      <c r="L259" s="53" t="n">
        <v>1</v>
      </c>
      <c r="M259" s="53" t="n">
        <v>0</v>
      </c>
      <c r="N259" s="53" t="n">
        <v>0</v>
      </c>
      <c r="O259" s="53" t="n">
        <v>0</v>
      </c>
      <c r="P259" s="53" t="n">
        <v>0</v>
      </c>
    </row>
    <row r="260">
      <c r="A260" s="58" t="inlineStr">
        <is>
          <t>Dylan Rubino</t>
        </is>
      </c>
      <c r="B260" s="58" t="inlineStr">
        <is>
          <t>Qualifier</t>
        </is>
      </c>
      <c r="C260" s="58" t="inlineStr">
        <is>
          <t>Boston Beer Company</t>
        </is>
      </c>
      <c r="D260" s="58" t="inlineStr">
        <is>
          <t>Twisted Tea</t>
        </is>
      </c>
      <c r="E260" s="53" t="n">
        <v>8</v>
      </c>
      <c r="F260" s="53" t="n">
        <v>7</v>
      </c>
      <c r="G260" s="55" t="n">
        <v>228</v>
      </c>
      <c r="H260" s="55" t="n">
        <v>202</v>
      </c>
      <c r="I260" s="55" t="n">
        <v>60.4</v>
      </c>
      <c r="J260" s="55" t="n">
        <v>52.52</v>
      </c>
      <c r="K260" s="53" t="n">
        <v>1</v>
      </c>
      <c r="L260" s="53" t="n">
        <v>1</v>
      </c>
      <c r="M260" s="53" t="n">
        <v>0</v>
      </c>
      <c r="N260" s="53" t="n">
        <v>0</v>
      </c>
      <c r="O260" s="53" t="n">
        <v>0</v>
      </c>
      <c r="P260" s="53" t="n">
        <v>0</v>
      </c>
    </row>
    <row r="261">
      <c r="A261" s="58" t="inlineStr">
        <is>
          <t>Dylan Rubino</t>
        </is>
      </c>
      <c r="B261" s="58" t="inlineStr">
        <is>
          <t>Qualifier</t>
        </is>
      </c>
      <c r="C261" s="58" t="inlineStr">
        <is>
          <t>Constellation Brands</t>
        </is>
      </c>
      <c r="D261" s="58" t="inlineStr">
        <is>
          <t>Corona Extra</t>
        </is>
      </c>
      <c r="E261" s="53" t="n">
        <v>127</v>
      </c>
      <c r="F261" s="53" t="n">
        <v>115</v>
      </c>
      <c r="G261" s="55" t="n">
        <v>4185.4</v>
      </c>
      <c r="H261" s="55" t="n">
        <v>3872.25</v>
      </c>
      <c r="I261" s="55" t="n">
        <v>1120.88</v>
      </c>
      <c r="J261" s="55" t="n">
        <v>1040.66</v>
      </c>
      <c r="K261" s="53" t="n">
        <v>1</v>
      </c>
      <c r="L261" s="53" t="n">
        <v>1</v>
      </c>
      <c r="M261" s="53" t="n">
        <v>0</v>
      </c>
      <c r="N261" s="53" t="n">
        <v>0</v>
      </c>
      <c r="O261" s="53" t="n">
        <v>0</v>
      </c>
      <c r="P261" s="53" t="n">
        <v>0</v>
      </c>
    </row>
    <row r="262">
      <c r="A262" s="58" t="inlineStr">
        <is>
          <t>Dylan Rubino</t>
        </is>
      </c>
      <c r="B262" s="58" t="inlineStr">
        <is>
          <t>Qualifier</t>
        </is>
      </c>
      <c r="C262" s="58" t="inlineStr">
        <is>
          <t>Constellation Brands</t>
        </is>
      </c>
      <c r="D262" s="58" t="inlineStr">
        <is>
          <t>Modelo Especial</t>
        </is>
      </c>
      <c r="E262" s="53" t="n">
        <v>101</v>
      </c>
      <c r="F262" s="53" t="n">
        <v>125</v>
      </c>
      <c r="G262" s="55" t="n">
        <v>3255.25</v>
      </c>
      <c r="H262" s="55" t="n">
        <v>3998.95</v>
      </c>
      <c r="I262" s="55" t="n">
        <v>840.39</v>
      </c>
      <c r="J262" s="55" t="n">
        <v>1047.93</v>
      </c>
      <c r="K262" s="53" t="n">
        <v>1</v>
      </c>
      <c r="L262" s="53" t="n">
        <v>1</v>
      </c>
      <c r="M262" s="53" t="n">
        <v>0</v>
      </c>
      <c r="N262" s="53" t="n">
        <v>0</v>
      </c>
      <c r="O262" s="53" t="n">
        <v>0</v>
      </c>
      <c r="P262" s="53" t="n">
        <v>0</v>
      </c>
    </row>
    <row r="263">
      <c r="A263" s="58" t="inlineStr">
        <is>
          <t>Dylan Rubino</t>
        </is>
      </c>
      <c r="B263" s="58" t="inlineStr">
        <is>
          <t>Qualifier</t>
        </is>
      </c>
      <c r="C263" s="58" t="inlineStr">
        <is>
          <t>DG Yuengling Inc</t>
        </is>
      </c>
      <c r="D263" s="58" t="inlineStr">
        <is>
          <t>Yuengling Lager</t>
        </is>
      </c>
      <c r="E263" s="53" t="n">
        <v>24</v>
      </c>
      <c r="F263" s="53" t="n">
        <v>6</v>
      </c>
      <c r="G263" s="55" t="n">
        <v>432</v>
      </c>
      <c r="H263" s="55" t="n">
        <v>116</v>
      </c>
      <c r="I263" s="55" t="n">
        <v>108.6</v>
      </c>
      <c r="J263" s="55" t="n">
        <v>31.35</v>
      </c>
      <c r="K263" s="53" t="n">
        <v>1</v>
      </c>
      <c r="L263" s="53" t="n">
        <v>1</v>
      </c>
      <c r="M263" s="53" t="n">
        <v>0</v>
      </c>
      <c r="N263" s="53" t="n">
        <v>0</v>
      </c>
      <c r="O263" s="53" t="n">
        <v>0</v>
      </c>
      <c r="P263" s="53" t="n">
        <v>0</v>
      </c>
    </row>
    <row r="264">
      <c r="A264" s="58" t="inlineStr">
        <is>
          <t>Dylan Rubino</t>
        </is>
      </c>
      <c r="B264" s="58" t="inlineStr">
        <is>
          <t>Qualifier</t>
        </is>
      </c>
      <c r="C264" s="58" t="inlineStr">
        <is>
          <t>Heineken USA</t>
        </is>
      </c>
      <c r="D264" s="58" t="inlineStr">
        <is>
          <t>Heineken USA</t>
        </is>
      </c>
      <c r="E264" s="53" t="n">
        <v>32</v>
      </c>
      <c r="F264" s="53" t="n">
        <v>49</v>
      </c>
      <c r="G264" s="55" t="n">
        <v>1106.3</v>
      </c>
      <c r="H264" s="55" t="n">
        <v>1709.8</v>
      </c>
      <c r="I264" s="55" t="n">
        <v>335.16</v>
      </c>
      <c r="J264" s="55" t="n">
        <v>533.21</v>
      </c>
      <c r="K264" s="53" t="n">
        <v>1</v>
      </c>
      <c r="L264" s="53" t="n">
        <v>1</v>
      </c>
      <c r="M264" s="53" t="n">
        <v>0</v>
      </c>
      <c r="N264" s="53" t="n">
        <v>0</v>
      </c>
      <c r="O264" s="53" t="n">
        <v>0</v>
      </c>
      <c r="P264" s="53" t="n">
        <v>0</v>
      </c>
    </row>
    <row r="265">
      <c r="A265" s="58" t="inlineStr">
        <is>
          <t>Dylan Rubino</t>
        </is>
      </c>
      <c r="B265" s="58" t="inlineStr">
        <is>
          <t>Qualifier</t>
        </is>
      </c>
      <c r="C265" s="58" t="inlineStr">
        <is>
          <t>Mark Anthony</t>
        </is>
      </c>
      <c r="D265" s="58" t="inlineStr">
        <is>
          <t>White Claw</t>
        </is>
      </c>
      <c r="E265" s="53" t="n">
        <v>25</v>
      </c>
      <c r="F265" s="53" t="n">
        <v>22</v>
      </c>
      <c r="G265" s="55" t="n">
        <v>866</v>
      </c>
      <c r="H265" s="55" t="n">
        <v>798</v>
      </c>
      <c r="I265" s="55" t="n">
        <v>213.18</v>
      </c>
      <c r="J265" s="55" t="n">
        <v>190.07</v>
      </c>
      <c r="K265" s="53" t="n">
        <v>1</v>
      </c>
      <c r="L265" s="53" t="n">
        <v>1</v>
      </c>
      <c r="M265" s="53" t="n">
        <v>0</v>
      </c>
      <c r="N265" s="53" t="n">
        <v>0</v>
      </c>
      <c r="O265" s="53" t="n">
        <v>0</v>
      </c>
      <c r="P265" s="53" t="n">
        <v>0</v>
      </c>
    </row>
    <row r="266">
      <c r="A266" s="58" t="inlineStr">
        <is>
          <t>Dylan Rubino</t>
        </is>
      </c>
      <c r="B266" s="58" t="inlineStr">
        <is>
          <t>Qualifier</t>
        </is>
      </c>
      <c r="C266" s="58" t="inlineStr">
        <is>
          <t>MolsonCoors Beverage Company</t>
        </is>
      </c>
      <c r="D266" s="58" t="inlineStr">
        <is>
          <t>Blue Moon</t>
        </is>
      </c>
      <c r="E266" s="53" t="n">
        <v>10</v>
      </c>
      <c r="F266" s="53" t="n">
        <v>7</v>
      </c>
      <c r="G266" s="55" t="n">
        <v>333.6</v>
      </c>
      <c r="H266" s="55" t="n">
        <v>244.9</v>
      </c>
      <c r="I266" s="55" t="n">
        <v>86.65000000000001</v>
      </c>
      <c r="J266" s="55" t="n">
        <v>56.66</v>
      </c>
      <c r="K266" s="53" t="n">
        <v>1</v>
      </c>
      <c r="L266" s="53" t="n">
        <v>1</v>
      </c>
      <c r="M266" s="53" t="n">
        <v>0</v>
      </c>
      <c r="N266" s="53" t="n">
        <v>0</v>
      </c>
      <c r="O266" s="53" t="n">
        <v>0</v>
      </c>
      <c r="P266" s="53" t="n">
        <v>0</v>
      </c>
    </row>
    <row r="267">
      <c r="A267" s="58" t="inlineStr">
        <is>
          <t>Dylan Rubino</t>
        </is>
      </c>
      <c r="B267" s="58" t="inlineStr">
        <is>
          <t>Qualifier</t>
        </is>
      </c>
      <c r="C267" s="58" t="inlineStr">
        <is>
          <t>MolsonCoors Beverage Company</t>
        </is>
      </c>
      <c r="D267" s="58" t="inlineStr">
        <is>
          <t>Coors Light</t>
        </is>
      </c>
      <c r="E267" s="53" t="n">
        <v>122</v>
      </c>
      <c r="F267" s="53" t="n">
        <v>111</v>
      </c>
      <c r="G267" s="55" t="n">
        <v>2482.75</v>
      </c>
      <c r="H267" s="55" t="n">
        <v>2140.25</v>
      </c>
      <c r="I267" s="55" t="n">
        <v>494.09</v>
      </c>
      <c r="J267" s="55" t="n">
        <v>367.97</v>
      </c>
      <c r="K267" s="53" t="n">
        <v>1</v>
      </c>
      <c r="L267" s="53" t="n">
        <v>1</v>
      </c>
      <c r="M267" s="53" t="n">
        <v>0</v>
      </c>
      <c r="N267" s="53" t="n">
        <v>0</v>
      </c>
      <c r="O267" s="53" t="n">
        <v>0</v>
      </c>
      <c r="P267" s="53" t="n">
        <v>0</v>
      </c>
    </row>
    <row r="268">
      <c r="A268" s="58" t="inlineStr">
        <is>
          <t>Dylan Rubino</t>
        </is>
      </c>
      <c r="B268" s="58" t="inlineStr">
        <is>
          <t>Qualifier</t>
        </is>
      </c>
      <c r="C268" s="58" t="inlineStr">
        <is>
          <t>MolsonCoors Beverage Company</t>
        </is>
      </c>
      <c r="D268" s="58" t="inlineStr">
        <is>
          <t>Lite</t>
        </is>
      </c>
      <c r="E268" s="53" t="n">
        <v>19</v>
      </c>
      <c r="F268" s="53" t="n">
        <v>31</v>
      </c>
      <c r="G268" s="55" t="n">
        <v>408.5</v>
      </c>
      <c r="H268" s="55" t="n">
        <v>691.65</v>
      </c>
      <c r="I268" s="55" t="n">
        <v>92.45</v>
      </c>
      <c r="J268" s="55" t="n">
        <v>173.22</v>
      </c>
      <c r="K268" s="53" t="n">
        <v>1</v>
      </c>
      <c r="L268" s="53" t="n">
        <v>1</v>
      </c>
      <c r="M268" s="53" t="n">
        <v>0</v>
      </c>
      <c r="N268" s="53" t="n">
        <v>0</v>
      </c>
      <c r="O268" s="53" t="n">
        <v>0</v>
      </c>
      <c r="P268" s="53" t="n">
        <v>0</v>
      </c>
    </row>
    <row r="269">
      <c r="A269" s="58" t="inlineStr">
        <is>
          <t>Hakan Sadik</t>
        </is>
      </c>
      <c r="B269" s="58" t="inlineStr">
        <is>
          <t>Amplify</t>
        </is>
      </c>
      <c r="C269" s="58" t="inlineStr">
        <is>
          <t>Bell's</t>
        </is>
      </c>
      <c r="D269" s="58" t="inlineStr">
        <is>
          <t>Bell's</t>
        </is>
      </c>
      <c r="E269" s="53" t="n">
        <v>2</v>
      </c>
      <c r="F269" s="53" t="n">
        <v>0</v>
      </c>
      <c r="G269" s="55" t="n">
        <v>77.2</v>
      </c>
      <c r="H269" s="55" t="n">
        <v>0</v>
      </c>
      <c r="I269" s="55" t="n">
        <v>27.96</v>
      </c>
      <c r="J269" s="55" t="n">
        <v>0</v>
      </c>
      <c r="K269" s="53" t="n">
        <v>1</v>
      </c>
      <c r="L269" s="53" t="n">
        <v>0</v>
      </c>
      <c r="M269" s="53" t="n">
        <v>0</v>
      </c>
      <c r="N269" s="53" t="n">
        <v>0</v>
      </c>
      <c r="O269" s="53" t="n">
        <v>1</v>
      </c>
      <c r="P269" s="53" t="n">
        <v>2</v>
      </c>
    </row>
    <row r="270">
      <c r="A270" s="58" t="inlineStr">
        <is>
          <t>Hakan Sadik</t>
        </is>
      </c>
      <c r="B270" s="58" t="inlineStr">
        <is>
          <t>Amplify</t>
        </is>
      </c>
      <c r="C270" s="58" t="inlineStr">
        <is>
          <t>Boston Beer Company</t>
        </is>
      </c>
      <c r="D270" s="58" t="inlineStr">
        <is>
          <t>Dogfish Head Spirits</t>
        </is>
      </c>
      <c r="E270" s="53" t="n">
        <v>3</v>
      </c>
      <c r="F270" s="53" t="n">
        <v>0</v>
      </c>
      <c r="G270" s="55" t="n">
        <v>165</v>
      </c>
      <c r="H270" s="55" t="n">
        <v>0</v>
      </c>
      <c r="I270" s="55" t="n">
        <v>76.73999999999999</v>
      </c>
      <c r="J270" s="55" t="n">
        <v>0</v>
      </c>
      <c r="K270" s="53" t="n">
        <v>1</v>
      </c>
      <c r="L270" s="53" t="n">
        <v>0</v>
      </c>
      <c r="M270" s="53" t="n">
        <v>0</v>
      </c>
      <c r="N270" s="53" t="n">
        <v>0</v>
      </c>
      <c r="O270" s="53" t="n">
        <v>1</v>
      </c>
      <c r="P270" s="53" t="n">
        <v>3</v>
      </c>
    </row>
    <row r="271">
      <c r="A271" s="58" t="inlineStr">
        <is>
          <t>Hakan Sadik</t>
        </is>
      </c>
      <c r="B271" s="58" t="inlineStr">
        <is>
          <t>Amplify</t>
        </is>
      </c>
      <c r="C271" s="58" t="inlineStr">
        <is>
          <t>MolsonCoors Beverage Company</t>
        </is>
      </c>
      <c r="D271" s="58" t="inlineStr">
        <is>
          <t>Fever Tree</t>
        </is>
      </c>
      <c r="E271" s="53" t="n">
        <v>10</v>
      </c>
      <c r="F271" s="53" t="n">
        <v>0</v>
      </c>
      <c r="G271" s="55" t="n">
        <v>470</v>
      </c>
      <c r="H271" s="55" t="n">
        <v>0</v>
      </c>
      <c r="I271" s="55" t="n">
        <v>131.62</v>
      </c>
      <c r="J271" s="55" t="n">
        <v>0</v>
      </c>
      <c r="K271" s="53" t="n">
        <v>3</v>
      </c>
      <c r="L271" s="53" t="n">
        <v>0</v>
      </c>
      <c r="M271" s="53" t="n">
        <v>0</v>
      </c>
      <c r="N271" s="53" t="n">
        <v>0</v>
      </c>
      <c r="O271" s="53" t="n">
        <v>3</v>
      </c>
      <c r="P271" s="53" t="n">
        <v>10</v>
      </c>
    </row>
    <row r="272">
      <c r="A272" s="58" t="inlineStr">
        <is>
          <t>Hakan Sadik</t>
        </is>
      </c>
      <c r="B272" s="58" t="inlineStr">
        <is>
          <t>Amplify</t>
        </is>
      </c>
      <c r="C272" s="58" t="inlineStr">
        <is>
          <t>New Belgium Brewing Company</t>
        </is>
      </c>
      <c r="D272" s="58" t="inlineStr">
        <is>
          <t>Voodoo Family</t>
        </is>
      </c>
      <c r="E272" s="53" t="n">
        <v>3</v>
      </c>
      <c r="F272" s="53" t="n">
        <v>0</v>
      </c>
      <c r="G272" s="55" t="n">
        <v>123.3</v>
      </c>
      <c r="H272" s="55" t="n">
        <v>0</v>
      </c>
      <c r="I272" s="55" t="n">
        <v>38.7</v>
      </c>
      <c r="J272" s="55" t="n">
        <v>0</v>
      </c>
      <c r="K272" s="53" t="n">
        <v>1</v>
      </c>
      <c r="L272" s="53" t="n">
        <v>0</v>
      </c>
      <c r="M272" s="53" t="n">
        <v>0</v>
      </c>
      <c r="N272" s="53" t="n">
        <v>0</v>
      </c>
      <c r="O272" s="53" t="n">
        <v>1</v>
      </c>
      <c r="P272" s="53" t="n">
        <v>3</v>
      </c>
    </row>
    <row r="273">
      <c r="A273" s="58" t="inlineStr">
        <is>
          <t>Hakan Sadik</t>
        </is>
      </c>
      <c r="B273" s="58" t="inlineStr">
        <is>
          <t>Amplify</t>
        </is>
      </c>
      <c r="C273" s="58" t="inlineStr">
        <is>
          <t>Sapporo</t>
        </is>
      </c>
      <c r="D273" s="58" t="inlineStr">
        <is>
          <t>Sapporo</t>
        </is>
      </c>
      <c r="E273" s="53" t="n">
        <v>919</v>
      </c>
      <c r="F273" s="53" t="n">
        <v>911</v>
      </c>
      <c r="G273" s="55" t="n">
        <v>26104.7</v>
      </c>
      <c r="H273" s="55" t="n">
        <v>25914.25</v>
      </c>
      <c r="I273" s="55" t="n">
        <v>6460.089999999998</v>
      </c>
      <c r="J273" s="55" t="n">
        <v>6368.44</v>
      </c>
      <c r="K273" s="53" t="n">
        <v>46</v>
      </c>
      <c r="L273" s="53" t="n">
        <v>42</v>
      </c>
      <c r="M273" s="53" t="n">
        <v>8</v>
      </c>
      <c r="N273" s="53" t="n">
        <v>69</v>
      </c>
      <c r="O273" s="53" t="n">
        <v>12</v>
      </c>
      <c r="P273" s="53" t="n">
        <v>141</v>
      </c>
    </row>
    <row r="274">
      <c r="A274" s="58" t="inlineStr">
        <is>
          <t>Hakan Sadik</t>
        </is>
      </c>
      <c r="B274" s="58" t="inlineStr">
        <is>
          <t>Qualifier</t>
        </is>
      </c>
      <c r="C274" s="58" t="inlineStr">
        <is>
          <t>DG Yuengling Inc</t>
        </is>
      </c>
      <c r="D274" s="58" t="inlineStr">
        <is>
          <t>Yuengling Lager</t>
        </is>
      </c>
      <c r="E274" s="53" t="n">
        <v>1</v>
      </c>
      <c r="F274" s="53" t="n">
        <v>0</v>
      </c>
      <c r="G274" s="55" t="n">
        <v>22.1</v>
      </c>
      <c r="H274" s="55" t="n">
        <v>0</v>
      </c>
      <c r="I274" s="55" t="n">
        <v>6.66</v>
      </c>
      <c r="J274" s="55" t="n">
        <v>0</v>
      </c>
      <c r="K274" s="53" t="n">
        <v>1</v>
      </c>
      <c r="L274" s="53" t="n">
        <v>0</v>
      </c>
      <c r="M274" s="53" t="n">
        <v>0</v>
      </c>
      <c r="N274" s="53" t="n">
        <v>0</v>
      </c>
      <c r="O274" s="53" t="n">
        <v>1</v>
      </c>
      <c r="P274" s="53" t="n">
        <v>1</v>
      </c>
    </row>
    <row r="275">
      <c r="A275" s="58" t="inlineStr">
        <is>
          <t>Jaime Colonna</t>
        </is>
      </c>
      <c r="B275" s="58" t="inlineStr">
        <is>
          <t>Amplify</t>
        </is>
      </c>
      <c r="C275" s="58" t="inlineStr">
        <is>
          <t>Boston Beer Company</t>
        </is>
      </c>
      <c r="D275" s="58" t="inlineStr">
        <is>
          <t>Dogfish Head Beer</t>
        </is>
      </c>
      <c r="E275" s="53" t="n">
        <v>3</v>
      </c>
      <c r="F275" s="53" t="n">
        <v>1</v>
      </c>
      <c r="G275" s="55" t="n">
        <v>120.6</v>
      </c>
      <c r="H275" s="55" t="n">
        <v>37.8</v>
      </c>
      <c r="I275" s="55" t="n">
        <v>40.77</v>
      </c>
      <c r="J275" s="55" t="n">
        <v>12.92</v>
      </c>
      <c r="K275" s="53" t="n">
        <v>1</v>
      </c>
      <c r="L275" s="53" t="n">
        <v>1</v>
      </c>
      <c r="M275" s="53" t="n">
        <v>0</v>
      </c>
      <c r="N275" s="53" t="n">
        <v>0</v>
      </c>
      <c r="O275" s="53" t="n">
        <v>0</v>
      </c>
      <c r="P275" s="53" t="n">
        <v>0</v>
      </c>
    </row>
    <row r="276">
      <c r="A276" s="58" t="inlineStr">
        <is>
          <t>Jaime Colonna</t>
        </is>
      </c>
      <c r="B276" s="58" t="inlineStr">
        <is>
          <t>Amplify</t>
        </is>
      </c>
      <c r="C276" s="58" t="inlineStr">
        <is>
          <t>Boston Beer Company</t>
        </is>
      </c>
      <c r="D276" s="58" t="inlineStr">
        <is>
          <t>Dogfish Head Spirits</t>
        </is>
      </c>
      <c r="E276" s="53" t="n">
        <v>0</v>
      </c>
      <c r="F276" s="53" t="n">
        <v>3</v>
      </c>
      <c r="G276" s="55" t="n">
        <v>0</v>
      </c>
      <c r="H276" s="55" t="n">
        <v>195</v>
      </c>
      <c r="I276" s="55" t="n">
        <v>0</v>
      </c>
      <c r="J276" s="55" t="n">
        <v>85.89</v>
      </c>
      <c r="K276" s="53" t="n">
        <v>0</v>
      </c>
      <c r="L276" s="53" t="n">
        <v>1</v>
      </c>
      <c r="M276" s="53" t="n">
        <v>1</v>
      </c>
      <c r="N276" s="53" t="n">
        <v>3</v>
      </c>
      <c r="O276" s="53" t="n">
        <v>0</v>
      </c>
      <c r="P276" s="53" t="n">
        <v>0</v>
      </c>
    </row>
    <row r="277">
      <c r="A277" s="58" t="inlineStr">
        <is>
          <t>Jaime Colonna</t>
        </is>
      </c>
      <c r="B277" s="58" t="inlineStr">
        <is>
          <t>Amplify</t>
        </is>
      </c>
      <c r="C277" s="58" t="inlineStr">
        <is>
          <t>Cape May</t>
        </is>
      </c>
      <c r="D277" s="58" t="inlineStr">
        <is>
          <t>Cape May</t>
        </is>
      </c>
      <c r="E277" s="53" t="n">
        <v>5</v>
      </c>
      <c r="F277" s="53" t="n">
        <v>4</v>
      </c>
      <c r="G277" s="55" t="n">
        <v>203</v>
      </c>
      <c r="H277" s="55" t="n">
        <v>163</v>
      </c>
      <c r="I277" s="55" t="n">
        <v>61.21</v>
      </c>
      <c r="J277" s="55" t="n">
        <v>49.36</v>
      </c>
      <c r="K277" s="53" t="n">
        <v>1</v>
      </c>
      <c r="L277" s="53" t="n">
        <v>1</v>
      </c>
      <c r="M277" s="53" t="n">
        <v>0</v>
      </c>
      <c r="N277" s="53" t="n">
        <v>0</v>
      </c>
      <c r="O277" s="53" t="n">
        <v>0</v>
      </c>
      <c r="P277" s="53" t="n">
        <v>0</v>
      </c>
    </row>
    <row r="278">
      <c r="A278" s="58" t="inlineStr">
        <is>
          <t>Jaime Colonna</t>
        </is>
      </c>
      <c r="B278" s="58" t="inlineStr">
        <is>
          <t>Amplify</t>
        </is>
      </c>
      <c r="C278" s="58" t="inlineStr">
        <is>
          <t>Constellation Brands</t>
        </is>
      </c>
      <c r="D278" s="58" t="inlineStr">
        <is>
          <t>Corona Premier</t>
        </is>
      </c>
      <c r="E278" s="53" t="n">
        <v>12</v>
      </c>
      <c r="F278" s="53" t="n">
        <v>5</v>
      </c>
      <c r="G278" s="55" t="n">
        <v>378</v>
      </c>
      <c r="H278" s="55" t="n">
        <v>145.5</v>
      </c>
      <c r="I278" s="55" t="n">
        <v>88.44</v>
      </c>
      <c r="J278" s="55" t="n">
        <v>40.94</v>
      </c>
      <c r="K278" s="53" t="n">
        <v>1</v>
      </c>
      <c r="L278" s="53" t="n">
        <v>1</v>
      </c>
      <c r="M278" s="53" t="n">
        <v>0</v>
      </c>
      <c r="N278" s="53" t="n">
        <v>0</v>
      </c>
      <c r="O278" s="53" t="n">
        <v>0</v>
      </c>
      <c r="P278" s="53" t="n">
        <v>0</v>
      </c>
    </row>
    <row r="279">
      <c r="A279" s="58" t="inlineStr">
        <is>
          <t>Jaime Colonna</t>
        </is>
      </c>
      <c r="B279" s="58" t="inlineStr">
        <is>
          <t>Amplify</t>
        </is>
      </c>
      <c r="C279" s="58" t="inlineStr">
        <is>
          <t>Constellation Brands</t>
        </is>
      </c>
      <c r="D279" s="58" t="inlineStr">
        <is>
          <t>Modelo Chelada</t>
        </is>
      </c>
      <c r="E279" s="53" t="n">
        <v>12</v>
      </c>
      <c r="F279" s="53" t="n">
        <v>9</v>
      </c>
      <c r="G279" s="55" t="n">
        <v>381</v>
      </c>
      <c r="H279" s="55" t="n">
        <v>285.75</v>
      </c>
      <c r="I279" s="55" t="n">
        <v>108.85</v>
      </c>
      <c r="J279" s="55" t="n">
        <v>81.64</v>
      </c>
      <c r="K279" s="53" t="n">
        <v>1</v>
      </c>
      <c r="L279" s="53" t="n">
        <v>1</v>
      </c>
      <c r="M279" s="53" t="n">
        <v>0</v>
      </c>
      <c r="N279" s="53" t="n">
        <v>0</v>
      </c>
      <c r="O279" s="53" t="n">
        <v>0</v>
      </c>
      <c r="P279" s="53" t="n">
        <v>0</v>
      </c>
    </row>
    <row r="280">
      <c r="A280" s="58" t="inlineStr">
        <is>
          <t>Jaime Colonna</t>
        </is>
      </c>
      <c r="B280" s="58" t="inlineStr">
        <is>
          <t>Amplify</t>
        </is>
      </c>
      <c r="C280" s="58" t="inlineStr">
        <is>
          <t>Constellation Brands</t>
        </is>
      </c>
      <c r="D280" s="58" t="inlineStr">
        <is>
          <t>Victoria</t>
        </is>
      </c>
      <c r="E280" s="53" t="n">
        <v>3</v>
      </c>
      <c r="F280" s="53" t="n">
        <v>1</v>
      </c>
      <c r="G280" s="55" t="n">
        <v>96.7</v>
      </c>
      <c r="H280" s="55" t="n">
        <v>34</v>
      </c>
      <c r="I280" s="55" t="n">
        <v>24.31</v>
      </c>
      <c r="J280" s="55" t="n">
        <v>9.869999999999999</v>
      </c>
      <c r="K280" s="53" t="n">
        <v>1</v>
      </c>
      <c r="L280" s="53" t="n">
        <v>1</v>
      </c>
      <c r="M280" s="53" t="n">
        <v>0</v>
      </c>
      <c r="N280" s="53" t="n">
        <v>0</v>
      </c>
      <c r="O280" s="53" t="n">
        <v>0</v>
      </c>
      <c r="P280" s="53" t="n">
        <v>0</v>
      </c>
    </row>
    <row r="281">
      <c r="A281" s="58" t="inlineStr">
        <is>
          <t>Jaime Colonna</t>
        </is>
      </c>
      <c r="B281" s="58" t="inlineStr">
        <is>
          <t>Amplify</t>
        </is>
      </c>
      <c r="C281" s="58" t="inlineStr">
        <is>
          <t>DG Yuengling Inc</t>
        </is>
      </c>
      <c r="D281" s="58" t="inlineStr">
        <is>
          <t>Yuengling Flight</t>
        </is>
      </c>
      <c r="E281" s="53" t="n">
        <v>1</v>
      </c>
      <c r="F281" s="53" t="n">
        <v>0</v>
      </c>
      <c r="G281" s="55" t="n">
        <v>29.5</v>
      </c>
      <c r="H281" s="55" t="n">
        <v>0</v>
      </c>
      <c r="I281" s="55" t="n">
        <v>9.82</v>
      </c>
      <c r="J281" s="55" t="n">
        <v>0</v>
      </c>
      <c r="K281" s="53" t="n">
        <v>1</v>
      </c>
      <c r="L281" s="53" t="n">
        <v>0</v>
      </c>
      <c r="M281" s="53" t="n">
        <v>0</v>
      </c>
      <c r="N281" s="53" t="n">
        <v>0</v>
      </c>
      <c r="O281" s="53" t="n">
        <v>1</v>
      </c>
      <c r="P281" s="53" t="n">
        <v>1</v>
      </c>
    </row>
    <row r="282">
      <c r="A282" s="58" t="inlineStr">
        <is>
          <t>Jaime Colonna</t>
        </is>
      </c>
      <c r="B282" s="58" t="inlineStr">
        <is>
          <t>Amplify</t>
        </is>
      </c>
      <c r="C282" s="58" t="inlineStr">
        <is>
          <t>Heineken USA</t>
        </is>
      </c>
      <c r="D282" s="58" t="inlineStr">
        <is>
          <t>Heineken 0.0</t>
        </is>
      </c>
      <c r="E282" s="53" t="n">
        <v>3</v>
      </c>
      <c r="F282" s="53" t="n">
        <v>3</v>
      </c>
      <c r="G282" s="55" t="n">
        <v>94.05</v>
      </c>
      <c r="H282" s="55" t="n">
        <v>94.05</v>
      </c>
      <c r="I282" s="55" t="n">
        <v>24.96</v>
      </c>
      <c r="J282" s="55" t="n">
        <v>24.96</v>
      </c>
      <c r="K282" s="53" t="n">
        <v>1</v>
      </c>
      <c r="L282" s="53" t="n">
        <v>1</v>
      </c>
      <c r="M282" s="53" t="n">
        <v>0</v>
      </c>
      <c r="N282" s="53" t="n">
        <v>0</v>
      </c>
      <c r="O282" s="53" t="n">
        <v>0</v>
      </c>
      <c r="P282" s="53" t="n">
        <v>0</v>
      </c>
    </row>
    <row r="283">
      <c r="A283" s="58" t="inlineStr">
        <is>
          <t>Jaime Colonna</t>
        </is>
      </c>
      <c r="B283" s="58" t="inlineStr">
        <is>
          <t>Amplify</t>
        </is>
      </c>
      <c r="C283" s="58" t="inlineStr">
        <is>
          <t>Heineken USA</t>
        </is>
      </c>
      <c r="D283" s="58" t="inlineStr">
        <is>
          <t>Heineken Light</t>
        </is>
      </c>
      <c r="E283" s="53" t="n">
        <v>3</v>
      </c>
      <c r="F283" s="53" t="n">
        <v>0</v>
      </c>
      <c r="G283" s="55" t="n">
        <v>93.75</v>
      </c>
      <c r="H283" s="55" t="n">
        <v>0</v>
      </c>
      <c r="I283" s="55" t="n">
        <v>22.38</v>
      </c>
      <c r="J283" s="55" t="n">
        <v>0</v>
      </c>
      <c r="K283" s="53" t="n">
        <v>1</v>
      </c>
      <c r="L283" s="53" t="n">
        <v>0</v>
      </c>
      <c r="M283" s="53" t="n">
        <v>0</v>
      </c>
      <c r="N283" s="53" t="n">
        <v>0</v>
      </c>
      <c r="O283" s="53" t="n">
        <v>1</v>
      </c>
      <c r="P283" s="53" t="n">
        <v>3</v>
      </c>
    </row>
    <row r="284">
      <c r="A284" s="58" t="inlineStr">
        <is>
          <t>Jaime Colonna</t>
        </is>
      </c>
      <c r="B284" s="58" t="inlineStr">
        <is>
          <t>Amplify</t>
        </is>
      </c>
      <c r="C284" s="58" t="inlineStr">
        <is>
          <t>Mark Anthony</t>
        </is>
      </c>
      <c r="D284" s="58" t="inlineStr">
        <is>
          <t>Cayman Jack</t>
        </is>
      </c>
      <c r="E284" s="53" t="n">
        <v>4</v>
      </c>
      <c r="F284" s="53" t="n">
        <v>7</v>
      </c>
      <c r="G284" s="55" t="n">
        <v>133</v>
      </c>
      <c r="H284" s="55" t="n">
        <v>228.5</v>
      </c>
      <c r="I284" s="55" t="n">
        <v>39.19</v>
      </c>
      <c r="J284" s="55" t="n">
        <v>64.33</v>
      </c>
      <c r="K284" s="53" t="n">
        <v>1</v>
      </c>
      <c r="L284" s="53" t="n">
        <v>1</v>
      </c>
      <c r="M284" s="53" t="n">
        <v>0</v>
      </c>
      <c r="N284" s="53" t="n">
        <v>0</v>
      </c>
      <c r="O284" s="53" t="n">
        <v>0</v>
      </c>
      <c r="P284" s="53" t="n">
        <v>0</v>
      </c>
    </row>
    <row r="285">
      <c r="A285" s="58" t="inlineStr">
        <is>
          <t>Jaime Colonna</t>
        </is>
      </c>
      <c r="B285" s="58" t="inlineStr">
        <is>
          <t>Amplify</t>
        </is>
      </c>
      <c r="C285" s="58" t="inlineStr">
        <is>
          <t>MolsonCoors Beverage Company</t>
        </is>
      </c>
      <c r="D285" s="58" t="inlineStr">
        <is>
          <t>Coors</t>
        </is>
      </c>
      <c r="E285" s="53" t="n">
        <v>2</v>
      </c>
      <c r="F285" s="53" t="n">
        <v>4</v>
      </c>
      <c r="G285" s="55" t="n">
        <v>36</v>
      </c>
      <c r="H285" s="55" t="n">
        <v>70</v>
      </c>
      <c r="I285" s="55" t="n">
        <v>8.359999999999999</v>
      </c>
      <c r="J285" s="55" t="n">
        <v>12.76</v>
      </c>
      <c r="K285" s="53" t="n">
        <v>1</v>
      </c>
      <c r="L285" s="53" t="n">
        <v>1</v>
      </c>
      <c r="M285" s="53" t="n">
        <v>0</v>
      </c>
      <c r="N285" s="53" t="n">
        <v>0</v>
      </c>
      <c r="O285" s="53" t="n">
        <v>0</v>
      </c>
      <c r="P285" s="53" t="n">
        <v>0</v>
      </c>
    </row>
    <row r="286">
      <c r="A286" s="58" t="inlineStr">
        <is>
          <t>Jaime Colonna</t>
        </is>
      </c>
      <c r="B286" s="58" t="inlineStr">
        <is>
          <t>Amplify</t>
        </is>
      </c>
      <c r="C286" s="58" t="inlineStr">
        <is>
          <t>MolsonCoors Beverage Company</t>
        </is>
      </c>
      <c r="D286" s="58" t="inlineStr">
        <is>
          <t>Fever Tree</t>
        </is>
      </c>
      <c r="E286" s="53" t="n">
        <v>4</v>
      </c>
      <c r="F286" s="53" t="n">
        <v>0</v>
      </c>
      <c r="G286" s="55" t="n">
        <v>188</v>
      </c>
      <c r="H286" s="55" t="n">
        <v>0</v>
      </c>
      <c r="I286" s="55" t="n">
        <v>64.25</v>
      </c>
      <c r="J286" s="55" t="n">
        <v>0</v>
      </c>
      <c r="K286" s="53" t="n">
        <v>2</v>
      </c>
      <c r="L286" s="53" t="n">
        <v>0</v>
      </c>
      <c r="M286" s="53" t="n">
        <v>0</v>
      </c>
      <c r="N286" s="53" t="n">
        <v>0</v>
      </c>
      <c r="O286" s="53" t="n">
        <v>2</v>
      </c>
      <c r="P286" s="53" t="n">
        <v>4</v>
      </c>
    </row>
    <row r="287">
      <c r="A287" s="58" t="inlineStr">
        <is>
          <t>Jaime Colonna</t>
        </is>
      </c>
      <c r="B287" s="58" t="inlineStr">
        <is>
          <t>Amplify</t>
        </is>
      </c>
      <c r="C287" s="58" t="inlineStr">
        <is>
          <t>MolsonCoors Beverage Company</t>
        </is>
      </c>
      <c r="D287" s="58" t="inlineStr">
        <is>
          <t>Peroni</t>
        </is>
      </c>
      <c r="E287" s="53" t="n">
        <v>5</v>
      </c>
      <c r="F287" s="53" t="n">
        <v>9</v>
      </c>
      <c r="G287" s="55" t="n">
        <v>163</v>
      </c>
      <c r="H287" s="55" t="n">
        <v>326</v>
      </c>
      <c r="I287" s="55" t="n">
        <v>32.23</v>
      </c>
      <c r="J287" s="55" t="n">
        <v>64.45999999999999</v>
      </c>
      <c r="K287" s="53" t="n">
        <v>1</v>
      </c>
      <c r="L287" s="53" t="n">
        <v>1</v>
      </c>
      <c r="M287" s="53" t="n">
        <v>0</v>
      </c>
      <c r="N287" s="53" t="n">
        <v>0</v>
      </c>
      <c r="O287" s="53" t="n">
        <v>0</v>
      </c>
      <c r="P287" s="53" t="n">
        <v>0</v>
      </c>
    </row>
    <row r="288">
      <c r="A288" s="58" t="inlineStr">
        <is>
          <t>Jaime Colonna</t>
        </is>
      </c>
      <c r="B288" s="58" t="inlineStr">
        <is>
          <t>Amplify</t>
        </is>
      </c>
      <c r="C288" s="58" t="inlineStr">
        <is>
          <t>New Belgium Brewing Company</t>
        </is>
      </c>
      <c r="D288" s="58" t="inlineStr">
        <is>
          <t>Voodoo Family</t>
        </is>
      </c>
      <c r="E288" s="53" t="n">
        <v>5</v>
      </c>
      <c r="F288" s="53" t="n">
        <v>8</v>
      </c>
      <c r="G288" s="55" t="n">
        <v>193</v>
      </c>
      <c r="H288" s="55" t="n">
        <v>304.5</v>
      </c>
      <c r="I288" s="55" t="n">
        <v>58</v>
      </c>
      <c r="J288" s="55" t="n">
        <v>87.34</v>
      </c>
      <c r="K288" s="53" t="n">
        <v>1</v>
      </c>
      <c r="L288" s="53" t="n">
        <v>1</v>
      </c>
      <c r="M288" s="53" t="n">
        <v>0</v>
      </c>
      <c r="N288" s="53" t="n">
        <v>0</v>
      </c>
      <c r="O288" s="53" t="n">
        <v>0</v>
      </c>
      <c r="P288" s="53" t="n">
        <v>0</v>
      </c>
    </row>
    <row r="289">
      <c r="A289" s="58" t="inlineStr">
        <is>
          <t>Jaime Colonna</t>
        </is>
      </c>
      <c r="B289" s="58" t="inlineStr">
        <is>
          <t>Amplify</t>
        </is>
      </c>
      <c r="C289" s="58" t="inlineStr">
        <is>
          <t>Sapporo</t>
        </is>
      </c>
      <c r="D289" s="58" t="inlineStr">
        <is>
          <t>Sapporo</t>
        </is>
      </c>
      <c r="E289" s="53" t="n">
        <v>1584</v>
      </c>
      <c r="F289" s="53" t="n">
        <v>1682</v>
      </c>
      <c r="G289" s="55" t="n">
        <v>44112</v>
      </c>
      <c r="H289" s="55" t="n">
        <v>46830.25</v>
      </c>
      <c r="I289" s="55" t="n">
        <v>10921.66</v>
      </c>
      <c r="J289" s="55" t="n">
        <v>11633.52</v>
      </c>
      <c r="K289" s="53" t="n">
        <v>38</v>
      </c>
      <c r="L289" s="53" t="n">
        <v>41</v>
      </c>
      <c r="M289" s="53" t="n">
        <v>9</v>
      </c>
      <c r="N289" s="53" t="n">
        <v>271</v>
      </c>
      <c r="O289" s="53" t="n">
        <v>6</v>
      </c>
      <c r="P289" s="53" t="n">
        <v>180</v>
      </c>
    </row>
    <row r="290">
      <c r="A290" s="58" t="inlineStr">
        <is>
          <t>Jaime Colonna</t>
        </is>
      </c>
      <c r="B290" s="58" t="inlineStr">
        <is>
          <t>Qualifier</t>
        </is>
      </c>
      <c r="C290" s="58" t="inlineStr">
        <is>
          <t>Boston Beer Company</t>
        </is>
      </c>
      <c r="D290" s="58" t="inlineStr">
        <is>
          <t>Truly</t>
        </is>
      </c>
      <c r="E290" s="53" t="n">
        <v>15</v>
      </c>
      <c r="F290" s="53" t="n">
        <v>0</v>
      </c>
      <c r="G290" s="55" t="n">
        <v>456</v>
      </c>
      <c r="H290" s="55" t="n">
        <v>0</v>
      </c>
      <c r="I290" s="55" t="n">
        <v>114.9</v>
      </c>
      <c r="J290" s="55" t="n">
        <v>0</v>
      </c>
      <c r="K290" s="53" t="n">
        <v>1</v>
      </c>
      <c r="L290" s="53" t="n">
        <v>0</v>
      </c>
      <c r="M290" s="53" t="n">
        <v>0</v>
      </c>
      <c r="N290" s="53" t="n">
        <v>0</v>
      </c>
      <c r="O290" s="53" t="n">
        <v>1</v>
      </c>
      <c r="P290" s="53" t="n">
        <v>15</v>
      </c>
    </row>
    <row r="291">
      <c r="A291" s="58" t="inlineStr">
        <is>
          <t>Jaime Colonna</t>
        </is>
      </c>
      <c r="B291" s="58" t="inlineStr">
        <is>
          <t>Qualifier</t>
        </is>
      </c>
      <c r="C291" s="58" t="inlineStr">
        <is>
          <t>Boston Beer Company</t>
        </is>
      </c>
      <c r="D291" s="58" t="inlineStr">
        <is>
          <t>Twisted Tea</t>
        </is>
      </c>
      <c r="E291" s="53" t="n">
        <v>18</v>
      </c>
      <c r="F291" s="53" t="n">
        <v>21</v>
      </c>
      <c r="G291" s="55" t="n">
        <v>540.25</v>
      </c>
      <c r="H291" s="55" t="n">
        <v>618</v>
      </c>
      <c r="I291" s="55" t="n">
        <v>148.65</v>
      </c>
      <c r="J291" s="55" t="n">
        <v>160.35</v>
      </c>
      <c r="K291" s="53" t="n">
        <v>1</v>
      </c>
      <c r="L291" s="53" t="n">
        <v>1</v>
      </c>
      <c r="M291" s="53" t="n">
        <v>0</v>
      </c>
      <c r="N291" s="53" t="n">
        <v>0</v>
      </c>
      <c r="O291" s="53" t="n">
        <v>0</v>
      </c>
      <c r="P291" s="53" t="n">
        <v>0</v>
      </c>
    </row>
    <row r="292">
      <c r="A292" s="58" t="inlineStr">
        <is>
          <t>Jaime Colonna</t>
        </is>
      </c>
      <c r="B292" s="58" t="inlineStr">
        <is>
          <t>Qualifier</t>
        </is>
      </c>
      <c r="C292" s="58" t="inlineStr">
        <is>
          <t>Constellation Brands</t>
        </is>
      </c>
      <c r="D292" s="58" t="inlineStr">
        <is>
          <t>Corona Extra</t>
        </is>
      </c>
      <c r="E292" s="53" t="n">
        <v>253</v>
      </c>
      <c r="F292" s="53" t="n">
        <v>287</v>
      </c>
      <c r="G292" s="55" t="n">
        <v>8596.65</v>
      </c>
      <c r="H292" s="55" t="n">
        <v>9937.75</v>
      </c>
      <c r="I292" s="55" t="n">
        <v>2360.99</v>
      </c>
      <c r="J292" s="55" t="n">
        <v>2819.63</v>
      </c>
      <c r="K292" s="53" t="n">
        <v>2</v>
      </c>
      <c r="L292" s="53" t="n">
        <v>2</v>
      </c>
      <c r="M292" s="53" t="n">
        <v>0</v>
      </c>
      <c r="N292" s="53" t="n">
        <v>0</v>
      </c>
      <c r="O292" s="53" t="n">
        <v>0</v>
      </c>
      <c r="P292" s="53" t="n">
        <v>0</v>
      </c>
    </row>
    <row r="293">
      <c r="A293" s="58" t="inlineStr">
        <is>
          <t>Jaime Colonna</t>
        </is>
      </c>
      <c r="B293" s="58" t="inlineStr">
        <is>
          <t>Qualifier</t>
        </is>
      </c>
      <c r="C293" s="58" t="inlineStr">
        <is>
          <t>Constellation Brands</t>
        </is>
      </c>
      <c r="D293" s="58" t="inlineStr">
        <is>
          <t>Modelo Especial</t>
        </is>
      </c>
      <c r="E293" s="53" t="n">
        <v>183</v>
      </c>
      <c r="F293" s="53" t="n">
        <v>191</v>
      </c>
      <c r="G293" s="55" t="n">
        <v>5971.5</v>
      </c>
      <c r="H293" s="55" t="n">
        <v>6098</v>
      </c>
      <c r="I293" s="55" t="n">
        <v>1506.45</v>
      </c>
      <c r="J293" s="55" t="n">
        <v>1514.73</v>
      </c>
      <c r="K293" s="53" t="n">
        <v>2</v>
      </c>
      <c r="L293" s="53" t="n">
        <v>2</v>
      </c>
      <c r="M293" s="53" t="n">
        <v>0</v>
      </c>
      <c r="N293" s="53" t="n">
        <v>0</v>
      </c>
      <c r="O293" s="53" t="n">
        <v>0</v>
      </c>
      <c r="P293" s="53" t="n">
        <v>0</v>
      </c>
    </row>
    <row r="294">
      <c r="A294" s="58" t="inlineStr">
        <is>
          <t>Jaime Colonna</t>
        </is>
      </c>
      <c r="B294" s="58" t="inlineStr">
        <is>
          <t>Qualifier</t>
        </is>
      </c>
      <c r="C294" s="58" t="inlineStr">
        <is>
          <t>DG Yuengling Inc</t>
        </is>
      </c>
      <c r="D294" s="58" t="inlineStr">
        <is>
          <t>Yuengling Lager</t>
        </is>
      </c>
      <c r="E294" s="53" t="n">
        <v>64</v>
      </c>
      <c r="F294" s="53" t="n">
        <v>8</v>
      </c>
      <c r="G294" s="55" t="n">
        <v>1124</v>
      </c>
      <c r="H294" s="55" t="n">
        <v>164</v>
      </c>
      <c r="I294" s="55" t="n">
        <v>276.75</v>
      </c>
      <c r="J294" s="55" t="n">
        <v>44.62</v>
      </c>
      <c r="K294" s="53" t="n">
        <v>1</v>
      </c>
      <c r="L294" s="53" t="n">
        <v>1</v>
      </c>
      <c r="M294" s="53" t="n">
        <v>0</v>
      </c>
      <c r="N294" s="53" t="n">
        <v>0</v>
      </c>
      <c r="O294" s="53" t="n">
        <v>0</v>
      </c>
      <c r="P294" s="53" t="n">
        <v>0</v>
      </c>
    </row>
    <row r="295">
      <c r="A295" s="58" t="inlineStr">
        <is>
          <t>Jaime Colonna</t>
        </is>
      </c>
      <c r="B295" s="58" t="inlineStr">
        <is>
          <t>Qualifier</t>
        </is>
      </c>
      <c r="C295" s="58" t="inlineStr">
        <is>
          <t>Heineken USA</t>
        </is>
      </c>
      <c r="D295" s="58" t="inlineStr">
        <is>
          <t>Heineken USA</t>
        </is>
      </c>
      <c r="E295" s="53" t="n">
        <v>116</v>
      </c>
      <c r="F295" s="53" t="n">
        <v>85</v>
      </c>
      <c r="G295" s="55" t="n">
        <v>3877.15</v>
      </c>
      <c r="H295" s="55" t="n">
        <v>2901.85</v>
      </c>
      <c r="I295" s="55" t="n">
        <v>1104.67</v>
      </c>
      <c r="J295" s="55" t="n">
        <v>878.4100000000001</v>
      </c>
      <c r="K295" s="53" t="n">
        <v>2</v>
      </c>
      <c r="L295" s="53" t="n">
        <v>2</v>
      </c>
      <c r="M295" s="53" t="n">
        <v>0</v>
      </c>
      <c r="N295" s="53" t="n">
        <v>0</v>
      </c>
      <c r="O295" s="53" t="n">
        <v>0</v>
      </c>
      <c r="P295" s="53" t="n">
        <v>0</v>
      </c>
    </row>
    <row r="296">
      <c r="A296" s="58" t="inlineStr">
        <is>
          <t>Jaime Colonna</t>
        </is>
      </c>
      <c r="B296" s="58" t="inlineStr">
        <is>
          <t>Qualifier</t>
        </is>
      </c>
      <c r="C296" s="58" t="inlineStr">
        <is>
          <t>Mark Anthony</t>
        </is>
      </c>
      <c r="D296" s="58" t="inlineStr">
        <is>
          <t>White Claw</t>
        </is>
      </c>
      <c r="E296" s="53" t="n">
        <v>90</v>
      </c>
      <c r="F296" s="53" t="n">
        <v>67</v>
      </c>
      <c r="G296" s="55" t="n">
        <v>2930.9</v>
      </c>
      <c r="H296" s="55" t="n">
        <v>2307.15</v>
      </c>
      <c r="I296" s="55" t="n">
        <v>669.62</v>
      </c>
      <c r="J296" s="55" t="n">
        <v>522.49</v>
      </c>
      <c r="K296" s="53" t="n">
        <v>1</v>
      </c>
      <c r="L296" s="53" t="n">
        <v>1</v>
      </c>
      <c r="M296" s="53" t="n">
        <v>0</v>
      </c>
      <c r="N296" s="53" t="n">
        <v>0</v>
      </c>
      <c r="O296" s="53" t="n">
        <v>0</v>
      </c>
      <c r="P296" s="53" t="n">
        <v>0</v>
      </c>
    </row>
    <row r="297">
      <c r="A297" s="58" t="inlineStr">
        <is>
          <t>Jaime Colonna</t>
        </is>
      </c>
      <c r="B297" s="58" t="inlineStr">
        <is>
          <t>Qualifier</t>
        </is>
      </c>
      <c r="C297" s="58" t="inlineStr">
        <is>
          <t>MolsonCoors Beverage Company</t>
        </is>
      </c>
      <c r="D297" s="58" t="inlineStr">
        <is>
          <t>Blue Moon</t>
        </is>
      </c>
      <c r="E297" s="53" t="n">
        <v>28</v>
      </c>
      <c r="F297" s="53" t="n">
        <v>21</v>
      </c>
      <c r="G297" s="55" t="n">
        <v>1152.15</v>
      </c>
      <c r="H297" s="55" t="n">
        <v>691.25</v>
      </c>
      <c r="I297" s="55" t="n">
        <v>332.43</v>
      </c>
      <c r="J297" s="55" t="n">
        <v>159.2</v>
      </c>
      <c r="K297" s="53" t="n">
        <v>2</v>
      </c>
      <c r="L297" s="53" t="n">
        <v>1</v>
      </c>
      <c r="M297" s="53" t="n">
        <v>0</v>
      </c>
      <c r="N297" s="53" t="n">
        <v>0</v>
      </c>
      <c r="O297" s="53" t="n">
        <v>1</v>
      </c>
      <c r="P297" s="53" t="n">
        <v>12</v>
      </c>
    </row>
    <row r="298">
      <c r="A298" s="58" t="inlineStr">
        <is>
          <t>Jaime Colonna</t>
        </is>
      </c>
      <c r="B298" s="58" t="inlineStr">
        <is>
          <t>Qualifier</t>
        </is>
      </c>
      <c r="C298" s="58" t="inlineStr">
        <is>
          <t>MolsonCoors Beverage Company</t>
        </is>
      </c>
      <c r="D298" s="58" t="inlineStr">
        <is>
          <t>Coors Light</t>
        </is>
      </c>
      <c r="E298" s="53" t="n">
        <v>131</v>
      </c>
      <c r="F298" s="53" t="n">
        <v>108</v>
      </c>
      <c r="G298" s="55" t="n">
        <v>2880.15</v>
      </c>
      <c r="H298" s="55" t="n">
        <v>2508.75</v>
      </c>
      <c r="I298" s="55" t="n">
        <v>842.4299999999999</v>
      </c>
      <c r="J298" s="55" t="n">
        <v>750.8099999999999</v>
      </c>
      <c r="K298" s="53" t="n">
        <v>2</v>
      </c>
      <c r="L298" s="53" t="n">
        <v>2</v>
      </c>
      <c r="M298" s="53" t="n">
        <v>0</v>
      </c>
      <c r="N298" s="53" t="n">
        <v>0</v>
      </c>
      <c r="O298" s="53" t="n">
        <v>0</v>
      </c>
      <c r="P298" s="53" t="n">
        <v>0</v>
      </c>
    </row>
    <row r="299">
      <c r="A299" s="58" t="inlineStr">
        <is>
          <t>Jaime Colonna</t>
        </is>
      </c>
      <c r="B299" s="58" t="inlineStr">
        <is>
          <t>Qualifier</t>
        </is>
      </c>
      <c r="C299" s="58" t="inlineStr">
        <is>
          <t>MolsonCoors Beverage Company</t>
        </is>
      </c>
      <c r="D299" s="58" t="inlineStr">
        <is>
          <t>Lite</t>
        </is>
      </c>
      <c r="E299" s="53" t="n">
        <v>38</v>
      </c>
      <c r="F299" s="53" t="n">
        <v>25</v>
      </c>
      <c r="G299" s="55" t="n">
        <v>840.45</v>
      </c>
      <c r="H299" s="55" t="n">
        <v>510.65</v>
      </c>
      <c r="I299" s="55" t="n">
        <v>202.31</v>
      </c>
      <c r="J299" s="55" t="n">
        <v>114.39</v>
      </c>
      <c r="K299" s="53" t="n">
        <v>1</v>
      </c>
      <c r="L299" s="53" t="n">
        <v>1</v>
      </c>
      <c r="M299" s="53" t="n">
        <v>0</v>
      </c>
      <c r="N299" s="53" t="n">
        <v>0</v>
      </c>
      <c r="O299" s="53" t="n">
        <v>0</v>
      </c>
      <c r="P299" s="53" t="n">
        <v>0</v>
      </c>
    </row>
    <row r="300">
      <c r="A300" s="58" t="inlineStr">
        <is>
          <t>Javier Melo</t>
        </is>
      </c>
      <c r="B300" s="58" t="inlineStr">
        <is>
          <t>Amplify</t>
        </is>
      </c>
      <c r="C300" s="58" t="inlineStr">
        <is>
          <t>Boston Beer Company</t>
        </is>
      </c>
      <c r="D300" s="58" t="inlineStr">
        <is>
          <t>Dogfish Head Beer</t>
        </is>
      </c>
      <c r="E300" s="53" t="n">
        <v>17</v>
      </c>
      <c r="F300" s="53" t="n">
        <v>2</v>
      </c>
      <c r="G300" s="55" t="n">
        <v>658.2</v>
      </c>
      <c r="H300" s="55" t="n">
        <v>87.3</v>
      </c>
      <c r="I300" s="55" t="n">
        <v>164.72</v>
      </c>
      <c r="J300" s="55" t="n">
        <v>23.65</v>
      </c>
      <c r="K300" s="53" t="n">
        <v>3</v>
      </c>
      <c r="L300" s="53" t="n">
        <v>1</v>
      </c>
      <c r="M300" s="53" t="n">
        <v>1</v>
      </c>
      <c r="N300" s="53" t="n">
        <v>2</v>
      </c>
      <c r="O300" s="53" t="n">
        <v>3</v>
      </c>
      <c r="P300" s="53" t="n">
        <v>17</v>
      </c>
    </row>
    <row r="301">
      <c r="A301" s="58" t="inlineStr">
        <is>
          <t>Javier Melo</t>
        </is>
      </c>
      <c r="B301" s="58" t="inlineStr">
        <is>
          <t>Amplify</t>
        </is>
      </c>
      <c r="C301" s="58" t="inlineStr">
        <is>
          <t>Boston Beer Company</t>
        </is>
      </c>
      <c r="D301" s="58" t="inlineStr">
        <is>
          <t>Dogfish Head Spirits</t>
        </is>
      </c>
      <c r="E301" s="53" t="n">
        <v>0</v>
      </c>
      <c r="F301" s="53" t="n">
        <v>30</v>
      </c>
      <c r="G301" s="55" t="n">
        <v>0</v>
      </c>
      <c r="H301" s="55" t="n">
        <v>1260</v>
      </c>
      <c r="I301" s="55" t="n">
        <v>0</v>
      </c>
      <c r="J301" s="55" t="n">
        <v>377.4</v>
      </c>
      <c r="K301" s="53" t="n">
        <v>0</v>
      </c>
      <c r="L301" s="53" t="n">
        <v>1</v>
      </c>
      <c r="M301" s="53" t="n">
        <v>1</v>
      </c>
      <c r="N301" s="53" t="n">
        <v>30</v>
      </c>
      <c r="O301" s="53" t="n">
        <v>0</v>
      </c>
      <c r="P301" s="53" t="n">
        <v>0</v>
      </c>
    </row>
    <row r="302">
      <c r="A302" s="58" t="inlineStr">
        <is>
          <t>Javier Melo</t>
        </is>
      </c>
      <c r="B302" s="58" t="inlineStr">
        <is>
          <t>Amplify</t>
        </is>
      </c>
      <c r="C302" s="58" t="inlineStr">
        <is>
          <t>Constellation Brands</t>
        </is>
      </c>
      <c r="D302" s="58" t="inlineStr">
        <is>
          <t>Corona Premier</t>
        </is>
      </c>
      <c r="E302" s="53" t="n">
        <v>277</v>
      </c>
      <c r="F302" s="53" t="n">
        <v>293</v>
      </c>
      <c r="G302" s="55" t="n">
        <v>8743.6</v>
      </c>
      <c r="H302" s="55" t="n">
        <v>8106.849999999999</v>
      </c>
      <c r="I302" s="55" t="n">
        <v>1796.64</v>
      </c>
      <c r="J302" s="55" t="n">
        <v>2084.13</v>
      </c>
      <c r="K302" s="53" t="n">
        <v>20</v>
      </c>
      <c r="L302" s="53" t="n">
        <v>21</v>
      </c>
      <c r="M302" s="53" t="n">
        <v>6</v>
      </c>
      <c r="N302" s="53" t="n">
        <v>35</v>
      </c>
      <c r="O302" s="53" t="n">
        <v>5</v>
      </c>
      <c r="P302" s="53" t="n">
        <v>25</v>
      </c>
    </row>
    <row r="303">
      <c r="A303" s="58" t="inlineStr">
        <is>
          <t>Javier Melo</t>
        </is>
      </c>
      <c r="B303" s="58" t="inlineStr">
        <is>
          <t>Amplify</t>
        </is>
      </c>
      <c r="C303" s="58" t="inlineStr">
        <is>
          <t>Constellation Brands</t>
        </is>
      </c>
      <c r="D303" s="58" t="inlineStr">
        <is>
          <t>Modelo Chelada</t>
        </is>
      </c>
      <c r="E303" s="53" t="n">
        <v>3102</v>
      </c>
      <c r="F303" s="53" t="n">
        <v>3272</v>
      </c>
      <c r="G303" s="55" t="n">
        <v>96036.60000000001</v>
      </c>
      <c r="H303" s="55" t="n">
        <v>100780.1</v>
      </c>
      <c r="I303" s="55" t="n">
        <v>24442.32</v>
      </c>
      <c r="J303" s="55" t="n">
        <v>25621.76000000001</v>
      </c>
      <c r="K303" s="53" t="n">
        <v>31</v>
      </c>
      <c r="L303" s="53" t="n">
        <v>33</v>
      </c>
      <c r="M303" s="53" t="n">
        <v>2</v>
      </c>
      <c r="N303" s="53" t="n">
        <v>9</v>
      </c>
      <c r="O303" s="53" t="n">
        <v>0</v>
      </c>
      <c r="P303" s="53" t="n">
        <v>0</v>
      </c>
    </row>
    <row r="304">
      <c r="A304" s="58" t="inlineStr">
        <is>
          <t>Javier Melo</t>
        </is>
      </c>
      <c r="B304" s="58" t="inlineStr">
        <is>
          <t>Amplify</t>
        </is>
      </c>
      <c r="C304" s="58" t="inlineStr">
        <is>
          <t>Constellation Brands</t>
        </is>
      </c>
      <c r="D304" s="58" t="inlineStr">
        <is>
          <t>Pacifico</t>
        </is>
      </c>
      <c r="E304" s="53" t="n">
        <v>975</v>
      </c>
      <c r="F304" s="53" t="n">
        <v>1538</v>
      </c>
      <c r="G304" s="55" t="n">
        <v>30312.75</v>
      </c>
      <c r="H304" s="55" t="n">
        <v>47827.85000000001</v>
      </c>
      <c r="I304" s="55" t="n">
        <v>7067.91</v>
      </c>
      <c r="J304" s="55" t="n">
        <v>11051.85</v>
      </c>
      <c r="K304" s="53" t="n">
        <v>31</v>
      </c>
      <c r="L304" s="53" t="n">
        <v>37</v>
      </c>
      <c r="M304" s="53" t="n">
        <v>8</v>
      </c>
      <c r="N304" s="53" t="n">
        <v>143</v>
      </c>
      <c r="O304" s="53" t="n">
        <v>2</v>
      </c>
      <c r="P304" s="53" t="n">
        <v>4</v>
      </c>
    </row>
    <row r="305">
      <c r="A305" s="58" t="inlineStr">
        <is>
          <t>Javier Melo</t>
        </is>
      </c>
      <c r="B305" s="58" t="inlineStr">
        <is>
          <t>Amplify</t>
        </is>
      </c>
      <c r="C305" s="58" t="inlineStr">
        <is>
          <t>Constellation Brands</t>
        </is>
      </c>
      <c r="D305" s="58" t="inlineStr">
        <is>
          <t>Victoria</t>
        </is>
      </c>
      <c r="E305" s="53" t="n">
        <v>3217</v>
      </c>
      <c r="F305" s="53" t="n">
        <v>3355</v>
      </c>
      <c r="G305" s="55" t="n">
        <v>96847.45</v>
      </c>
      <c r="H305" s="55" t="n">
        <v>100770.95</v>
      </c>
      <c r="I305" s="55" t="n">
        <v>23475.35000000001</v>
      </c>
      <c r="J305" s="55" t="n">
        <v>24517.94000000001</v>
      </c>
      <c r="K305" s="53" t="n">
        <v>47</v>
      </c>
      <c r="L305" s="53" t="n">
        <v>44</v>
      </c>
      <c r="M305" s="53" t="n">
        <v>5</v>
      </c>
      <c r="N305" s="53" t="n">
        <v>49</v>
      </c>
      <c r="O305" s="53" t="n">
        <v>8</v>
      </c>
      <c r="P305" s="53" t="n">
        <v>124</v>
      </c>
    </row>
    <row r="306">
      <c r="A306" s="58" t="inlineStr">
        <is>
          <t>Javier Melo</t>
        </is>
      </c>
      <c r="B306" s="58" t="inlineStr">
        <is>
          <t>Amplify</t>
        </is>
      </c>
      <c r="C306" s="58" t="inlineStr">
        <is>
          <t>DG Yuengling Inc</t>
        </is>
      </c>
      <c r="D306" s="58" t="inlineStr">
        <is>
          <t>Yuengling Flight</t>
        </is>
      </c>
      <c r="E306" s="53" t="n">
        <v>3</v>
      </c>
      <c r="F306" s="53" t="n">
        <v>0</v>
      </c>
      <c r="G306" s="55" t="n">
        <v>41.5</v>
      </c>
      <c r="H306" s="55" t="n">
        <v>0</v>
      </c>
      <c r="I306" s="55" t="n">
        <v>8.34</v>
      </c>
      <c r="J306" s="55" t="n">
        <v>0</v>
      </c>
      <c r="K306" s="53" t="n">
        <v>1</v>
      </c>
      <c r="L306" s="53" t="n">
        <v>0</v>
      </c>
      <c r="M306" s="53" t="n">
        <v>0</v>
      </c>
      <c r="N306" s="53" t="n">
        <v>0</v>
      </c>
      <c r="O306" s="53" t="n">
        <v>1</v>
      </c>
      <c r="P306" s="53" t="n">
        <v>3</v>
      </c>
    </row>
    <row r="307">
      <c r="A307" s="58" t="inlineStr">
        <is>
          <t>Javier Melo</t>
        </is>
      </c>
      <c r="B307" s="58" t="inlineStr">
        <is>
          <t>Amplify</t>
        </is>
      </c>
      <c r="C307" s="58" t="inlineStr">
        <is>
          <t>Heineken USA</t>
        </is>
      </c>
      <c r="D307" s="58" t="inlineStr">
        <is>
          <t>Heineken 0.0</t>
        </is>
      </c>
      <c r="E307" s="53" t="n">
        <v>468</v>
      </c>
      <c r="F307" s="53" t="n">
        <v>581</v>
      </c>
      <c r="G307" s="55" t="n">
        <v>15777</v>
      </c>
      <c r="H307" s="55" t="n">
        <v>19413.9</v>
      </c>
      <c r="I307" s="55" t="n">
        <v>4189.980000000001</v>
      </c>
      <c r="J307" s="55" t="n">
        <v>5159.740000000001</v>
      </c>
      <c r="K307" s="53" t="n">
        <v>37</v>
      </c>
      <c r="L307" s="53" t="n">
        <v>40</v>
      </c>
      <c r="M307" s="53" t="n">
        <v>5</v>
      </c>
      <c r="N307" s="53" t="n">
        <v>37</v>
      </c>
      <c r="O307" s="53" t="n">
        <v>2</v>
      </c>
      <c r="P307" s="53" t="n">
        <v>4</v>
      </c>
    </row>
    <row r="308">
      <c r="A308" s="58" t="inlineStr">
        <is>
          <t>Javier Melo</t>
        </is>
      </c>
      <c r="B308" s="58" t="inlineStr">
        <is>
          <t>Amplify</t>
        </is>
      </c>
      <c r="C308" s="58" t="inlineStr">
        <is>
          <t>Heineken USA</t>
        </is>
      </c>
      <c r="D308" s="58" t="inlineStr">
        <is>
          <t>Heineken Light</t>
        </is>
      </c>
      <c r="E308" s="53" t="n">
        <v>739</v>
      </c>
      <c r="F308" s="53" t="n">
        <v>709</v>
      </c>
      <c r="G308" s="55" t="n">
        <v>23059.95</v>
      </c>
      <c r="H308" s="55" t="n">
        <v>22049.25</v>
      </c>
      <c r="I308" s="55" t="n">
        <v>5491.440000000001</v>
      </c>
      <c r="J308" s="55" t="n">
        <v>5197.32</v>
      </c>
      <c r="K308" s="53" t="n">
        <v>34</v>
      </c>
      <c r="L308" s="53" t="n">
        <v>36</v>
      </c>
      <c r="M308" s="53" t="n">
        <v>6</v>
      </c>
      <c r="N308" s="53" t="n">
        <v>24</v>
      </c>
      <c r="O308" s="53" t="n">
        <v>4</v>
      </c>
      <c r="P308" s="53" t="n">
        <v>26</v>
      </c>
    </row>
    <row r="309">
      <c r="A309" s="58" t="inlineStr">
        <is>
          <t>Javier Melo</t>
        </is>
      </c>
      <c r="B309" s="58" t="inlineStr">
        <is>
          <t>Amplify</t>
        </is>
      </c>
      <c r="C309" s="58" t="inlineStr">
        <is>
          <t>Mark Anthony</t>
        </is>
      </c>
      <c r="D309" s="58" t="inlineStr">
        <is>
          <t>Cayman Jack</t>
        </is>
      </c>
      <c r="E309" s="53" t="n">
        <v>603</v>
      </c>
      <c r="F309" s="53" t="n">
        <v>913</v>
      </c>
      <c r="G309" s="55" t="n">
        <v>18952.75</v>
      </c>
      <c r="H309" s="55" t="n">
        <v>29248.75</v>
      </c>
      <c r="I309" s="55" t="n">
        <v>4583.19</v>
      </c>
      <c r="J309" s="55" t="n">
        <v>7021.469999999999</v>
      </c>
      <c r="K309" s="53" t="n">
        <v>17</v>
      </c>
      <c r="L309" s="53" t="n">
        <v>25</v>
      </c>
      <c r="M309" s="53" t="n">
        <v>8</v>
      </c>
      <c r="N309" s="53" t="n">
        <v>156</v>
      </c>
      <c r="O309" s="53" t="n">
        <v>0</v>
      </c>
      <c r="P309" s="53" t="n">
        <v>0</v>
      </c>
    </row>
    <row r="310">
      <c r="A310" s="58" t="inlineStr">
        <is>
          <t>Javier Melo</t>
        </is>
      </c>
      <c r="B310" s="58" t="inlineStr">
        <is>
          <t>Amplify</t>
        </is>
      </c>
      <c r="C310" s="58" t="inlineStr">
        <is>
          <t>Mark Anthony</t>
        </is>
      </c>
      <c r="D310" s="58" t="inlineStr">
        <is>
          <t>Mike's Harder</t>
        </is>
      </c>
      <c r="E310" s="53" t="n">
        <v>44</v>
      </c>
      <c r="F310" s="53" t="n">
        <v>41</v>
      </c>
      <c r="G310" s="55" t="n">
        <v>1198</v>
      </c>
      <c r="H310" s="55" t="n">
        <v>1194</v>
      </c>
      <c r="I310" s="55" t="n">
        <v>267.2</v>
      </c>
      <c r="J310" s="55" t="n">
        <v>253.77</v>
      </c>
      <c r="K310" s="53" t="n">
        <v>7</v>
      </c>
      <c r="L310" s="53" t="n">
        <v>6</v>
      </c>
      <c r="M310" s="53" t="n">
        <v>1</v>
      </c>
      <c r="N310" s="53" t="n">
        <v>4</v>
      </c>
      <c r="O310" s="53" t="n">
        <v>2</v>
      </c>
      <c r="P310" s="53" t="n">
        <v>6</v>
      </c>
    </row>
    <row r="311">
      <c r="A311" s="58" t="inlineStr">
        <is>
          <t>Javier Melo</t>
        </is>
      </c>
      <c r="B311" s="58" t="inlineStr">
        <is>
          <t>Amplify</t>
        </is>
      </c>
      <c r="C311" s="58" t="inlineStr">
        <is>
          <t>Mark Anthony</t>
        </is>
      </c>
      <c r="D311" s="58" t="inlineStr">
        <is>
          <t>Mxd Cocktails</t>
        </is>
      </c>
      <c r="E311" s="53" t="n">
        <v>143</v>
      </c>
      <c r="F311" s="53" t="n">
        <v>191</v>
      </c>
      <c r="G311" s="55" t="n">
        <v>3424</v>
      </c>
      <c r="H311" s="55" t="n">
        <v>4643.9</v>
      </c>
      <c r="I311" s="55" t="n">
        <v>644.0599999999999</v>
      </c>
      <c r="J311" s="55" t="n">
        <v>875.2299999999999</v>
      </c>
      <c r="K311" s="53" t="n">
        <v>10</v>
      </c>
      <c r="L311" s="53" t="n">
        <v>15</v>
      </c>
      <c r="M311" s="53" t="n">
        <v>5</v>
      </c>
      <c r="N311" s="53" t="n">
        <v>59</v>
      </c>
      <c r="O311" s="53" t="n">
        <v>0</v>
      </c>
      <c r="P311" s="53" t="n">
        <v>0</v>
      </c>
    </row>
    <row r="312">
      <c r="A312" s="58" t="inlineStr">
        <is>
          <t>Javier Melo</t>
        </is>
      </c>
      <c r="B312" s="58" t="inlineStr">
        <is>
          <t>Amplify</t>
        </is>
      </c>
      <c r="C312" s="58" t="inlineStr">
        <is>
          <t>MolsonCoors Beverage Company</t>
        </is>
      </c>
      <c r="D312" s="58" t="inlineStr">
        <is>
          <t>Coors</t>
        </is>
      </c>
      <c r="E312" s="53" t="n">
        <v>2095</v>
      </c>
      <c r="F312" s="53" t="n">
        <v>2288</v>
      </c>
      <c r="G312" s="55" t="n">
        <v>35759.09999999999</v>
      </c>
      <c r="H312" s="55" t="n">
        <v>41184.45</v>
      </c>
      <c r="I312" s="55" t="n">
        <v>6424.71</v>
      </c>
      <c r="J312" s="55" t="n">
        <v>7842.900000000001</v>
      </c>
      <c r="K312" s="53" t="n">
        <v>31</v>
      </c>
      <c r="L312" s="53" t="n">
        <v>30</v>
      </c>
      <c r="M312" s="53" t="n">
        <v>0</v>
      </c>
      <c r="N312" s="53" t="n">
        <v>0</v>
      </c>
      <c r="O312" s="53" t="n">
        <v>1</v>
      </c>
      <c r="P312" s="53" t="n">
        <v>50</v>
      </c>
    </row>
    <row r="313">
      <c r="A313" s="58" t="inlineStr">
        <is>
          <t>Javier Melo</t>
        </is>
      </c>
      <c r="B313" s="58" t="inlineStr">
        <is>
          <t>Amplify</t>
        </is>
      </c>
      <c r="C313" s="58" t="inlineStr">
        <is>
          <t>MolsonCoors Beverage Company</t>
        </is>
      </c>
      <c r="D313" s="58" t="inlineStr">
        <is>
          <t>Fever Tree</t>
        </is>
      </c>
      <c r="E313" s="53" t="n">
        <v>0</v>
      </c>
      <c r="F313" s="53" t="n">
        <v>1</v>
      </c>
      <c r="G313" s="55" t="n">
        <v>0</v>
      </c>
      <c r="H313" s="55" t="n">
        <v>28.5</v>
      </c>
      <c r="I313" s="55" t="n">
        <v>0</v>
      </c>
      <c r="J313" s="55" t="n">
        <v>11.11</v>
      </c>
      <c r="K313" s="53" t="n">
        <v>0</v>
      </c>
      <c r="L313" s="53" t="n">
        <v>1</v>
      </c>
      <c r="M313" s="53" t="n">
        <v>1</v>
      </c>
      <c r="N313" s="53" t="n">
        <v>1</v>
      </c>
      <c r="O313" s="53" t="n">
        <v>0</v>
      </c>
      <c r="P313" s="53" t="n">
        <v>0</v>
      </c>
    </row>
    <row r="314">
      <c r="A314" s="58" t="inlineStr">
        <is>
          <t>Javier Melo</t>
        </is>
      </c>
      <c r="B314" s="58" t="inlineStr">
        <is>
          <t>Amplify</t>
        </is>
      </c>
      <c r="C314" s="58" t="inlineStr">
        <is>
          <t>MolsonCoors Beverage Company</t>
        </is>
      </c>
      <c r="D314" s="58" t="inlineStr">
        <is>
          <t>Peroni</t>
        </is>
      </c>
      <c r="E314" s="53" t="n">
        <v>59</v>
      </c>
      <c r="F314" s="53" t="n">
        <v>77</v>
      </c>
      <c r="G314" s="55" t="n">
        <v>1952.1</v>
      </c>
      <c r="H314" s="55" t="n">
        <v>2672.75</v>
      </c>
      <c r="I314" s="55" t="n">
        <v>412.65</v>
      </c>
      <c r="J314" s="55" t="n">
        <v>571.4700000000001</v>
      </c>
      <c r="K314" s="53" t="n">
        <v>9</v>
      </c>
      <c r="L314" s="53" t="n">
        <v>14</v>
      </c>
      <c r="M314" s="53" t="n">
        <v>6</v>
      </c>
      <c r="N314" s="53" t="n">
        <v>25</v>
      </c>
      <c r="O314" s="53" t="n">
        <v>1</v>
      </c>
      <c r="P314" s="53" t="n">
        <v>1</v>
      </c>
    </row>
    <row r="315">
      <c r="A315" s="58" t="inlineStr">
        <is>
          <t>Javier Melo</t>
        </is>
      </c>
      <c r="B315" s="58" t="inlineStr">
        <is>
          <t>Amplify</t>
        </is>
      </c>
      <c r="C315" s="58" t="inlineStr">
        <is>
          <t>New Belgium Brewing Company</t>
        </is>
      </c>
      <c r="D315" s="58" t="inlineStr">
        <is>
          <t>Voodoo Family</t>
        </is>
      </c>
      <c r="E315" s="53" t="n">
        <v>45</v>
      </c>
      <c r="F315" s="53" t="n">
        <v>30</v>
      </c>
      <c r="G315" s="55" t="n">
        <v>1613.4</v>
      </c>
      <c r="H315" s="55" t="n">
        <v>1068.1</v>
      </c>
      <c r="I315" s="55" t="n">
        <v>401.52</v>
      </c>
      <c r="J315" s="55" t="n">
        <v>278.42</v>
      </c>
      <c r="K315" s="53" t="n">
        <v>7</v>
      </c>
      <c r="L315" s="53" t="n">
        <v>5</v>
      </c>
      <c r="M315" s="53" t="n">
        <v>1</v>
      </c>
      <c r="N315" s="53" t="n">
        <v>6</v>
      </c>
      <c r="O315" s="53" t="n">
        <v>3</v>
      </c>
      <c r="P315" s="53" t="n">
        <v>16</v>
      </c>
    </row>
    <row r="316">
      <c r="A316" s="58" t="inlineStr">
        <is>
          <t>Javier Melo</t>
        </is>
      </c>
      <c r="B316" s="58" t="inlineStr">
        <is>
          <t>Amplify</t>
        </is>
      </c>
      <c r="C316" s="58" t="inlineStr">
        <is>
          <t>Sapporo</t>
        </is>
      </c>
      <c r="D316" s="58" t="inlineStr">
        <is>
          <t>Sapporo</t>
        </is>
      </c>
      <c r="E316" s="53" t="n">
        <v>207</v>
      </c>
      <c r="F316" s="53" t="n">
        <v>281</v>
      </c>
      <c r="G316" s="55" t="n">
        <v>6586.5</v>
      </c>
      <c r="H316" s="55" t="n">
        <v>8730.75</v>
      </c>
      <c r="I316" s="55" t="n">
        <v>1695.01</v>
      </c>
      <c r="J316" s="55" t="n">
        <v>2240.06</v>
      </c>
      <c r="K316" s="53" t="n">
        <v>18</v>
      </c>
      <c r="L316" s="53" t="n">
        <v>18</v>
      </c>
      <c r="M316" s="53" t="n">
        <v>2</v>
      </c>
      <c r="N316" s="53" t="n">
        <v>12</v>
      </c>
      <c r="O316" s="53" t="n">
        <v>2</v>
      </c>
      <c r="P316" s="53" t="n">
        <v>18</v>
      </c>
    </row>
    <row r="317">
      <c r="A317" s="58" t="inlineStr">
        <is>
          <t>Javier Melo</t>
        </is>
      </c>
      <c r="B317" s="58" t="inlineStr">
        <is>
          <t>Qualifier</t>
        </is>
      </c>
      <c r="C317" s="58" t="inlineStr">
        <is>
          <t>Boston Beer Company</t>
        </is>
      </c>
      <c r="D317" s="58" t="inlineStr">
        <is>
          <t>Truly</t>
        </is>
      </c>
      <c r="E317" s="53" t="n">
        <v>-2</v>
      </c>
      <c r="F317" s="53" t="n">
        <v>0</v>
      </c>
      <c r="G317" s="55" t="n">
        <v>-56.5</v>
      </c>
      <c r="H317" s="55" t="n">
        <v>0</v>
      </c>
      <c r="I317" s="55" t="n">
        <v>-16</v>
      </c>
      <c r="J317" s="55" t="n">
        <v>0</v>
      </c>
      <c r="K317" s="53" t="n">
        <v>0</v>
      </c>
      <c r="L317" s="53" t="n">
        <v>0</v>
      </c>
      <c r="M317" s="53" t="n">
        <v>0</v>
      </c>
      <c r="N317" s="53" t="n">
        <v>0</v>
      </c>
      <c r="O317" s="53" t="n">
        <v>0</v>
      </c>
      <c r="P317" s="53" t="n">
        <v>0</v>
      </c>
    </row>
    <row r="318">
      <c r="A318" s="58" t="inlineStr">
        <is>
          <t>Javier Melo</t>
        </is>
      </c>
      <c r="B318" s="58" t="inlineStr">
        <is>
          <t>Qualifier</t>
        </is>
      </c>
      <c r="C318" s="58" t="inlineStr">
        <is>
          <t>Boston Beer Company</t>
        </is>
      </c>
      <c r="D318" s="58" t="inlineStr">
        <is>
          <t>Twisted Tea</t>
        </is>
      </c>
      <c r="E318" s="53" t="n">
        <v>429</v>
      </c>
      <c r="F318" s="53" t="n">
        <v>532</v>
      </c>
      <c r="G318" s="55" t="n">
        <v>12260.25</v>
      </c>
      <c r="H318" s="55" t="n">
        <v>14464.5</v>
      </c>
      <c r="I318" s="55" t="n">
        <v>3127.75</v>
      </c>
      <c r="J318" s="55" t="n">
        <v>2861.71</v>
      </c>
      <c r="K318" s="53" t="n">
        <v>23</v>
      </c>
      <c r="L318" s="53" t="n">
        <v>21</v>
      </c>
      <c r="M318" s="53" t="n">
        <v>0</v>
      </c>
      <c r="N318" s="53" t="n">
        <v>0</v>
      </c>
      <c r="O318" s="53" t="n">
        <v>2</v>
      </c>
      <c r="P318" s="53" t="n">
        <v>34</v>
      </c>
    </row>
    <row r="319">
      <c r="A319" s="58" t="inlineStr">
        <is>
          <t>Javier Melo</t>
        </is>
      </c>
      <c r="B319" s="58" t="inlineStr">
        <is>
          <t>Qualifier</t>
        </is>
      </c>
      <c r="C319" s="58" t="inlineStr">
        <is>
          <t>Constellation Brands</t>
        </is>
      </c>
      <c r="D319" s="58" t="inlineStr">
        <is>
          <t>Corona Extra</t>
        </is>
      </c>
      <c r="E319" s="53" t="n">
        <v>38293</v>
      </c>
      <c r="F319" s="53" t="n">
        <v>38610</v>
      </c>
      <c r="G319" s="55" t="n">
        <v>1250371</v>
      </c>
      <c r="H319" s="55" t="n">
        <v>1275084.3</v>
      </c>
      <c r="I319" s="55" t="n">
        <v>296621.2199999999</v>
      </c>
      <c r="J319" s="55" t="n">
        <v>312943.01</v>
      </c>
      <c r="K319" s="53" t="n">
        <v>63</v>
      </c>
      <c r="L319" s="53" t="n">
        <v>64</v>
      </c>
      <c r="M319" s="53" t="n">
        <v>3</v>
      </c>
      <c r="N319" s="53" t="n">
        <v>202</v>
      </c>
      <c r="O319" s="53" t="n">
        <v>2</v>
      </c>
      <c r="P319" s="53" t="n">
        <v>94</v>
      </c>
    </row>
    <row r="320">
      <c r="A320" s="58" t="inlineStr">
        <is>
          <t>Javier Melo</t>
        </is>
      </c>
      <c r="B320" s="58" t="inlineStr">
        <is>
          <t>Qualifier</t>
        </is>
      </c>
      <c r="C320" s="58" t="inlineStr">
        <is>
          <t>Constellation Brands</t>
        </is>
      </c>
      <c r="D320" s="58" t="inlineStr">
        <is>
          <t>Modelo Especial</t>
        </is>
      </c>
      <c r="E320" s="53" t="n">
        <v>33299</v>
      </c>
      <c r="F320" s="53" t="n">
        <v>33368</v>
      </c>
      <c r="G320" s="55" t="n">
        <v>1024807.2</v>
      </c>
      <c r="H320" s="55" t="n">
        <v>1027475.55</v>
      </c>
      <c r="I320" s="55" t="n">
        <v>227340.55</v>
      </c>
      <c r="J320" s="55" t="n">
        <v>237520.88</v>
      </c>
      <c r="K320" s="53" t="n">
        <v>63</v>
      </c>
      <c r="L320" s="53" t="n">
        <v>64</v>
      </c>
      <c r="M320" s="53" t="n">
        <v>3</v>
      </c>
      <c r="N320" s="53" t="n">
        <v>309</v>
      </c>
      <c r="O320" s="53" t="n">
        <v>2</v>
      </c>
      <c r="P320" s="53" t="n">
        <v>40</v>
      </c>
    </row>
    <row r="321">
      <c r="A321" s="58" t="inlineStr">
        <is>
          <t>Javier Melo</t>
        </is>
      </c>
      <c r="B321" s="58" t="inlineStr">
        <is>
          <t>Qualifier</t>
        </is>
      </c>
      <c r="C321" s="58" t="inlineStr">
        <is>
          <t>DG Yuengling Inc</t>
        </is>
      </c>
      <c r="D321" s="58" t="inlineStr">
        <is>
          <t>Yuengling Lager</t>
        </is>
      </c>
      <c r="E321" s="53" t="n">
        <v>148</v>
      </c>
      <c r="F321" s="53" t="n">
        <v>170</v>
      </c>
      <c r="G321" s="55" t="n">
        <v>3315.6</v>
      </c>
      <c r="H321" s="55" t="n">
        <v>3522.7</v>
      </c>
      <c r="I321" s="55" t="n">
        <v>936.5699999999999</v>
      </c>
      <c r="J321" s="55" t="n">
        <v>947.85</v>
      </c>
      <c r="K321" s="53" t="n">
        <v>10</v>
      </c>
      <c r="L321" s="53" t="n">
        <v>9</v>
      </c>
      <c r="M321" s="53" t="n">
        <v>2</v>
      </c>
      <c r="N321" s="53" t="n">
        <v>10</v>
      </c>
      <c r="O321" s="53" t="n">
        <v>3</v>
      </c>
      <c r="P321" s="53" t="n">
        <v>8</v>
      </c>
    </row>
    <row r="322">
      <c r="A322" s="58" t="inlineStr">
        <is>
          <t>Javier Melo</t>
        </is>
      </c>
      <c r="B322" s="58" t="inlineStr">
        <is>
          <t>Qualifier</t>
        </is>
      </c>
      <c r="C322" s="58" t="inlineStr">
        <is>
          <t>Heineken USA</t>
        </is>
      </c>
      <c r="D322" s="58" t="inlineStr">
        <is>
          <t>Heineken USA</t>
        </is>
      </c>
      <c r="E322" s="53" t="n">
        <v>10573</v>
      </c>
      <c r="F322" s="53" t="n">
        <v>10003</v>
      </c>
      <c r="G322" s="55" t="n">
        <v>332160.05</v>
      </c>
      <c r="H322" s="55" t="n">
        <v>314045.1</v>
      </c>
      <c r="I322" s="55" t="n">
        <v>78375.91999999998</v>
      </c>
      <c r="J322" s="55" t="n">
        <v>73992.40999999999</v>
      </c>
      <c r="K322" s="53" t="n">
        <v>61</v>
      </c>
      <c r="L322" s="53" t="n">
        <v>61</v>
      </c>
      <c r="M322" s="53" t="n">
        <v>5</v>
      </c>
      <c r="N322" s="53" t="n">
        <v>69</v>
      </c>
      <c r="O322" s="53" t="n">
        <v>5</v>
      </c>
      <c r="P322" s="53" t="n">
        <v>36</v>
      </c>
    </row>
    <row r="323">
      <c r="A323" s="58" t="inlineStr">
        <is>
          <t>Javier Melo</t>
        </is>
      </c>
      <c r="B323" s="58" t="inlineStr">
        <is>
          <t>Qualifier</t>
        </is>
      </c>
      <c r="C323" s="58" t="inlineStr">
        <is>
          <t>Mark Anthony</t>
        </is>
      </c>
      <c r="D323" s="58" t="inlineStr">
        <is>
          <t>White Claw</t>
        </is>
      </c>
      <c r="E323" s="53" t="n">
        <v>1116</v>
      </c>
      <c r="F323" s="53" t="n">
        <v>1391</v>
      </c>
      <c r="G323" s="55" t="n">
        <v>35895.95</v>
      </c>
      <c r="H323" s="55" t="n">
        <v>45033.90000000001</v>
      </c>
      <c r="I323" s="55" t="n">
        <v>7862.920000000002</v>
      </c>
      <c r="J323" s="55" t="n">
        <v>9486.850000000002</v>
      </c>
      <c r="K323" s="53" t="n">
        <v>27</v>
      </c>
      <c r="L323" s="53" t="n">
        <v>30</v>
      </c>
      <c r="M323" s="53" t="n">
        <v>4</v>
      </c>
      <c r="N323" s="53" t="n">
        <v>54</v>
      </c>
      <c r="O323" s="53" t="n">
        <v>1</v>
      </c>
      <c r="P323" s="53" t="n">
        <v>10</v>
      </c>
    </row>
    <row r="324">
      <c r="A324" s="58" t="inlineStr">
        <is>
          <t>Javier Melo</t>
        </is>
      </c>
      <c r="B324" s="58" t="inlineStr">
        <is>
          <t>Qualifier</t>
        </is>
      </c>
      <c r="C324" s="58" t="inlineStr">
        <is>
          <t>MolsonCoors Beverage Company</t>
        </is>
      </c>
      <c r="D324" s="58" t="inlineStr">
        <is>
          <t>Blue Moon</t>
        </is>
      </c>
      <c r="E324" s="53" t="n">
        <v>326</v>
      </c>
      <c r="F324" s="53" t="n">
        <v>315</v>
      </c>
      <c r="G324" s="55" t="n">
        <v>10501.6</v>
      </c>
      <c r="H324" s="55" t="n">
        <v>10199.45</v>
      </c>
      <c r="I324" s="55" t="n">
        <v>2409.81</v>
      </c>
      <c r="J324" s="55" t="n">
        <v>2424.179999999999</v>
      </c>
      <c r="K324" s="53" t="n">
        <v>29</v>
      </c>
      <c r="L324" s="53" t="n">
        <v>29</v>
      </c>
      <c r="M324" s="53" t="n">
        <v>6</v>
      </c>
      <c r="N324" s="53" t="n">
        <v>35</v>
      </c>
      <c r="O324" s="53" t="n">
        <v>6</v>
      </c>
      <c r="P324" s="53" t="n">
        <v>38</v>
      </c>
    </row>
    <row r="325">
      <c r="A325" s="58" t="inlineStr">
        <is>
          <t>Javier Melo</t>
        </is>
      </c>
      <c r="B325" s="58" t="inlineStr">
        <is>
          <t>Qualifier</t>
        </is>
      </c>
      <c r="C325" s="58" t="inlineStr">
        <is>
          <t>MolsonCoors Beverage Company</t>
        </is>
      </c>
      <c r="D325" s="58" t="inlineStr">
        <is>
          <t>Coors Light</t>
        </is>
      </c>
      <c r="E325" s="53" t="n">
        <v>14906</v>
      </c>
      <c r="F325" s="53" t="n">
        <v>13916</v>
      </c>
      <c r="G325" s="55" t="n">
        <v>274982.05</v>
      </c>
      <c r="H325" s="55" t="n">
        <v>263010.4</v>
      </c>
      <c r="I325" s="55" t="n">
        <v>54845.96999999999</v>
      </c>
      <c r="J325" s="55" t="n">
        <v>54183.00000000001</v>
      </c>
      <c r="K325" s="53" t="n">
        <v>53</v>
      </c>
      <c r="L325" s="53" t="n">
        <v>51</v>
      </c>
      <c r="M325" s="53" t="n">
        <v>5</v>
      </c>
      <c r="N325" s="53" t="n">
        <v>36</v>
      </c>
      <c r="O325" s="53" t="n">
        <v>7</v>
      </c>
      <c r="P325" s="53" t="n">
        <v>159</v>
      </c>
    </row>
    <row r="326">
      <c r="A326" s="58" t="inlineStr">
        <is>
          <t>Javier Melo</t>
        </is>
      </c>
      <c r="B326" s="58" t="inlineStr">
        <is>
          <t>Qualifier</t>
        </is>
      </c>
      <c r="C326" s="58" t="inlineStr">
        <is>
          <t>MolsonCoors Beverage Company</t>
        </is>
      </c>
      <c r="D326" s="58" t="inlineStr">
        <is>
          <t>Lite</t>
        </is>
      </c>
      <c r="E326" s="53" t="n">
        <v>635</v>
      </c>
      <c r="F326" s="53" t="n">
        <v>525</v>
      </c>
      <c r="G326" s="55" t="n">
        <v>11923.75</v>
      </c>
      <c r="H326" s="55" t="n">
        <v>10166.2</v>
      </c>
      <c r="I326" s="55" t="n">
        <v>2231.71</v>
      </c>
      <c r="J326" s="55" t="n">
        <v>1949.75</v>
      </c>
      <c r="K326" s="53" t="n">
        <v>23</v>
      </c>
      <c r="L326" s="53" t="n">
        <v>22</v>
      </c>
      <c r="M326" s="53" t="n">
        <v>2</v>
      </c>
      <c r="N326" s="53" t="n">
        <v>32</v>
      </c>
      <c r="O326" s="53" t="n">
        <v>3</v>
      </c>
      <c r="P326" s="53" t="n">
        <v>25</v>
      </c>
    </row>
    <row r="327">
      <c r="A327" s="58" t="inlineStr">
        <is>
          <t>Jayson Romine</t>
        </is>
      </c>
      <c r="B327" s="58" t="inlineStr">
        <is>
          <t>Amplify</t>
        </is>
      </c>
      <c r="C327" s="58" t="inlineStr">
        <is>
          <t>Bell's</t>
        </is>
      </c>
      <c r="D327" s="58" t="inlineStr">
        <is>
          <t>Bell's</t>
        </is>
      </c>
      <c r="E327" s="53" t="n">
        <v>36</v>
      </c>
      <c r="F327" s="53" t="n">
        <v>15</v>
      </c>
      <c r="G327" s="55" t="n">
        <v>1268.3</v>
      </c>
      <c r="H327" s="55" t="n">
        <v>512.4</v>
      </c>
      <c r="I327" s="55" t="n">
        <v>409.5000000000001</v>
      </c>
      <c r="J327" s="55" t="n">
        <v>168.64</v>
      </c>
      <c r="K327" s="53" t="n">
        <v>9</v>
      </c>
      <c r="L327" s="53" t="n">
        <v>7</v>
      </c>
      <c r="M327" s="53" t="n">
        <v>4</v>
      </c>
      <c r="N327" s="53" t="n">
        <v>10</v>
      </c>
      <c r="O327" s="53" t="n">
        <v>6</v>
      </c>
      <c r="P327" s="53" t="n">
        <v>21</v>
      </c>
    </row>
    <row r="328">
      <c r="A328" s="58" t="inlineStr">
        <is>
          <t>Jayson Romine</t>
        </is>
      </c>
      <c r="B328" s="58" t="inlineStr">
        <is>
          <t>Amplify</t>
        </is>
      </c>
      <c r="C328" s="58" t="inlineStr">
        <is>
          <t>Boston Beer Company</t>
        </is>
      </c>
      <c r="D328" s="58" t="inlineStr">
        <is>
          <t>Dogfish Head Beer</t>
        </is>
      </c>
      <c r="E328" s="53" t="n">
        <v>1275</v>
      </c>
      <c r="F328" s="53" t="n">
        <v>1176</v>
      </c>
      <c r="G328" s="55" t="n">
        <v>43296</v>
      </c>
      <c r="H328" s="55" t="n">
        <v>39086.3</v>
      </c>
      <c r="I328" s="55" t="n">
        <v>10522.95</v>
      </c>
      <c r="J328" s="55" t="n">
        <v>9022.870000000001</v>
      </c>
      <c r="K328" s="53" t="n">
        <v>30</v>
      </c>
      <c r="L328" s="53" t="n">
        <v>29</v>
      </c>
      <c r="M328" s="53" t="n">
        <v>0</v>
      </c>
      <c r="N328" s="53" t="n">
        <v>0</v>
      </c>
      <c r="O328" s="53" t="n">
        <v>1</v>
      </c>
      <c r="P328" s="53" t="n">
        <v>15</v>
      </c>
    </row>
    <row r="329">
      <c r="A329" s="58" t="inlineStr">
        <is>
          <t>Jayson Romine</t>
        </is>
      </c>
      <c r="B329" s="58" t="inlineStr">
        <is>
          <t>Amplify</t>
        </is>
      </c>
      <c r="C329" s="58" t="inlineStr">
        <is>
          <t>Boston Beer Company</t>
        </is>
      </c>
      <c r="D329" s="58" t="inlineStr">
        <is>
          <t>Dogfish Head Spirits</t>
        </is>
      </c>
      <c r="E329" s="53" t="n">
        <v>646</v>
      </c>
      <c r="F329" s="53" t="n">
        <v>438</v>
      </c>
      <c r="G329" s="55" t="n">
        <v>33200</v>
      </c>
      <c r="H329" s="55" t="n">
        <v>21354</v>
      </c>
      <c r="I329" s="55" t="n">
        <v>12123.58</v>
      </c>
      <c r="J329" s="55" t="n">
        <v>7057.190000000001</v>
      </c>
      <c r="K329" s="53" t="n">
        <v>23</v>
      </c>
      <c r="L329" s="53" t="n">
        <v>18</v>
      </c>
      <c r="M329" s="53" t="n">
        <v>0</v>
      </c>
      <c r="N329" s="53" t="n">
        <v>0</v>
      </c>
      <c r="O329" s="53" t="n">
        <v>5</v>
      </c>
      <c r="P329" s="53" t="n">
        <v>52</v>
      </c>
    </row>
    <row r="330">
      <c r="A330" s="58" t="inlineStr">
        <is>
          <t>Jayson Romine</t>
        </is>
      </c>
      <c r="B330" s="58" t="inlineStr">
        <is>
          <t>Amplify</t>
        </is>
      </c>
      <c r="C330" s="58" t="inlineStr">
        <is>
          <t>Cape May</t>
        </is>
      </c>
      <c r="D330" s="58" t="inlineStr">
        <is>
          <t>Cape May</t>
        </is>
      </c>
      <c r="E330" s="53" t="n">
        <v>1210</v>
      </c>
      <c r="F330" s="53" t="n">
        <v>1221</v>
      </c>
      <c r="G330" s="55" t="n">
        <v>48825.8</v>
      </c>
      <c r="H330" s="55" t="n">
        <v>49218.90000000002</v>
      </c>
      <c r="I330" s="55" t="n">
        <v>14206.55</v>
      </c>
      <c r="J330" s="55" t="n">
        <v>14502.07</v>
      </c>
      <c r="K330" s="53" t="n">
        <v>26</v>
      </c>
      <c r="L330" s="53" t="n">
        <v>27</v>
      </c>
      <c r="M330" s="53" t="n">
        <v>1</v>
      </c>
      <c r="N330" s="53" t="n">
        <v>32</v>
      </c>
      <c r="O330" s="53" t="n">
        <v>0</v>
      </c>
      <c r="P330" s="53" t="n">
        <v>0</v>
      </c>
    </row>
    <row r="331">
      <c r="A331" s="58" t="inlineStr">
        <is>
          <t>Jayson Romine</t>
        </is>
      </c>
      <c r="B331" s="58" t="inlineStr">
        <is>
          <t>Amplify</t>
        </is>
      </c>
      <c r="C331" s="58" t="inlineStr">
        <is>
          <t>Constellation Brands</t>
        </is>
      </c>
      <c r="D331" s="58" t="inlineStr">
        <is>
          <t>Corona Premier</t>
        </is>
      </c>
      <c r="E331" s="53" t="n">
        <v>1112</v>
      </c>
      <c r="F331" s="53" t="n">
        <v>1183</v>
      </c>
      <c r="G331" s="55" t="n">
        <v>34593.25</v>
      </c>
      <c r="H331" s="55" t="n">
        <v>32106.04999999999</v>
      </c>
      <c r="I331" s="55" t="n">
        <v>7403.85</v>
      </c>
      <c r="J331" s="55" t="n">
        <v>8097.349999999999</v>
      </c>
      <c r="K331" s="53" t="n">
        <v>30</v>
      </c>
      <c r="L331" s="53" t="n">
        <v>33</v>
      </c>
      <c r="M331" s="53" t="n">
        <v>3</v>
      </c>
      <c r="N331" s="53" t="n">
        <v>10</v>
      </c>
      <c r="O331" s="53" t="n">
        <v>0</v>
      </c>
      <c r="P331" s="53" t="n">
        <v>0</v>
      </c>
    </row>
    <row r="332">
      <c r="A332" s="58" t="inlineStr">
        <is>
          <t>Jayson Romine</t>
        </is>
      </c>
      <c r="B332" s="58" t="inlineStr">
        <is>
          <t>Amplify</t>
        </is>
      </c>
      <c r="C332" s="58" t="inlineStr">
        <is>
          <t>Constellation Brands</t>
        </is>
      </c>
      <c r="D332" s="58" t="inlineStr">
        <is>
          <t>Modelo Chelada</t>
        </is>
      </c>
      <c r="E332" s="53" t="n">
        <v>873</v>
      </c>
      <c r="F332" s="53" t="n">
        <v>1083</v>
      </c>
      <c r="G332" s="55" t="n">
        <v>26902.64999999999</v>
      </c>
      <c r="H332" s="55" t="n">
        <v>33161.55</v>
      </c>
      <c r="I332" s="55" t="n">
        <v>6518.330000000002</v>
      </c>
      <c r="J332" s="55" t="n">
        <v>7980.869999999999</v>
      </c>
      <c r="K332" s="53" t="n">
        <v>28</v>
      </c>
      <c r="L332" s="53" t="n">
        <v>28</v>
      </c>
      <c r="M332" s="53" t="n">
        <v>1</v>
      </c>
      <c r="N332" s="53" t="n">
        <v>5</v>
      </c>
      <c r="O332" s="53" t="n">
        <v>1</v>
      </c>
      <c r="P332" s="53" t="n">
        <v>5</v>
      </c>
    </row>
    <row r="333">
      <c r="A333" s="58" t="inlineStr">
        <is>
          <t>Jayson Romine</t>
        </is>
      </c>
      <c r="B333" s="58" t="inlineStr">
        <is>
          <t>Amplify</t>
        </is>
      </c>
      <c r="C333" s="58" t="inlineStr">
        <is>
          <t>Constellation Brands</t>
        </is>
      </c>
      <c r="D333" s="58" t="inlineStr">
        <is>
          <t>Pacifico</t>
        </is>
      </c>
      <c r="E333" s="53" t="n">
        <v>290</v>
      </c>
      <c r="F333" s="53" t="n">
        <v>403</v>
      </c>
      <c r="G333" s="55" t="n">
        <v>8821.200000000001</v>
      </c>
      <c r="H333" s="55" t="n">
        <v>12418.2</v>
      </c>
      <c r="I333" s="55" t="n">
        <v>2024.15</v>
      </c>
      <c r="J333" s="55" t="n">
        <v>2879.329999999999</v>
      </c>
      <c r="K333" s="53" t="n">
        <v>18</v>
      </c>
      <c r="L333" s="53" t="n">
        <v>22</v>
      </c>
      <c r="M333" s="53" t="n">
        <v>4</v>
      </c>
      <c r="N333" s="53" t="n">
        <v>53</v>
      </c>
      <c r="O333" s="53" t="n">
        <v>0</v>
      </c>
      <c r="P333" s="53" t="n">
        <v>0</v>
      </c>
    </row>
    <row r="334">
      <c r="A334" s="58" t="inlineStr">
        <is>
          <t>Jayson Romine</t>
        </is>
      </c>
      <c r="B334" s="58" t="inlineStr">
        <is>
          <t>Amplify</t>
        </is>
      </c>
      <c r="C334" s="58" t="inlineStr">
        <is>
          <t>Constellation Brands</t>
        </is>
      </c>
      <c r="D334" s="58" t="inlineStr">
        <is>
          <t>Victoria</t>
        </is>
      </c>
      <c r="E334" s="53" t="n">
        <v>263</v>
      </c>
      <c r="F334" s="53" t="n">
        <v>230</v>
      </c>
      <c r="G334" s="55" t="n">
        <v>7658.900000000001</v>
      </c>
      <c r="H334" s="55" t="n">
        <v>6836.199999999999</v>
      </c>
      <c r="I334" s="55" t="n">
        <v>1926.32</v>
      </c>
      <c r="J334" s="55" t="n">
        <v>1691.02</v>
      </c>
      <c r="K334" s="53" t="n">
        <v>9</v>
      </c>
      <c r="L334" s="53" t="n">
        <v>9</v>
      </c>
      <c r="M334" s="53" t="n">
        <v>1</v>
      </c>
      <c r="N334" s="53" t="n">
        <v>1</v>
      </c>
      <c r="O334" s="53" t="n">
        <v>1</v>
      </c>
      <c r="P334" s="53" t="n">
        <v>3</v>
      </c>
    </row>
    <row r="335">
      <c r="A335" s="58" t="inlineStr">
        <is>
          <t>Jayson Romine</t>
        </is>
      </c>
      <c r="B335" s="58" t="inlineStr">
        <is>
          <t>Amplify</t>
        </is>
      </c>
      <c r="C335" s="58" t="inlineStr">
        <is>
          <t>DG Yuengling Inc</t>
        </is>
      </c>
      <c r="D335" s="58" t="inlineStr">
        <is>
          <t>Yuengling Flight</t>
        </is>
      </c>
      <c r="E335" s="53" t="n">
        <v>769</v>
      </c>
      <c r="F335" s="53" t="n">
        <v>727</v>
      </c>
      <c r="G335" s="55" t="n">
        <v>18292.95</v>
      </c>
      <c r="H335" s="55" t="n">
        <v>16640.8</v>
      </c>
      <c r="I335" s="55" t="n">
        <v>5339.8</v>
      </c>
      <c r="J335" s="55" t="n">
        <v>4562.39</v>
      </c>
      <c r="K335" s="53" t="n">
        <v>29</v>
      </c>
      <c r="L335" s="53" t="n">
        <v>29</v>
      </c>
      <c r="M335" s="53" t="n">
        <v>1</v>
      </c>
      <c r="N335" s="53" t="n">
        <v>1</v>
      </c>
      <c r="O335" s="53" t="n">
        <v>1</v>
      </c>
      <c r="P335" s="53" t="n">
        <v>11</v>
      </c>
    </row>
    <row r="336">
      <c r="A336" s="58" t="inlineStr">
        <is>
          <t>Jayson Romine</t>
        </is>
      </c>
      <c r="B336" s="58" t="inlineStr">
        <is>
          <t>Amplify</t>
        </is>
      </c>
      <c r="C336" s="58" t="inlineStr">
        <is>
          <t>DG Yuengling Inc</t>
        </is>
      </c>
      <c r="D336" s="58" t="inlineStr">
        <is>
          <t>Yuengling Light Lager</t>
        </is>
      </c>
      <c r="E336" s="53" t="n">
        <v>710</v>
      </c>
      <c r="F336" s="53" t="n">
        <v>691</v>
      </c>
      <c r="G336" s="55" t="n">
        <v>16457.7</v>
      </c>
      <c r="H336" s="55" t="n">
        <v>15694.1</v>
      </c>
      <c r="I336" s="55" t="n">
        <v>4339.179999999999</v>
      </c>
      <c r="J336" s="55" t="n">
        <v>4088.33</v>
      </c>
      <c r="K336" s="53" t="n">
        <v>29</v>
      </c>
      <c r="L336" s="53" t="n">
        <v>28</v>
      </c>
      <c r="M336" s="53" t="n">
        <v>1</v>
      </c>
      <c r="N336" s="53" t="n">
        <v>2</v>
      </c>
      <c r="O336" s="53" t="n">
        <v>2</v>
      </c>
      <c r="P336" s="53" t="n">
        <v>9</v>
      </c>
    </row>
    <row r="337">
      <c r="A337" s="58" t="inlineStr">
        <is>
          <t>Jayson Romine</t>
        </is>
      </c>
      <c r="B337" s="58" t="inlineStr">
        <is>
          <t>Amplify</t>
        </is>
      </c>
      <c r="C337" s="58" t="inlineStr">
        <is>
          <t>Mark Anthony</t>
        </is>
      </c>
      <c r="D337" s="58" t="inlineStr">
        <is>
          <t>Cayman Jack</t>
        </is>
      </c>
      <c r="E337" s="53" t="n">
        <v>838</v>
      </c>
      <c r="F337" s="53" t="n">
        <v>758</v>
      </c>
      <c r="G337" s="55" t="n">
        <v>26501</v>
      </c>
      <c r="H337" s="55" t="n">
        <v>24020.25</v>
      </c>
      <c r="I337" s="55" t="n">
        <v>6188.219999999998</v>
      </c>
      <c r="J337" s="55" t="n">
        <v>5648.6</v>
      </c>
      <c r="K337" s="53" t="n">
        <v>26</v>
      </c>
      <c r="L337" s="53" t="n">
        <v>27</v>
      </c>
      <c r="M337" s="53" t="n">
        <v>2</v>
      </c>
      <c r="N337" s="53" t="n">
        <v>4</v>
      </c>
      <c r="O337" s="53" t="n">
        <v>1</v>
      </c>
      <c r="P337" s="53" t="n">
        <v>47</v>
      </c>
    </row>
    <row r="338">
      <c r="A338" s="58" t="inlineStr">
        <is>
          <t>Jayson Romine</t>
        </is>
      </c>
      <c r="B338" s="58" t="inlineStr">
        <is>
          <t>Amplify</t>
        </is>
      </c>
      <c r="C338" s="58" t="inlineStr">
        <is>
          <t>Mark Anthony</t>
        </is>
      </c>
      <c r="D338" s="58" t="inlineStr">
        <is>
          <t>Mike's Harder</t>
        </is>
      </c>
      <c r="E338" s="53" t="n">
        <v>632</v>
      </c>
      <c r="F338" s="53" t="n">
        <v>550</v>
      </c>
      <c r="G338" s="55" t="n">
        <v>17518.5</v>
      </c>
      <c r="H338" s="55" t="n">
        <v>16290.5</v>
      </c>
      <c r="I338" s="55" t="n">
        <v>3800.06</v>
      </c>
      <c r="J338" s="55" t="n">
        <v>3459.37</v>
      </c>
      <c r="K338" s="53" t="n">
        <v>25</v>
      </c>
      <c r="L338" s="53" t="n">
        <v>24</v>
      </c>
      <c r="M338" s="53" t="n">
        <v>1</v>
      </c>
      <c r="N338" s="53" t="n">
        <v>1</v>
      </c>
      <c r="O338" s="53" t="n">
        <v>2</v>
      </c>
      <c r="P338" s="53" t="n">
        <v>19</v>
      </c>
    </row>
    <row r="339">
      <c r="A339" s="58" t="inlineStr">
        <is>
          <t>Jayson Romine</t>
        </is>
      </c>
      <c r="B339" s="58" t="inlineStr">
        <is>
          <t>Amplify</t>
        </is>
      </c>
      <c r="C339" s="58" t="inlineStr">
        <is>
          <t>Mark Anthony</t>
        </is>
      </c>
      <c r="D339" s="58" t="inlineStr">
        <is>
          <t>Mxd Cocktails</t>
        </is>
      </c>
      <c r="E339" s="53" t="n">
        <v>4</v>
      </c>
      <c r="F339" s="53" t="n">
        <v>0</v>
      </c>
      <c r="G339" s="55" t="n">
        <v>96</v>
      </c>
      <c r="H339" s="55" t="n">
        <v>0</v>
      </c>
      <c r="I339" s="55" t="n">
        <v>18.03</v>
      </c>
      <c r="J339" s="55" t="n">
        <v>0</v>
      </c>
      <c r="K339" s="53" t="n">
        <v>1</v>
      </c>
      <c r="L339" s="53" t="n">
        <v>0</v>
      </c>
      <c r="M339" s="53" t="n">
        <v>0</v>
      </c>
      <c r="N339" s="53" t="n">
        <v>0</v>
      </c>
      <c r="O339" s="53" t="n">
        <v>1</v>
      </c>
      <c r="P339" s="53" t="n">
        <v>4</v>
      </c>
    </row>
    <row r="340">
      <c r="A340" s="58" t="inlineStr">
        <is>
          <t>Jayson Romine</t>
        </is>
      </c>
      <c r="B340" s="58" t="inlineStr">
        <is>
          <t>Amplify</t>
        </is>
      </c>
      <c r="C340" s="58" t="inlineStr">
        <is>
          <t>MolsonCoors Beverage Company</t>
        </is>
      </c>
      <c r="D340" s="58" t="inlineStr">
        <is>
          <t>Coors</t>
        </is>
      </c>
      <c r="E340" s="53" t="n">
        <v>4029</v>
      </c>
      <c r="F340" s="53" t="n">
        <v>4298</v>
      </c>
      <c r="G340" s="55" t="n">
        <v>88813.54999999997</v>
      </c>
      <c r="H340" s="55" t="n">
        <v>98022.34999999998</v>
      </c>
      <c r="I340" s="55" t="n">
        <v>23645.59</v>
      </c>
      <c r="J340" s="55" t="n">
        <v>26871.65</v>
      </c>
      <c r="K340" s="53" t="n">
        <v>32</v>
      </c>
      <c r="L340" s="53" t="n">
        <v>33</v>
      </c>
      <c r="M340" s="53" t="n">
        <v>1</v>
      </c>
      <c r="N340" s="53" t="n">
        <v>28</v>
      </c>
      <c r="O340" s="53" t="n">
        <v>0</v>
      </c>
      <c r="P340" s="53" t="n">
        <v>0</v>
      </c>
    </row>
    <row r="341">
      <c r="A341" s="58" t="inlineStr">
        <is>
          <t>Jayson Romine</t>
        </is>
      </c>
      <c r="B341" s="58" t="inlineStr">
        <is>
          <t>Amplify</t>
        </is>
      </c>
      <c r="C341" s="58" t="inlineStr">
        <is>
          <t>MolsonCoors Beverage Company</t>
        </is>
      </c>
      <c r="D341" s="58" t="inlineStr">
        <is>
          <t>Fever Tree</t>
        </is>
      </c>
      <c r="E341" s="53" t="n">
        <v>147</v>
      </c>
      <c r="F341" s="53" t="n">
        <v>142</v>
      </c>
      <c r="G341" s="55" t="n">
        <v>6588.8</v>
      </c>
      <c r="H341" s="55" t="n">
        <v>6191.5</v>
      </c>
      <c r="I341" s="55" t="n">
        <v>2078.77</v>
      </c>
      <c r="J341" s="55" t="n">
        <v>1966.85</v>
      </c>
      <c r="K341" s="53" t="n">
        <v>15</v>
      </c>
      <c r="L341" s="53" t="n">
        <v>15</v>
      </c>
      <c r="M341" s="53" t="n">
        <v>3</v>
      </c>
      <c r="N341" s="53" t="n">
        <v>5</v>
      </c>
      <c r="O341" s="53" t="n">
        <v>3</v>
      </c>
      <c r="P341" s="53" t="n">
        <v>11</v>
      </c>
    </row>
    <row r="342">
      <c r="A342" s="58" t="inlineStr">
        <is>
          <t>Jayson Romine</t>
        </is>
      </c>
      <c r="B342" s="58" t="inlineStr">
        <is>
          <t>Amplify</t>
        </is>
      </c>
      <c r="C342" s="58" t="inlineStr">
        <is>
          <t>MolsonCoors Beverage Company</t>
        </is>
      </c>
      <c r="D342" s="58" t="inlineStr">
        <is>
          <t>Peroni</t>
        </is>
      </c>
      <c r="E342" s="53" t="n">
        <v>680</v>
      </c>
      <c r="F342" s="53" t="n">
        <v>632</v>
      </c>
      <c r="G342" s="55" t="n">
        <v>23333.4</v>
      </c>
      <c r="H342" s="55" t="n">
        <v>21250.85000000001</v>
      </c>
      <c r="I342" s="55" t="n">
        <v>4716.64</v>
      </c>
      <c r="J342" s="55" t="n">
        <v>4160.54</v>
      </c>
      <c r="K342" s="53" t="n">
        <v>28</v>
      </c>
      <c r="L342" s="53" t="n">
        <v>30</v>
      </c>
      <c r="M342" s="53" t="n">
        <v>5</v>
      </c>
      <c r="N342" s="53" t="n">
        <v>17</v>
      </c>
      <c r="O342" s="53" t="n">
        <v>3</v>
      </c>
      <c r="P342" s="53" t="n">
        <v>29</v>
      </c>
    </row>
    <row r="343">
      <c r="A343" s="58" t="inlineStr">
        <is>
          <t>Jayson Romine</t>
        </is>
      </c>
      <c r="B343" s="58" t="inlineStr">
        <is>
          <t>Amplify</t>
        </is>
      </c>
      <c r="C343" s="58" t="inlineStr">
        <is>
          <t>New Belgium Brewing Company</t>
        </is>
      </c>
      <c r="D343" s="58" t="inlineStr">
        <is>
          <t>Fat Tire Family</t>
        </is>
      </c>
      <c r="E343" s="53" t="n">
        <v>264</v>
      </c>
      <c r="F343" s="53" t="n">
        <v>256</v>
      </c>
      <c r="G343" s="55" t="n">
        <v>8571.300000000001</v>
      </c>
      <c r="H343" s="55" t="n">
        <v>7361.950000000001</v>
      </c>
      <c r="I343" s="55" t="n">
        <v>1731.75</v>
      </c>
      <c r="J343" s="55" t="n">
        <v>1517.12</v>
      </c>
      <c r="K343" s="53" t="n">
        <v>24</v>
      </c>
      <c r="L343" s="53" t="n">
        <v>25</v>
      </c>
      <c r="M343" s="53" t="n">
        <v>3</v>
      </c>
      <c r="N343" s="53" t="n">
        <v>4</v>
      </c>
      <c r="O343" s="53" t="n">
        <v>2</v>
      </c>
      <c r="P343" s="53" t="n">
        <v>2</v>
      </c>
    </row>
    <row r="344">
      <c r="A344" s="58" t="inlineStr">
        <is>
          <t>Jayson Romine</t>
        </is>
      </c>
      <c r="B344" s="58" t="inlineStr">
        <is>
          <t>Amplify</t>
        </is>
      </c>
      <c r="C344" s="58" t="inlineStr">
        <is>
          <t>New Belgium Brewing Company</t>
        </is>
      </c>
      <c r="D344" s="58" t="inlineStr">
        <is>
          <t>Kirin Ichiban</t>
        </is>
      </c>
      <c r="E344" s="53" t="n">
        <v>2</v>
      </c>
      <c r="F344" s="53" t="n">
        <v>1</v>
      </c>
      <c r="G344" s="55" t="n">
        <v>72</v>
      </c>
      <c r="H344" s="55" t="n">
        <v>36</v>
      </c>
      <c r="I344" s="55" t="n">
        <v>23.64</v>
      </c>
      <c r="J344" s="55" t="n">
        <v>11.82</v>
      </c>
      <c r="K344" s="53" t="n">
        <v>1</v>
      </c>
      <c r="L344" s="53" t="n">
        <v>1</v>
      </c>
      <c r="M344" s="53" t="n">
        <v>1</v>
      </c>
      <c r="N344" s="53" t="n">
        <v>1</v>
      </c>
      <c r="O344" s="53" t="n">
        <v>1</v>
      </c>
      <c r="P344" s="53" t="n">
        <v>2</v>
      </c>
    </row>
    <row r="345">
      <c r="A345" s="58" t="inlineStr">
        <is>
          <t>Jayson Romine</t>
        </is>
      </c>
      <c r="B345" s="58" t="inlineStr">
        <is>
          <t>Amplify</t>
        </is>
      </c>
      <c r="C345" s="58" t="inlineStr">
        <is>
          <t>New Belgium Brewing Company</t>
        </is>
      </c>
      <c r="D345" s="58" t="inlineStr">
        <is>
          <t>Voodoo Family</t>
        </is>
      </c>
      <c r="E345" s="53" t="n">
        <v>1306</v>
      </c>
      <c r="F345" s="53" t="n">
        <v>1498</v>
      </c>
      <c r="G345" s="55" t="n">
        <v>46824.69999999999</v>
      </c>
      <c r="H345" s="55" t="n">
        <v>53527.89999999999</v>
      </c>
      <c r="I345" s="55" t="n">
        <v>11436.87</v>
      </c>
      <c r="J345" s="55" t="n">
        <v>13081.53</v>
      </c>
      <c r="K345" s="53" t="n">
        <v>31</v>
      </c>
      <c r="L345" s="53" t="n">
        <v>30</v>
      </c>
      <c r="M345" s="53" t="n">
        <v>0</v>
      </c>
      <c r="N345" s="53" t="n">
        <v>0</v>
      </c>
      <c r="O345" s="53" t="n">
        <v>1</v>
      </c>
      <c r="P345" s="53" t="n">
        <v>5</v>
      </c>
    </row>
    <row r="346">
      <c r="A346" s="58" t="inlineStr">
        <is>
          <t>Jayson Romine</t>
        </is>
      </c>
      <c r="B346" s="58" t="inlineStr">
        <is>
          <t>Amplify</t>
        </is>
      </c>
      <c r="C346" s="58" t="inlineStr">
        <is>
          <t>Sapporo</t>
        </is>
      </c>
      <c r="D346" s="58" t="inlineStr">
        <is>
          <t>Sapporo</t>
        </is>
      </c>
      <c r="E346" s="53" t="n">
        <v>184</v>
      </c>
      <c r="F346" s="53" t="n">
        <v>222</v>
      </c>
      <c r="G346" s="55" t="n">
        <v>5292.5</v>
      </c>
      <c r="H346" s="55" t="n">
        <v>6516</v>
      </c>
      <c r="I346" s="55" t="n">
        <v>1429.65</v>
      </c>
      <c r="J346" s="55" t="n">
        <v>1800.37</v>
      </c>
      <c r="K346" s="53" t="n">
        <v>15</v>
      </c>
      <c r="L346" s="53" t="n">
        <v>20</v>
      </c>
      <c r="M346" s="53" t="n">
        <v>7</v>
      </c>
      <c r="N346" s="53" t="n">
        <v>40</v>
      </c>
      <c r="O346" s="53" t="n">
        <v>2</v>
      </c>
      <c r="P346" s="53" t="n">
        <v>6</v>
      </c>
    </row>
    <row r="347">
      <c r="A347" s="58" t="inlineStr">
        <is>
          <t>Jayson Romine</t>
        </is>
      </c>
      <c r="B347" s="58" t="inlineStr">
        <is>
          <t>Qualifier</t>
        </is>
      </c>
      <c r="C347" s="58" t="inlineStr">
        <is>
          <t>Boston Beer Company</t>
        </is>
      </c>
      <c r="D347" s="58" t="inlineStr">
        <is>
          <t>Truly</t>
        </is>
      </c>
      <c r="E347" s="53" t="n">
        <v>1864</v>
      </c>
      <c r="F347" s="53" t="n">
        <v>1506</v>
      </c>
      <c r="G347" s="55" t="n">
        <v>52053.55</v>
      </c>
      <c r="H347" s="55" t="n">
        <v>43267.8</v>
      </c>
      <c r="I347" s="55" t="n">
        <v>10287.13</v>
      </c>
      <c r="J347" s="55" t="n">
        <v>9314.330000000002</v>
      </c>
      <c r="K347" s="53" t="n">
        <v>28</v>
      </c>
      <c r="L347" s="53" t="n">
        <v>25</v>
      </c>
      <c r="M347" s="53" t="n">
        <v>1</v>
      </c>
      <c r="N347" s="53" t="n">
        <v>5</v>
      </c>
      <c r="O347" s="53" t="n">
        <v>4</v>
      </c>
      <c r="P347" s="53" t="n">
        <v>42</v>
      </c>
    </row>
    <row r="348">
      <c r="A348" s="58" t="inlineStr">
        <is>
          <t>Jayson Romine</t>
        </is>
      </c>
      <c r="B348" s="58" t="inlineStr">
        <is>
          <t>Qualifier</t>
        </is>
      </c>
      <c r="C348" s="58" t="inlineStr">
        <is>
          <t>Boston Beer Company</t>
        </is>
      </c>
      <c r="D348" s="58" t="inlineStr">
        <is>
          <t>Twisted Tea</t>
        </is>
      </c>
      <c r="E348" s="53" t="n">
        <v>5860</v>
      </c>
      <c r="F348" s="53" t="n">
        <v>4639</v>
      </c>
      <c r="G348" s="55" t="n">
        <v>170842.5</v>
      </c>
      <c r="H348" s="55" t="n">
        <v>131158.75</v>
      </c>
      <c r="I348" s="55" t="n">
        <v>41426.37</v>
      </c>
      <c r="J348" s="55" t="n">
        <v>28170.9</v>
      </c>
      <c r="K348" s="53" t="n">
        <v>32</v>
      </c>
      <c r="L348" s="53" t="n">
        <v>33</v>
      </c>
      <c r="M348" s="53" t="n">
        <v>1</v>
      </c>
      <c r="N348" s="53" t="n">
        <v>8</v>
      </c>
      <c r="O348" s="53" t="n">
        <v>0</v>
      </c>
      <c r="P348" s="53" t="n">
        <v>0</v>
      </c>
    </row>
    <row r="349">
      <c r="A349" s="58" t="inlineStr">
        <is>
          <t>Jayson Romine</t>
        </is>
      </c>
      <c r="B349" s="58" t="inlineStr">
        <is>
          <t>Qualifier</t>
        </is>
      </c>
      <c r="C349" s="58" t="inlineStr">
        <is>
          <t>Constellation Brands</t>
        </is>
      </c>
      <c r="D349" s="58" t="inlineStr">
        <is>
          <t>Corona Extra</t>
        </is>
      </c>
      <c r="E349" s="53" t="n">
        <v>10040</v>
      </c>
      <c r="F349" s="53" t="n">
        <v>9646</v>
      </c>
      <c r="G349" s="55" t="n">
        <v>319411.45</v>
      </c>
      <c r="H349" s="55" t="n">
        <v>308579.35</v>
      </c>
      <c r="I349" s="55" t="n">
        <v>74192.03</v>
      </c>
      <c r="J349" s="55" t="n">
        <v>73654.81000000003</v>
      </c>
      <c r="K349" s="53" t="n">
        <v>33</v>
      </c>
      <c r="L349" s="53" t="n">
        <v>33</v>
      </c>
      <c r="M349" s="53" t="n">
        <v>0</v>
      </c>
      <c r="N349" s="53" t="n">
        <v>0</v>
      </c>
      <c r="O349" s="53" t="n">
        <v>0</v>
      </c>
      <c r="P349" s="53" t="n">
        <v>0</v>
      </c>
    </row>
    <row r="350">
      <c r="A350" s="58" t="inlineStr">
        <is>
          <t>Jayson Romine</t>
        </is>
      </c>
      <c r="B350" s="58" t="inlineStr">
        <is>
          <t>Qualifier</t>
        </is>
      </c>
      <c r="C350" s="58" t="inlineStr">
        <is>
          <t>Constellation Brands</t>
        </is>
      </c>
      <c r="D350" s="58" t="inlineStr">
        <is>
          <t>Modelo Especial</t>
        </is>
      </c>
      <c r="E350" s="53" t="n">
        <v>8734</v>
      </c>
      <c r="F350" s="53" t="n">
        <v>9552</v>
      </c>
      <c r="G350" s="55" t="n">
        <v>263690.15</v>
      </c>
      <c r="H350" s="55" t="n">
        <v>288015.2499999999</v>
      </c>
      <c r="I350" s="55" t="n">
        <v>57717.49</v>
      </c>
      <c r="J350" s="55" t="n">
        <v>65355.73</v>
      </c>
      <c r="K350" s="53" t="n">
        <v>33</v>
      </c>
      <c r="L350" s="53" t="n">
        <v>33</v>
      </c>
      <c r="M350" s="53" t="n">
        <v>0</v>
      </c>
      <c r="N350" s="53" t="n">
        <v>0</v>
      </c>
      <c r="O350" s="53" t="n">
        <v>0</v>
      </c>
      <c r="P350" s="53" t="n">
        <v>0</v>
      </c>
    </row>
    <row r="351">
      <c r="A351" s="58" t="inlineStr">
        <is>
          <t>Jayson Romine</t>
        </is>
      </c>
      <c r="B351" s="58" t="inlineStr">
        <is>
          <t>Qualifier</t>
        </is>
      </c>
      <c r="C351" s="58" t="inlineStr">
        <is>
          <t>DG Yuengling Inc</t>
        </is>
      </c>
      <c r="D351" s="58" t="inlineStr">
        <is>
          <t>Yuengling Lager</t>
        </is>
      </c>
      <c r="E351" s="53" t="n">
        <v>7206</v>
      </c>
      <c r="F351" s="53" t="n">
        <v>6619</v>
      </c>
      <c r="G351" s="55" t="n">
        <v>157630.25</v>
      </c>
      <c r="H351" s="55" t="n">
        <v>142418.45</v>
      </c>
      <c r="I351" s="55" t="n">
        <v>40975.74</v>
      </c>
      <c r="J351" s="55" t="n">
        <v>35350.03</v>
      </c>
      <c r="K351" s="53" t="n">
        <v>32</v>
      </c>
      <c r="L351" s="53" t="n">
        <v>33</v>
      </c>
      <c r="M351" s="53" t="n">
        <v>1</v>
      </c>
      <c r="N351" s="53" t="n">
        <v>14</v>
      </c>
      <c r="O351" s="53" t="n">
        <v>0</v>
      </c>
      <c r="P351" s="53" t="n">
        <v>0</v>
      </c>
    </row>
    <row r="352">
      <c r="A352" s="58" t="inlineStr">
        <is>
          <t>Jayson Romine</t>
        </is>
      </c>
      <c r="B352" s="58" t="inlineStr">
        <is>
          <t>Qualifier</t>
        </is>
      </c>
      <c r="C352" s="58" t="inlineStr">
        <is>
          <t>Mark Anthony</t>
        </is>
      </c>
      <c r="D352" s="58" t="inlineStr">
        <is>
          <t>White Claw</t>
        </is>
      </c>
      <c r="E352" s="53" t="n">
        <v>11796</v>
      </c>
      <c r="F352" s="53" t="n">
        <v>10003</v>
      </c>
      <c r="G352" s="55" t="n">
        <v>365996.2499999999</v>
      </c>
      <c r="H352" s="55" t="n">
        <v>317118.65</v>
      </c>
      <c r="I352" s="55" t="n">
        <v>73102.10999999999</v>
      </c>
      <c r="J352" s="55" t="n">
        <v>64016.22000000001</v>
      </c>
      <c r="K352" s="53" t="n">
        <v>33</v>
      </c>
      <c r="L352" s="53" t="n">
        <v>33</v>
      </c>
      <c r="M352" s="53" t="n">
        <v>0</v>
      </c>
      <c r="N352" s="53" t="n">
        <v>0</v>
      </c>
      <c r="O352" s="53" t="n">
        <v>0</v>
      </c>
      <c r="P352" s="53" t="n">
        <v>0</v>
      </c>
    </row>
    <row r="353">
      <c r="A353" s="58" t="inlineStr">
        <is>
          <t>Jayson Romine</t>
        </is>
      </c>
      <c r="B353" s="58" t="inlineStr">
        <is>
          <t>Qualifier</t>
        </is>
      </c>
      <c r="C353" s="58" t="inlineStr">
        <is>
          <t>MolsonCoors Beverage Company</t>
        </is>
      </c>
      <c r="D353" s="58" t="inlineStr">
        <is>
          <t>Blue Moon</t>
        </is>
      </c>
      <c r="E353" s="53" t="n">
        <v>2086</v>
      </c>
      <c r="F353" s="53" t="n">
        <v>1853</v>
      </c>
      <c r="G353" s="55" t="n">
        <v>66780.10000000001</v>
      </c>
      <c r="H353" s="55" t="n">
        <v>59224.55</v>
      </c>
      <c r="I353" s="55" t="n">
        <v>14559.11</v>
      </c>
      <c r="J353" s="55" t="n">
        <v>13347.81</v>
      </c>
      <c r="K353" s="53" t="n">
        <v>32</v>
      </c>
      <c r="L353" s="53" t="n">
        <v>34</v>
      </c>
      <c r="M353" s="53" t="n">
        <v>3</v>
      </c>
      <c r="N353" s="53" t="n">
        <v>13</v>
      </c>
      <c r="O353" s="53" t="n">
        <v>1</v>
      </c>
      <c r="P353" s="53" t="n">
        <v>10</v>
      </c>
    </row>
    <row r="354">
      <c r="A354" s="58" t="inlineStr">
        <is>
          <t>Jayson Romine</t>
        </is>
      </c>
      <c r="B354" s="58" t="inlineStr">
        <is>
          <t>Qualifier</t>
        </is>
      </c>
      <c r="C354" s="58" t="inlineStr">
        <is>
          <t>MolsonCoors Beverage Company</t>
        </is>
      </c>
      <c r="D354" s="58" t="inlineStr">
        <is>
          <t>Coors Light</t>
        </is>
      </c>
      <c r="E354" s="53" t="n">
        <v>15712</v>
      </c>
      <c r="F354" s="53" t="n">
        <v>14239</v>
      </c>
      <c r="G354" s="55" t="n">
        <v>338021.45</v>
      </c>
      <c r="H354" s="55" t="n">
        <v>311681.25</v>
      </c>
      <c r="I354" s="55" t="n">
        <v>88312.97</v>
      </c>
      <c r="J354" s="55" t="n">
        <v>82387.20999999999</v>
      </c>
      <c r="K354" s="53" t="n">
        <v>32</v>
      </c>
      <c r="L354" s="53" t="n">
        <v>33</v>
      </c>
      <c r="M354" s="53" t="n">
        <v>1</v>
      </c>
      <c r="N354" s="53" t="n">
        <v>1</v>
      </c>
      <c r="O354" s="53" t="n">
        <v>0</v>
      </c>
      <c r="P354" s="53" t="n">
        <v>0</v>
      </c>
    </row>
    <row r="355">
      <c r="A355" s="58" t="inlineStr">
        <is>
          <t>Jayson Romine</t>
        </is>
      </c>
      <c r="B355" s="58" t="inlineStr">
        <is>
          <t>Qualifier</t>
        </is>
      </c>
      <c r="C355" s="58" t="inlineStr">
        <is>
          <t>MolsonCoors Beverage Company</t>
        </is>
      </c>
      <c r="D355" s="58" t="inlineStr">
        <is>
          <t>Lite</t>
        </is>
      </c>
      <c r="E355" s="53" t="n">
        <v>20579</v>
      </c>
      <c r="F355" s="53" t="n">
        <v>19920</v>
      </c>
      <c r="G355" s="55" t="n">
        <v>444022.0999999999</v>
      </c>
      <c r="H355" s="55" t="n">
        <v>434883.6</v>
      </c>
      <c r="I355" s="55" t="n">
        <v>103138.37</v>
      </c>
      <c r="J355" s="55" t="n">
        <v>101867.64</v>
      </c>
      <c r="K355" s="53" t="n">
        <v>32</v>
      </c>
      <c r="L355" s="53" t="n">
        <v>32</v>
      </c>
      <c r="M355" s="53" t="n">
        <v>0</v>
      </c>
      <c r="N355" s="53" t="n">
        <v>0</v>
      </c>
      <c r="O355" s="53" t="n">
        <v>0</v>
      </c>
      <c r="P355" s="53" t="n">
        <v>0</v>
      </c>
    </row>
    <row r="356">
      <c r="A356" s="58" t="inlineStr">
        <is>
          <t>Jim Heaney</t>
        </is>
      </c>
      <c r="B356" s="58" t="inlineStr">
        <is>
          <t>Amplify</t>
        </is>
      </c>
      <c r="C356" s="58" t="inlineStr">
        <is>
          <t>Bell's</t>
        </is>
      </c>
      <c r="D356" s="58" t="inlineStr">
        <is>
          <t>Bell's</t>
        </is>
      </c>
      <c r="E356" s="53" t="n">
        <v>22</v>
      </c>
      <c r="F356" s="53" t="n">
        <v>7</v>
      </c>
      <c r="G356" s="55" t="n">
        <v>786.95</v>
      </c>
      <c r="H356" s="55" t="n">
        <v>272.7</v>
      </c>
      <c r="I356" s="55" t="n">
        <v>261.27</v>
      </c>
      <c r="J356" s="55" t="n">
        <v>101.48</v>
      </c>
      <c r="K356" s="53" t="n">
        <v>3</v>
      </c>
      <c r="L356" s="53" t="n">
        <v>4</v>
      </c>
      <c r="M356" s="53" t="n">
        <v>2</v>
      </c>
      <c r="N356" s="53" t="n">
        <v>2</v>
      </c>
      <c r="O356" s="53" t="n">
        <v>1</v>
      </c>
      <c r="P356" s="53" t="n">
        <v>14</v>
      </c>
    </row>
    <row r="357">
      <c r="A357" s="58" t="inlineStr">
        <is>
          <t>Jim Heaney</t>
        </is>
      </c>
      <c r="B357" s="58" t="inlineStr">
        <is>
          <t>Amplify</t>
        </is>
      </c>
      <c r="C357" s="58" t="inlineStr">
        <is>
          <t>Boston Beer Company</t>
        </is>
      </c>
      <c r="D357" s="58" t="inlineStr">
        <is>
          <t>Dogfish Head Beer</t>
        </is>
      </c>
      <c r="E357" s="53" t="n">
        <v>316</v>
      </c>
      <c r="F357" s="53" t="n">
        <v>319</v>
      </c>
      <c r="G357" s="55" t="n">
        <v>11942.3</v>
      </c>
      <c r="H357" s="55" t="n">
        <v>11244.5</v>
      </c>
      <c r="I357" s="55" t="n">
        <v>3133.36</v>
      </c>
      <c r="J357" s="55" t="n">
        <v>2838.19</v>
      </c>
      <c r="K357" s="53" t="n">
        <v>28</v>
      </c>
      <c r="L357" s="53" t="n">
        <v>29</v>
      </c>
      <c r="M357" s="53" t="n">
        <v>5</v>
      </c>
      <c r="N357" s="53" t="n">
        <v>37</v>
      </c>
      <c r="O357" s="53" t="n">
        <v>4</v>
      </c>
      <c r="P357" s="53" t="n">
        <v>33</v>
      </c>
    </row>
    <row r="358">
      <c r="A358" s="58" t="inlineStr">
        <is>
          <t>Jim Heaney</t>
        </is>
      </c>
      <c r="B358" s="58" t="inlineStr">
        <is>
          <t>Amplify</t>
        </is>
      </c>
      <c r="C358" s="58" t="inlineStr">
        <is>
          <t>Boston Beer Company</t>
        </is>
      </c>
      <c r="D358" s="58" t="inlineStr">
        <is>
          <t>Dogfish Head Spirits</t>
        </is>
      </c>
      <c r="E358" s="53" t="n">
        <v>103</v>
      </c>
      <c r="F358" s="53" t="n">
        <v>92</v>
      </c>
      <c r="G358" s="55" t="n">
        <v>5212</v>
      </c>
      <c r="H358" s="55" t="n">
        <v>4242</v>
      </c>
      <c r="I358" s="55" t="n">
        <v>1945.44</v>
      </c>
      <c r="J358" s="55" t="n">
        <v>1375.51</v>
      </c>
      <c r="K358" s="53" t="n">
        <v>9</v>
      </c>
      <c r="L358" s="53" t="n">
        <v>6</v>
      </c>
      <c r="M358" s="53" t="n">
        <v>2</v>
      </c>
      <c r="N358" s="53" t="n">
        <v>12</v>
      </c>
      <c r="O358" s="53" t="n">
        <v>5</v>
      </c>
      <c r="P358" s="53" t="n">
        <v>35</v>
      </c>
    </row>
    <row r="359">
      <c r="A359" s="58" t="inlineStr">
        <is>
          <t>Jim Heaney</t>
        </is>
      </c>
      <c r="B359" s="58" t="inlineStr">
        <is>
          <t>Amplify</t>
        </is>
      </c>
      <c r="C359" s="58" t="inlineStr">
        <is>
          <t>Cape May</t>
        </is>
      </c>
      <c r="D359" s="58" t="inlineStr">
        <is>
          <t>Cape May</t>
        </is>
      </c>
      <c r="E359" s="53" t="n">
        <v>417</v>
      </c>
      <c r="F359" s="53" t="n">
        <v>428</v>
      </c>
      <c r="G359" s="55" t="n">
        <v>16825.2</v>
      </c>
      <c r="H359" s="55" t="n">
        <v>17143</v>
      </c>
      <c r="I359" s="55" t="n">
        <v>4933.47</v>
      </c>
      <c r="J359" s="55" t="n">
        <v>5144.609999999998</v>
      </c>
      <c r="K359" s="53" t="n">
        <v>21</v>
      </c>
      <c r="L359" s="53" t="n">
        <v>22</v>
      </c>
      <c r="M359" s="53" t="n">
        <v>3</v>
      </c>
      <c r="N359" s="53" t="n">
        <v>28</v>
      </c>
      <c r="O359" s="53" t="n">
        <v>2</v>
      </c>
      <c r="P359" s="53" t="n">
        <v>65</v>
      </c>
    </row>
    <row r="360">
      <c r="A360" s="58" t="inlineStr">
        <is>
          <t>Jim Heaney</t>
        </is>
      </c>
      <c r="B360" s="58" t="inlineStr">
        <is>
          <t>Amplify</t>
        </is>
      </c>
      <c r="C360" s="58" t="inlineStr">
        <is>
          <t>Constellation Brands</t>
        </is>
      </c>
      <c r="D360" s="58" t="inlineStr">
        <is>
          <t>Corona Premier</t>
        </is>
      </c>
      <c r="E360" s="53" t="n">
        <v>810</v>
      </c>
      <c r="F360" s="53" t="n">
        <v>760</v>
      </c>
      <c r="G360" s="55" t="n">
        <v>25376.15000000001</v>
      </c>
      <c r="H360" s="55" t="n">
        <v>20635.65</v>
      </c>
      <c r="I360" s="55" t="n">
        <v>5211.62</v>
      </c>
      <c r="J360" s="55" t="n">
        <v>5167.419999999999</v>
      </c>
      <c r="K360" s="53" t="n">
        <v>32</v>
      </c>
      <c r="L360" s="53" t="n">
        <v>26</v>
      </c>
      <c r="M360" s="53" t="n">
        <v>3</v>
      </c>
      <c r="N360" s="53" t="n">
        <v>19</v>
      </c>
      <c r="O360" s="53" t="n">
        <v>9</v>
      </c>
      <c r="P360" s="53" t="n">
        <v>108</v>
      </c>
    </row>
    <row r="361">
      <c r="A361" s="58" t="inlineStr">
        <is>
          <t>Jim Heaney</t>
        </is>
      </c>
      <c r="B361" s="58" t="inlineStr">
        <is>
          <t>Amplify</t>
        </is>
      </c>
      <c r="C361" s="58" t="inlineStr">
        <is>
          <t>Constellation Brands</t>
        </is>
      </c>
      <c r="D361" s="58" t="inlineStr">
        <is>
          <t>Modelo Chelada</t>
        </is>
      </c>
      <c r="E361" s="53" t="n">
        <v>1923</v>
      </c>
      <c r="F361" s="53" t="n">
        <v>2428</v>
      </c>
      <c r="G361" s="55" t="n">
        <v>59507.75</v>
      </c>
      <c r="H361" s="55" t="n">
        <v>74499.15000000001</v>
      </c>
      <c r="I361" s="55" t="n">
        <v>15021.44</v>
      </c>
      <c r="J361" s="55" t="n">
        <v>18469.77</v>
      </c>
      <c r="K361" s="53" t="n">
        <v>40</v>
      </c>
      <c r="L361" s="53" t="n">
        <v>39</v>
      </c>
      <c r="M361" s="53" t="n">
        <v>2</v>
      </c>
      <c r="N361" s="53" t="n">
        <v>27</v>
      </c>
      <c r="O361" s="53" t="n">
        <v>3</v>
      </c>
      <c r="P361" s="53" t="n">
        <v>70</v>
      </c>
    </row>
    <row r="362">
      <c r="A362" s="58" t="inlineStr">
        <is>
          <t>Jim Heaney</t>
        </is>
      </c>
      <c r="B362" s="58" t="inlineStr">
        <is>
          <t>Amplify</t>
        </is>
      </c>
      <c r="C362" s="58" t="inlineStr">
        <is>
          <t>Constellation Brands</t>
        </is>
      </c>
      <c r="D362" s="58" t="inlineStr">
        <is>
          <t>Pacifico</t>
        </is>
      </c>
      <c r="E362" s="53" t="n">
        <v>853</v>
      </c>
      <c r="F362" s="53" t="n">
        <v>993</v>
      </c>
      <c r="G362" s="55" t="n">
        <v>26376.2</v>
      </c>
      <c r="H362" s="55" t="n">
        <v>30736.35</v>
      </c>
      <c r="I362" s="55" t="n">
        <v>6067.220000000002</v>
      </c>
      <c r="J362" s="55" t="n">
        <v>7084.75</v>
      </c>
      <c r="K362" s="53" t="n">
        <v>39</v>
      </c>
      <c r="L362" s="53" t="n">
        <v>39</v>
      </c>
      <c r="M362" s="53" t="n">
        <v>3</v>
      </c>
      <c r="N362" s="53" t="n">
        <v>23</v>
      </c>
      <c r="O362" s="53" t="n">
        <v>3</v>
      </c>
      <c r="P362" s="53" t="n">
        <v>32</v>
      </c>
    </row>
    <row r="363">
      <c r="A363" s="58" t="inlineStr">
        <is>
          <t>Jim Heaney</t>
        </is>
      </c>
      <c r="B363" s="58" t="inlineStr">
        <is>
          <t>Amplify</t>
        </is>
      </c>
      <c r="C363" s="58" t="inlineStr">
        <is>
          <t>Constellation Brands</t>
        </is>
      </c>
      <c r="D363" s="58" t="inlineStr">
        <is>
          <t>Victoria</t>
        </is>
      </c>
      <c r="E363" s="53" t="n">
        <v>1464</v>
      </c>
      <c r="F363" s="53" t="n">
        <v>1787</v>
      </c>
      <c r="G363" s="55" t="n">
        <v>44181.49999999999</v>
      </c>
      <c r="H363" s="55" t="n">
        <v>54234.1</v>
      </c>
      <c r="I363" s="55" t="n">
        <v>10607.8</v>
      </c>
      <c r="J363" s="55" t="n">
        <v>13013.91</v>
      </c>
      <c r="K363" s="53" t="n">
        <v>39</v>
      </c>
      <c r="L363" s="53" t="n">
        <v>38</v>
      </c>
      <c r="M363" s="53" t="n">
        <v>3</v>
      </c>
      <c r="N363" s="53" t="n">
        <v>38</v>
      </c>
      <c r="O363" s="53" t="n">
        <v>4</v>
      </c>
      <c r="P363" s="53" t="n">
        <v>38</v>
      </c>
    </row>
    <row r="364">
      <c r="A364" s="58" t="inlineStr">
        <is>
          <t>Jim Heaney</t>
        </is>
      </c>
      <c r="B364" s="58" t="inlineStr">
        <is>
          <t>Amplify</t>
        </is>
      </c>
      <c r="C364" s="58" t="inlineStr">
        <is>
          <t>DG Yuengling Inc</t>
        </is>
      </c>
      <c r="D364" s="58" t="inlineStr">
        <is>
          <t>Yuengling Flight</t>
        </is>
      </c>
      <c r="E364" s="53" t="n">
        <v>58</v>
      </c>
      <c r="F364" s="53" t="n">
        <v>51</v>
      </c>
      <c r="G364" s="55" t="n">
        <v>1400.25</v>
      </c>
      <c r="H364" s="55" t="n">
        <v>1097.7</v>
      </c>
      <c r="I364" s="55" t="n">
        <v>395.19</v>
      </c>
      <c r="J364" s="55" t="n">
        <v>282.23</v>
      </c>
      <c r="K364" s="53" t="n">
        <v>12</v>
      </c>
      <c r="L364" s="53" t="n">
        <v>13</v>
      </c>
      <c r="M364" s="53" t="n">
        <v>3</v>
      </c>
      <c r="N364" s="53" t="n">
        <v>6</v>
      </c>
      <c r="O364" s="53" t="n">
        <v>2</v>
      </c>
      <c r="P364" s="53" t="n">
        <v>2</v>
      </c>
    </row>
    <row r="365">
      <c r="A365" s="58" t="inlineStr">
        <is>
          <t>Jim Heaney</t>
        </is>
      </c>
      <c r="B365" s="58" t="inlineStr">
        <is>
          <t>Amplify</t>
        </is>
      </c>
      <c r="C365" s="58" t="inlineStr">
        <is>
          <t>DG Yuengling Inc</t>
        </is>
      </c>
      <c r="D365" s="58" t="inlineStr">
        <is>
          <t>Yuengling Light Lager</t>
        </is>
      </c>
      <c r="E365" s="53" t="n">
        <v>98</v>
      </c>
      <c r="F365" s="53" t="n">
        <v>67</v>
      </c>
      <c r="G365" s="55" t="n">
        <v>2223.8</v>
      </c>
      <c r="H365" s="55" t="n">
        <v>1587.7</v>
      </c>
      <c r="I365" s="55" t="n">
        <v>576.27</v>
      </c>
      <c r="J365" s="55" t="n">
        <v>426.1</v>
      </c>
      <c r="K365" s="53" t="n">
        <v>9</v>
      </c>
      <c r="L365" s="53" t="n">
        <v>8</v>
      </c>
      <c r="M365" s="53" t="n">
        <v>2</v>
      </c>
      <c r="N365" s="53" t="n">
        <v>4</v>
      </c>
      <c r="O365" s="53" t="n">
        <v>3</v>
      </c>
      <c r="P365" s="53" t="n">
        <v>24</v>
      </c>
    </row>
    <row r="366">
      <c r="A366" s="58" t="inlineStr">
        <is>
          <t>Jim Heaney</t>
        </is>
      </c>
      <c r="B366" s="58" t="inlineStr">
        <is>
          <t>Amplify</t>
        </is>
      </c>
      <c r="C366" s="58" t="inlineStr">
        <is>
          <t>Heineken USA</t>
        </is>
      </c>
      <c r="D366" s="58" t="inlineStr">
        <is>
          <t>Heineken 0.0</t>
        </is>
      </c>
      <c r="E366" s="53" t="n">
        <v>453</v>
      </c>
      <c r="F366" s="53" t="n">
        <v>494</v>
      </c>
      <c r="G366" s="55" t="n">
        <v>15288.05</v>
      </c>
      <c r="H366" s="55" t="n">
        <v>16561.55</v>
      </c>
      <c r="I366" s="55" t="n">
        <v>4055.690000000001</v>
      </c>
      <c r="J366" s="55" t="n">
        <v>4358.549999999998</v>
      </c>
      <c r="K366" s="53" t="n">
        <v>39</v>
      </c>
      <c r="L366" s="53" t="n">
        <v>37</v>
      </c>
      <c r="M366" s="53" t="n">
        <v>3</v>
      </c>
      <c r="N366" s="53" t="n">
        <v>20</v>
      </c>
      <c r="O366" s="53" t="n">
        <v>5</v>
      </c>
      <c r="P366" s="53" t="n">
        <v>40</v>
      </c>
    </row>
    <row r="367">
      <c r="A367" s="58" t="inlineStr">
        <is>
          <t>Jim Heaney</t>
        </is>
      </c>
      <c r="B367" s="58" t="inlineStr">
        <is>
          <t>Amplify</t>
        </is>
      </c>
      <c r="C367" s="58" t="inlineStr">
        <is>
          <t>Heineken USA</t>
        </is>
      </c>
      <c r="D367" s="58" t="inlineStr">
        <is>
          <t>Heineken Light</t>
        </is>
      </c>
      <c r="E367" s="53" t="n">
        <v>750</v>
      </c>
      <c r="F367" s="53" t="n">
        <v>549</v>
      </c>
      <c r="G367" s="55" t="n">
        <v>23539</v>
      </c>
      <c r="H367" s="55" t="n">
        <v>17088.3</v>
      </c>
      <c r="I367" s="55" t="n">
        <v>5710.240000000002</v>
      </c>
      <c r="J367" s="55" t="n">
        <v>4037.55</v>
      </c>
      <c r="K367" s="53" t="n">
        <v>37</v>
      </c>
      <c r="L367" s="53" t="n">
        <v>27</v>
      </c>
      <c r="M367" s="53" t="n">
        <v>3</v>
      </c>
      <c r="N367" s="53" t="n">
        <v>31</v>
      </c>
      <c r="O367" s="53" t="n">
        <v>13</v>
      </c>
      <c r="P367" s="53" t="n">
        <v>133</v>
      </c>
    </row>
    <row r="368">
      <c r="A368" s="58" t="inlineStr">
        <is>
          <t>Jim Heaney</t>
        </is>
      </c>
      <c r="B368" s="58" t="inlineStr">
        <is>
          <t>Amplify</t>
        </is>
      </c>
      <c r="C368" s="58" t="inlineStr">
        <is>
          <t>Mark Anthony</t>
        </is>
      </c>
      <c r="D368" s="58" t="inlineStr">
        <is>
          <t>Cayman Jack</t>
        </is>
      </c>
      <c r="E368" s="53" t="n">
        <v>1074</v>
      </c>
      <c r="F368" s="53" t="n">
        <v>1195</v>
      </c>
      <c r="G368" s="55" t="n">
        <v>33787.5</v>
      </c>
      <c r="H368" s="55" t="n">
        <v>38066.75</v>
      </c>
      <c r="I368" s="55" t="n">
        <v>7932.820000000001</v>
      </c>
      <c r="J368" s="55" t="n">
        <v>8951.620000000004</v>
      </c>
      <c r="K368" s="53" t="n">
        <v>34</v>
      </c>
      <c r="L368" s="53" t="n">
        <v>35</v>
      </c>
      <c r="M368" s="53" t="n">
        <v>5</v>
      </c>
      <c r="N368" s="53" t="n">
        <v>58</v>
      </c>
      <c r="O368" s="53" t="n">
        <v>4</v>
      </c>
      <c r="P368" s="53" t="n">
        <v>40</v>
      </c>
    </row>
    <row r="369">
      <c r="A369" s="58" t="inlineStr">
        <is>
          <t>Jim Heaney</t>
        </is>
      </c>
      <c r="B369" s="58" t="inlineStr">
        <is>
          <t>Amplify</t>
        </is>
      </c>
      <c r="C369" s="58" t="inlineStr">
        <is>
          <t>Mark Anthony</t>
        </is>
      </c>
      <c r="D369" s="58" t="inlineStr">
        <is>
          <t>Mike's Harder</t>
        </is>
      </c>
      <c r="E369" s="53" t="n">
        <v>131</v>
      </c>
      <c r="F369" s="53" t="n">
        <v>124</v>
      </c>
      <c r="G369" s="55" t="n">
        <v>3629.5</v>
      </c>
      <c r="H369" s="55" t="n">
        <v>3626</v>
      </c>
      <c r="I369" s="55" t="n">
        <v>800.0499999999998</v>
      </c>
      <c r="J369" s="55" t="n">
        <v>786.2199999999999</v>
      </c>
      <c r="K369" s="53" t="n">
        <v>19</v>
      </c>
      <c r="L369" s="53" t="n">
        <v>17</v>
      </c>
      <c r="M369" s="53" t="n">
        <v>6</v>
      </c>
      <c r="N369" s="53" t="n">
        <v>53</v>
      </c>
      <c r="O369" s="53" t="n">
        <v>8</v>
      </c>
      <c r="P369" s="53" t="n">
        <v>41</v>
      </c>
    </row>
    <row r="370">
      <c r="A370" s="58" t="inlineStr">
        <is>
          <t>Jim Heaney</t>
        </is>
      </c>
      <c r="B370" s="58" t="inlineStr">
        <is>
          <t>Amplify</t>
        </is>
      </c>
      <c r="C370" s="58" t="inlineStr">
        <is>
          <t>Mark Anthony</t>
        </is>
      </c>
      <c r="D370" s="58" t="inlineStr">
        <is>
          <t>Mxd Cocktails</t>
        </is>
      </c>
      <c r="E370" s="53" t="n">
        <v>4</v>
      </c>
      <c r="F370" s="53" t="n">
        <v>5</v>
      </c>
      <c r="G370" s="55" t="n">
        <v>128</v>
      </c>
      <c r="H370" s="55" t="n">
        <v>128</v>
      </c>
      <c r="I370" s="55" t="n">
        <v>24.04</v>
      </c>
      <c r="J370" s="55" t="n">
        <v>24.04</v>
      </c>
      <c r="K370" s="53" t="n">
        <v>1</v>
      </c>
      <c r="L370" s="53" t="n">
        <v>2</v>
      </c>
      <c r="M370" s="53" t="n">
        <v>1</v>
      </c>
      <c r="N370" s="53" t="n">
        <v>4</v>
      </c>
      <c r="O370" s="53" t="n">
        <v>0</v>
      </c>
      <c r="P370" s="53" t="n">
        <v>0</v>
      </c>
    </row>
    <row r="371">
      <c r="A371" s="58" t="inlineStr">
        <is>
          <t>Jim Heaney</t>
        </is>
      </c>
      <c r="B371" s="58" t="inlineStr">
        <is>
          <t>Amplify</t>
        </is>
      </c>
      <c r="C371" s="58" t="inlineStr">
        <is>
          <t>MolsonCoors Beverage Company</t>
        </is>
      </c>
      <c r="D371" s="58" t="inlineStr">
        <is>
          <t>Coors</t>
        </is>
      </c>
      <c r="E371" s="53" t="n">
        <v>2080</v>
      </c>
      <c r="F371" s="53" t="n">
        <v>1790</v>
      </c>
      <c r="G371" s="55" t="n">
        <v>41673.95</v>
      </c>
      <c r="H371" s="55" t="n">
        <v>37365.10000000001</v>
      </c>
      <c r="I371" s="55" t="n">
        <v>9868.699999999997</v>
      </c>
      <c r="J371" s="55" t="n">
        <v>9001.150000000001</v>
      </c>
      <c r="K371" s="53" t="n">
        <v>40</v>
      </c>
      <c r="L371" s="53" t="n">
        <v>38</v>
      </c>
      <c r="M371" s="53" t="n">
        <v>2</v>
      </c>
      <c r="N371" s="53" t="n">
        <v>12</v>
      </c>
      <c r="O371" s="53" t="n">
        <v>4</v>
      </c>
      <c r="P371" s="53" t="n">
        <v>168</v>
      </c>
    </row>
    <row r="372">
      <c r="A372" s="58" t="inlineStr">
        <is>
          <t>Jim Heaney</t>
        </is>
      </c>
      <c r="B372" s="58" t="inlineStr">
        <is>
          <t>Amplify</t>
        </is>
      </c>
      <c r="C372" s="58" t="inlineStr">
        <is>
          <t>MolsonCoors Beverage Company</t>
        </is>
      </c>
      <c r="D372" s="58" t="inlineStr">
        <is>
          <t>Fever Tree</t>
        </is>
      </c>
      <c r="E372" s="53" t="n">
        <v>41</v>
      </c>
      <c r="F372" s="53" t="n">
        <v>54</v>
      </c>
      <c r="G372" s="55" t="n">
        <v>1734.5</v>
      </c>
      <c r="H372" s="55" t="n">
        <v>2343</v>
      </c>
      <c r="I372" s="55" t="n">
        <v>487.22</v>
      </c>
      <c r="J372" s="55" t="n">
        <v>727.95</v>
      </c>
      <c r="K372" s="53" t="n">
        <v>8</v>
      </c>
      <c r="L372" s="53" t="n">
        <v>10</v>
      </c>
      <c r="M372" s="53" t="n">
        <v>6</v>
      </c>
      <c r="N372" s="53" t="n">
        <v>15</v>
      </c>
      <c r="O372" s="53" t="n">
        <v>4</v>
      </c>
      <c r="P372" s="53" t="n">
        <v>12</v>
      </c>
    </row>
    <row r="373">
      <c r="A373" s="58" t="inlineStr">
        <is>
          <t>Jim Heaney</t>
        </is>
      </c>
      <c r="B373" s="58" t="inlineStr">
        <is>
          <t>Amplify</t>
        </is>
      </c>
      <c r="C373" s="58" t="inlineStr">
        <is>
          <t>MolsonCoors Beverage Company</t>
        </is>
      </c>
      <c r="D373" s="58" t="inlineStr">
        <is>
          <t>Peroni</t>
        </is>
      </c>
      <c r="E373" s="53" t="n">
        <v>1041</v>
      </c>
      <c r="F373" s="53" t="n">
        <v>1003</v>
      </c>
      <c r="G373" s="55" t="n">
        <v>35663.75000000001</v>
      </c>
      <c r="H373" s="55" t="n">
        <v>33878.09999999999</v>
      </c>
      <c r="I373" s="55" t="n">
        <v>7176.689999999998</v>
      </c>
      <c r="J373" s="55" t="n">
        <v>6778.639999999998</v>
      </c>
      <c r="K373" s="53" t="n">
        <v>39</v>
      </c>
      <c r="L373" s="53" t="n">
        <v>37</v>
      </c>
      <c r="M373" s="53" t="n">
        <v>3</v>
      </c>
      <c r="N373" s="53" t="n">
        <v>19</v>
      </c>
      <c r="O373" s="53" t="n">
        <v>5</v>
      </c>
      <c r="P373" s="53" t="n">
        <v>152</v>
      </c>
    </row>
    <row r="374">
      <c r="A374" s="58" t="inlineStr">
        <is>
          <t>Jim Heaney</t>
        </is>
      </c>
      <c r="B374" s="58" t="inlineStr">
        <is>
          <t>Amplify</t>
        </is>
      </c>
      <c r="C374" s="58" t="inlineStr">
        <is>
          <t>New Belgium Brewing Company</t>
        </is>
      </c>
      <c r="D374" s="58" t="inlineStr">
        <is>
          <t>Fat Tire Family</t>
        </is>
      </c>
      <c r="E374" s="53" t="n">
        <v>66</v>
      </c>
      <c r="F374" s="53" t="n">
        <v>56</v>
      </c>
      <c r="G374" s="55" t="n">
        <v>2210</v>
      </c>
      <c r="H374" s="55" t="n">
        <v>1753.1</v>
      </c>
      <c r="I374" s="55" t="n">
        <v>494</v>
      </c>
      <c r="J374" s="55" t="n">
        <v>395.02</v>
      </c>
      <c r="K374" s="53" t="n">
        <v>16</v>
      </c>
      <c r="L374" s="53" t="n">
        <v>15</v>
      </c>
      <c r="M374" s="53" t="n">
        <v>4</v>
      </c>
      <c r="N374" s="53" t="n">
        <v>11</v>
      </c>
      <c r="O374" s="53" t="n">
        <v>5</v>
      </c>
      <c r="P374" s="53" t="n">
        <v>10</v>
      </c>
    </row>
    <row r="375">
      <c r="A375" s="58" t="inlineStr">
        <is>
          <t>Jim Heaney</t>
        </is>
      </c>
      <c r="B375" s="58" t="inlineStr">
        <is>
          <t>Amplify</t>
        </is>
      </c>
      <c r="C375" s="58" t="inlineStr">
        <is>
          <t>New Belgium Brewing Company</t>
        </is>
      </c>
      <c r="D375" s="58" t="inlineStr">
        <is>
          <t>Kirin Ichiban</t>
        </is>
      </c>
      <c r="E375" s="53" t="n">
        <v>17</v>
      </c>
      <c r="F375" s="53" t="n">
        <v>18</v>
      </c>
      <c r="G375" s="55" t="n">
        <v>567</v>
      </c>
      <c r="H375" s="55" t="n">
        <v>541.1</v>
      </c>
      <c r="I375" s="55" t="n">
        <v>155.94</v>
      </c>
      <c r="J375" s="55" t="n">
        <v>137.78</v>
      </c>
      <c r="K375" s="53" t="n">
        <v>4</v>
      </c>
      <c r="L375" s="53" t="n">
        <v>4</v>
      </c>
      <c r="M375" s="53" t="n">
        <v>1</v>
      </c>
      <c r="N375" s="53" t="n">
        <v>10</v>
      </c>
      <c r="O375" s="53" t="n">
        <v>1</v>
      </c>
      <c r="P375" s="53" t="n">
        <v>4</v>
      </c>
    </row>
    <row r="376">
      <c r="A376" s="58" t="inlineStr">
        <is>
          <t>Jim Heaney</t>
        </is>
      </c>
      <c r="B376" s="58" t="inlineStr">
        <is>
          <t>Amplify</t>
        </is>
      </c>
      <c r="C376" s="58" t="inlineStr">
        <is>
          <t>New Belgium Brewing Company</t>
        </is>
      </c>
      <c r="D376" s="58" t="inlineStr">
        <is>
          <t>Voodoo Family</t>
        </is>
      </c>
      <c r="E376" s="53" t="n">
        <v>654</v>
      </c>
      <c r="F376" s="53" t="n">
        <v>765</v>
      </c>
      <c r="G376" s="55" t="n">
        <v>23594.5</v>
      </c>
      <c r="H376" s="55" t="n">
        <v>27634.3</v>
      </c>
      <c r="I376" s="55" t="n">
        <v>5950.44</v>
      </c>
      <c r="J376" s="55" t="n">
        <v>7224.430000000002</v>
      </c>
      <c r="K376" s="53" t="n">
        <v>30</v>
      </c>
      <c r="L376" s="53" t="n">
        <v>35</v>
      </c>
      <c r="M376" s="53" t="n">
        <v>10</v>
      </c>
      <c r="N376" s="53" t="n">
        <v>92</v>
      </c>
      <c r="O376" s="53" t="n">
        <v>5</v>
      </c>
      <c r="P376" s="53" t="n">
        <v>53</v>
      </c>
    </row>
    <row r="377">
      <c r="A377" s="58" t="inlineStr">
        <is>
          <t>Jim Heaney</t>
        </is>
      </c>
      <c r="B377" s="58" t="inlineStr">
        <is>
          <t>Amplify</t>
        </is>
      </c>
      <c r="C377" s="58" t="inlineStr">
        <is>
          <t>Sapporo</t>
        </is>
      </c>
      <c r="D377" s="58" t="inlineStr">
        <is>
          <t>Sapporo</t>
        </is>
      </c>
      <c r="E377" s="53" t="n">
        <v>413</v>
      </c>
      <c r="F377" s="53" t="n">
        <v>536</v>
      </c>
      <c r="G377" s="55" t="n">
        <v>12697.25</v>
      </c>
      <c r="H377" s="55" t="n">
        <v>15931.75</v>
      </c>
      <c r="I377" s="55" t="n">
        <v>3352.5</v>
      </c>
      <c r="J377" s="55" t="n">
        <v>4210.19</v>
      </c>
      <c r="K377" s="53" t="n">
        <v>32</v>
      </c>
      <c r="L377" s="53" t="n">
        <v>33</v>
      </c>
      <c r="M377" s="53" t="n">
        <v>6</v>
      </c>
      <c r="N377" s="53" t="n">
        <v>50</v>
      </c>
      <c r="O377" s="53" t="n">
        <v>5</v>
      </c>
      <c r="P377" s="53" t="n">
        <v>79</v>
      </c>
    </row>
    <row r="378">
      <c r="A378" s="58" t="inlineStr">
        <is>
          <t>Jim Heaney</t>
        </is>
      </c>
      <c r="B378" s="58" t="inlineStr">
        <is>
          <t>Qualifier</t>
        </is>
      </c>
      <c r="C378" s="58" t="inlineStr">
        <is>
          <t>Boston Beer Company</t>
        </is>
      </c>
      <c r="D378" s="58" t="inlineStr">
        <is>
          <t>Truly</t>
        </is>
      </c>
      <c r="E378" s="53" t="n">
        <v>662</v>
      </c>
      <c r="F378" s="53" t="n">
        <v>541</v>
      </c>
      <c r="G378" s="55" t="n">
        <v>19046.4</v>
      </c>
      <c r="H378" s="55" t="n">
        <v>15641</v>
      </c>
      <c r="I378" s="55" t="n">
        <v>4134.31</v>
      </c>
      <c r="J378" s="55" t="n">
        <v>3508.39</v>
      </c>
      <c r="K378" s="53" t="n">
        <v>18</v>
      </c>
      <c r="L378" s="53" t="n">
        <v>19</v>
      </c>
      <c r="M378" s="53" t="n">
        <v>4</v>
      </c>
      <c r="N378" s="53" t="n">
        <v>37</v>
      </c>
      <c r="O378" s="53" t="n">
        <v>3</v>
      </c>
      <c r="P378" s="53" t="n">
        <v>67</v>
      </c>
    </row>
    <row r="379">
      <c r="A379" s="58" t="inlineStr">
        <is>
          <t>Jim Heaney</t>
        </is>
      </c>
      <c r="B379" s="58" t="inlineStr">
        <is>
          <t>Qualifier</t>
        </is>
      </c>
      <c r="C379" s="58" t="inlineStr">
        <is>
          <t>Boston Beer Company</t>
        </is>
      </c>
      <c r="D379" s="58" t="inlineStr">
        <is>
          <t>Twisted Tea</t>
        </is>
      </c>
      <c r="E379" s="53" t="n">
        <v>2387</v>
      </c>
      <c r="F379" s="53" t="n">
        <v>1834</v>
      </c>
      <c r="G379" s="55" t="n">
        <v>69949.05</v>
      </c>
      <c r="H379" s="55" t="n">
        <v>54898.5</v>
      </c>
      <c r="I379" s="55" t="n">
        <v>17648.83</v>
      </c>
      <c r="J379" s="55" t="n">
        <v>13931.63</v>
      </c>
      <c r="K379" s="53" t="n">
        <v>40</v>
      </c>
      <c r="L379" s="53" t="n">
        <v>39</v>
      </c>
      <c r="M379" s="53" t="n">
        <v>3</v>
      </c>
      <c r="N379" s="53" t="n">
        <v>72</v>
      </c>
      <c r="O379" s="53" t="n">
        <v>4</v>
      </c>
      <c r="P379" s="53" t="n">
        <v>315</v>
      </c>
    </row>
    <row r="380">
      <c r="A380" s="58" t="inlineStr">
        <is>
          <t>Jim Heaney</t>
        </is>
      </c>
      <c r="B380" s="58" t="inlineStr">
        <is>
          <t>Qualifier</t>
        </is>
      </c>
      <c r="C380" s="58" t="inlineStr">
        <is>
          <t>Constellation Brands</t>
        </is>
      </c>
      <c r="D380" s="58" t="inlineStr">
        <is>
          <t>Corona Extra</t>
        </is>
      </c>
      <c r="E380" s="53" t="n">
        <v>20139</v>
      </c>
      <c r="F380" s="53" t="n">
        <v>18481</v>
      </c>
      <c r="G380" s="55" t="n">
        <v>652810.75</v>
      </c>
      <c r="H380" s="55" t="n">
        <v>602768.4500000001</v>
      </c>
      <c r="I380" s="55" t="n">
        <v>154236.4600000001</v>
      </c>
      <c r="J380" s="55" t="n">
        <v>145781.6499999999</v>
      </c>
      <c r="K380" s="53" t="n">
        <v>43</v>
      </c>
      <c r="L380" s="53" t="n">
        <v>42</v>
      </c>
      <c r="M380" s="53" t="n">
        <v>3</v>
      </c>
      <c r="N380" s="53" t="n">
        <v>235</v>
      </c>
      <c r="O380" s="53" t="n">
        <v>4</v>
      </c>
      <c r="P380" s="53" t="n">
        <v>1271</v>
      </c>
    </row>
    <row r="381">
      <c r="A381" s="58" t="inlineStr">
        <is>
          <t>Jim Heaney</t>
        </is>
      </c>
      <c r="B381" s="58" t="inlineStr">
        <is>
          <t>Qualifier</t>
        </is>
      </c>
      <c r="C381" s="58" t="inlineStr">
        <is>
          <t>Constellation Brands</t>
        </is>
      </c>
      <c r="D381" s="58" t="inlineStr">
        <is>
          <t>Modelo Especial</t>
        </is>
      </c>
      <c r="E381" s="53" t="n">
        <v>19040</v>
      </c>
      <c r="F381" s="53" t="n">
        <v>19483</v>
      </c>
      <c r="G381" s="55" t="n">
        <v>586398.3500000001</v>
      </c>
      <c r="H381" s="55" t="n">
        <v>599309.5</v>
      </c>
      <c r="I381" s="55" t="n">
        <v>131010.91</v>
      </c>
      <c r="J381" s="55" t="n">
        <v>139157.4</v>
      </c>
      <c r="K381" s="53" t="n">
        <v>44</v>
      </c>
      <c r="L381" s="53" t="n">
        <v>42</v>
      </c>
      <c r="M381" s="53" t="n">
        <v>2</v>
      </c>
      <c r="N381" s="53" t="n">
        <v>163</v>
      </c>
      <c r="O381" s="53" t="n">
        <v>4</v>
      </c>
      <c r="P381" s="53" t="n">
        <v>981</v>
      </c>
    </row>
    <row r="382">
      <c r="A382" s="58" t="inlineStr">
        <is>
          <t>Jim Heaney</t>
        </is>
      </c>
      <c r="B382" s="58" t="inlineStr">
        <is>
          <t>Qualifier</t>
        </is>
      </c>
      <c r="C382" s="58" t="inlineStr">
        <is>
          <t>DG Yuengling Inc</t>
        </is>
      </c>
      <c r="D382" s="58" t="inlineStr">
        <is>
          <t>Yuengling Lager</t>
        </is>
      </c>
      <c r="E382" s="53" t="n">
        <v>2079</v>
      </c>
      <c r="F382" s="53" t="n">
        <v>1776</v>
      </c>
      <c r="G382" s="55" t="n">
        <v>45276.3</v>
      </c>
      <c r="H382" s="55" t="n">
        <v>37616.3</v>
      </c>
      <c r="I382" s="55" t="n">
        <v>12308.14</v>
      </c>
      <c r="J382" s="55" t="n">
        <v>9965.650000000001</v>
      </c>
      <c r="K382" s="53" t="n">
        <v>40</v>
      </c>
      <c r="L382" s="53" t="n">
        <v>38</v>
      </c>
      <c r="M382" s="53" t="n">
        <v>3</v>
      </c>
      <c r="N382" s="53" t="n">
        <v>15</v>
      </c>
      <c r="O382" s="53" t="n">
        <v>5</v>
      </c>
      <c r="P382" s="53" t="n">
        <v>124</v>
      </c>
    </row>
    <row r="383">
      <c r="A383" s="58" t="inlineStr">
        <is>
          <t>Jim Heaney</t>
        </is>
      </c>
      <c r="B383" s="58" t="inlineStr">
        <is>
          <t>Qualifier</t>
        </is>
      </c>
      <c r="C383" s="58" t="inlineStr">
        <is>
          <t>Heineken USA</t>
        </is>
      </c>
      <c r="D383" s="58" t="inlineStr">
        <is>
          <t>Heineken USA</t>
        </is>
      </c>
      <c r="E383" s="53" t="n">
        <v>8240</v>
      </c>
      <c r="F383" s="53" t="n">
        <v>7018</v>
      </c>
      <c r="G383" s="55" t="n">
        <v>254827.75</v>
      </c>
      <c r="H383" s="55" t="n">
        <v>213696.95</v>
      </c>
      <c r="I383" s="55" t="n">
        <v>60019.78</v>
      </c>
      <c r="J383" s="55" t="n">
        <v>48344.71999999999</v>
      </c>
      <c r="K383" s="53" t="n">
        <v>43</v>
      </c>
      <c r="L383" s="53" t="n">
        <v>41</v>
      </c>
      <c r="M383" s="53" t="n">
        <v>2</v>
      </c>
      <c r="N383" s="53" t="n">
        <v>76</v>
      </c>
      <c r="O383" s="53" t="n">
        <v>4</v>
      </c>
      <c r="P383" s="53" t="n">
        <v>663</v>
      </c>
    </row>
    <row r="384">
      <c r="A384" s="58" t="inlineStr">
        <is>
          <t>Jim Heaney</t>
        </is>
      </c>
      <c r="B384" s="58" t="inlineStr">
        <is>
          <t>Qualifier</t>
        </is>
      </c>
      <c r="C384" s="58" t="inlineStr">
        <is>
          <t>Mark Anthony</t>
        </is>
      </c>
      <c r="D384" s="58" t="inlineStr">
        <is>
          <t>White Claw</t>
        </is>
      </c>
      <c r="E384" s="53" t="n">
        <v>5194</v>
      </c>
      <c r="F384" s="53" t="n">
        <v>4668</v>
      </c>
      <c r="G384" s="55" t="n">
        <v>166899.25</v>
      </c>
      <c r="H384" s="55" t="n">
        <v>154128.05</v>
      </c>
      <c r="I384" s="55" t="n">
        <v>36403.4</v>
      </c>
      <c r="J384" s="55" t="n">
        <v>33429.98</v>
      </c>
      <c r="K384" s="53" t="n">
        <v>42</v>
      </c>
      <c r="L384" s="53" t="n">
        <v>40</v>
      </c>
      <c r="M384" s="53" t="n">
        <v>1</v>
      </c>
      <c r="N384" s="53" t="n">
        <v>48</v>
      </c>
      <c r="O384" s="53" t="n">
        <v>3</v>
      </c>
      <c r="P384" s="53" t="n">
        <v>364</v>
      </c>
    </row>
    <row r="385">
      <c r="A385" s="58" t="inlineStr">
        <is>
          <t>Jim Heaney</t>
        </is>
      </c>
      <c r="B385" s="58" t="inlineStr">
        <is>
          <t>Qualifier</t>
        </is>
      </c>
      <c r="C385" s="58" t="inlineStr">
        <is>
          <t>MolsonCoors Beverage Company</t>
        </is>
      </c>
      <c r="D385" s="58" t="inlineStr">
        <is>
          <t>Blue Moon</t>
        </is>
      </c>
      <c r="E385" s="53" t="n">
        <v>1432</v>
      </c>
      <c r="F385" s="53" t="n">
        <v>1289</v>
      </c>
      <c r="G385" s="55" t="n">
        <v>45737.50000000001</v>
      </c>
      <c r="H385" s="55" t="n">
        <v>41441.2</v>
      </c>
      <c r="I385" s="55" t="n">
        <v>9727.029999999997</v>
      </c>
      <c r="J385" s="55" t="n">
        <v>9077.690000000001</v>
      </c>
      <c r="K385" s="53" t="n">
        <v>40</v>
      </c>
      <c r="L385" s="53" t="n">
        <v>38</v>
      </c>
      <c r="M385" s="53" t="n">
        <v>3</v>
      </c>
      <c r="N385" s="53" t="n">
        <v>30</v>
      </c>
      <c r="O385" s="53" t="n">
        <v>5</v>
      </c>
      <c r="P385" s="53" t="n">
        <v>124</v>
      </c>
    </row>
    <row r="386">
      <c r="A386" s="58" t="inlineStr">
        <is>
          <t>Jim Heaney</t>
        </is>
      </c>
      <c r="B386" s="58" t="inlineStr">
        <is>
          <t>Qualifier</t>
        </is>
      </c>
      <c r="C386" s="58" t="inlineStr">
        <is>
          <t>MolsonCoors Beverage Company</t>
        </is>
      </c>
      <c r="D386" s="58" t="inlineStr">
        <is>
          <t>Coors Light</t>
        </is>
      </c>
      <c r="E386" s="53" t="n">
        <v>13811</v>
      </c>
      <c r="F386" s="53" t="n">
        <v>11214</v>
      </c>
      <c r="G386" s="55" t="n">
        <v>277171.55</v>
      </c>
      <c r="H386" s="55" t="n">
        <v>229369.75</v>
      </c>
      <c r="I386" s="55" t="n">
        <v>64965.83000000002</v>
      </c>
      <c r="J386" s="55" t="n">
        <v>54925.68000000001</v>
      </c>
      <c r="K386" s="53" t="n">
        <v>43</v>
      </c>
      <c r="L386" s="53" t="n">
        <v>40</v>
      </c>
      <c r="M386" s="53" t="n">
        <v>1</v>
      </c>
      <c r="N386" s="53" t="n">
        <v>83</v>
      </c>
      <c r="O386" s="53" t="n">
        <v>4</v>
      </c>
      <c r="P386" s="53" t="n">
        <v>1295</v>
      </c>
    </row>
    <row r="387">
      <c r="A387" s="58" t="inlineStr">
        <is>
          <t>Jim Heaney</t>
        </is>
      </c>
      <c r="B387" s="58" t="inlineStr">
        <is>
          <t>Qualifier</t>
        </is>
      </c>
      <c r="C387" s="58" t="inlineStr">
        <is>
          <t>MolsonCoors Beverage Company</t>
        </is>
      </c>
      <c r="D387" s="58" t="inlineStr">
        <is>
          <t>Lite</t>
        </is>
      </c>
      <c r="E387" s="53" t="n">
        <v>7105</v>
      </c>
      <c r="F387" s="53" t="n">
        <v>5565</v>
      </c>
      <c r="G387" s="55" t="n">
        <v>151211.5</v>
      </c>
      <c r="H387" s="55" t="n">
        <v>120782.4</v>
      </c>
      <c r="I387" s="55" t="n">
        <v>34695.36</v>
      </c>
      <c r="J387" s="55" t="n">
        <v>28248.98</v>
      </c>
      <c r="K387" s="53" t="n">
        <v>43</v>
      </c>
      <c r="L387" s="53" t="n">
        <v>41</v>
      </c>
      <c r="M387" s="53" t="n">
        <v>1</v>
      </c>
      <c r="N387" s="53" t="n">
        <v>55</v>
      </c>
      <c r="O387" s="53" t="n">
        <v>3</v>
      </c>
      <c r="P387" s="53" t="n">
        <v>810</v>
      </c>
    </row>
    <row r="388">
      <c r="A388" s="58" t="inlineStr">
        <is>
          <t>John Neukum</t>
        </is>
      </c>
      <c r="B388" s="58" t="inlineStr">
        <is>
          <t>Amplify</t>
        </is>
      </c>
      <c r="C388" s="58" t="inlineStr">
        <is>
          <t>Constellation Brands</t>
        </is>
      </c>
      <c r="D388" s="58" t="inlineStr">
        <is>
          <t>Corona Premier</t>
        </is>
      </c>
      <c r="E388" s="53" t="n">
        <v>168</v>
      </c>
      <c r="F388" s="53" t="n">
        <v>336</v>
      </c>
      <c r="G388" s="55" t="n">
        <v>4788</v>
      </c>
      <c r="H388" s="55" t="n">
        <v>7980</v>
      </c>
      <c r="I388" s="55" t="n">
        <v>999.6</v>
      </c>
      <c r="J388" s="55" t="n">
        <v>1886.64</v>
      </c>
      <c r="K388" s="53" t="n">
        <v>1</v>
      </c>
      <c r="L388" s="53" t="n">
        <v>1</v>
      </c>
      <c r="M388" s="53" t="n">
        <v>0</v>
      </c>
      <c r="N388" s="53" t="n">
        <v>0</v>
      </c>
      <c r="O388" s="53" t="n">
        <v>0</v>
      </c>
      <c r="P388" s="53" t="n">
        <v>0</v>
      </c>
    </row>
    <row r="389">
      <c r="A389" s="58" t="inlineStr">
        <is>
          <t>John Neukum</t>
        </is>
      </c>
      <c r="B389" s="58" t="inlineStr">
        <is>
          <t>Amplify</t>
        </is>
      </c>
      <c r="C389" s="58" t="inlineStr">
        <is>
          <t>Constellation Brands</t>
        </is>
      </c>
      <c r="D389" s="58" t="inlineStr">
        <is>
          <t>Modelo Chelada</t>
        </is>
      </c>
      <c r="E389" s="53" t="n">
        <v>987</v>
      </c>
      <c r="F389" s="53" t="n">
        <v>2129</v>
      </c>
      <c r="G389" s="55" t="n">
        <v>29874.6</v>
      </c>
      <c r="H389" s="55" t="n">
        <v>64134.6</v>
      </c>
      <c r="I389" s="55" t="n">
        <v>6402.94</v>
      </c>
      <c r="J389" s="55" t="n">
        <v>13127.48</v>
      </c>
      <c r="K389" s="53" t="n">
        <v>2</v>
      </c>
      <c r="L389" s="53" t="n">
        <v>3</v>
      </c>
      <c r="M389" s="53" t="n">
        <v>1</v>
      </c>
      <c r="N389" s="53" t="n">
        <v>20</v>
      </c>
      <c r="O389" s="53" t="n">
        <v>0</v>
      </c>
      <c r="P389" s="53" t="n">
        <v>0</v>
      </c>
    </row>
    <row r="390">
      <c r="A390" s="58" t="inlineStr">
        <is>
          <t>John Neukum</t>
        </is>
      </c>
      <c r="B390" s="58" t="inlineStr">
        <is>
          <t>Amplify</t>
        </is>
      </c>
      <c r="C390" s="58" t="inlineStr">
        <is>
          <t>Constellation Brands</t>
        </is>
      </c>
      <c r="D390" s="58" t="inlineStr">
        <is>
          <t>Pacifico</t>
        </is>
      </c>
      <c r="E390" s="53" t="n">
        <v>567</v>
      </c>
      <c r="F390" s="53" t="n">
        <v>794</v>
      </c>
      <c r="G390" s="55" t="n">
        <v>16159.5</v>
      </c>
      <c r="H390" s="55" t="n">
        <v>22629</v>
      </c>
      <c r="I390" s="55" t="n">
        <v>3231.9</v>
      </c>
      <c r="J390" s="55" t="n">
        <v>4525.8</v>
      </c>
      <c r="K390" s="53" t="n">
        <v>1</v>
      </c>
      <c r="L390" s="53" t="n">
        <v>1</v>
      </c>
      <c r="M390" s="53" t="n">
        <v>0</v>
      </c>
      <c r="N390" s="53" t="n">
        <v>0</v>
      </c>
      <c r="O390" s="53" t="n">
        <v>0</v>
      </c>
      <c r="P390" s="53" t="n">
        <v>0</v>
      </c>
    </row>
    <row r="391">
      <c r="A391" s="58" t="inlineStr">
        <is>
          <t>John Neukum</t>
        </is>
      </c>
      <c r="B391" s="58" t="inlineStr">
        <is>
          <t>Amplify</t>
        </is>
      </c>
      <c r="C391" s="58" t="inlineStr">
        <is>
          <t>Constellation Brands</t>
        </is>
      </c>
      <c r="D391" s="58" t="inlineStr">
        <is>
          <t>Victoria</t>
        </is>
      </c>
      <c r="E391" s="53" t="n">
        <v>2261</v>
      </c>
      <c r="F391" s="53" t="n">
        <v>3527</v>
      </c>
      <c r="G391" s="55" t="n">
        <v>68822.39999999999</v>
      </c>
      <c r="H391" s="55" t="n">
        <v>105046.6</v>
      </c>
      <c r="I391" s="55" t="n">
        <v>14670.33</v>
      </c>
      <c r="J391" s="55" t="n">
        <v>23783.62</v>
      </c>
      <c r="K391" s="53" t="n">
        <v>2</v>
      </c>
      <c r="L391" s="53" t="n">
        <v>2</v>
      </c>
      <c r="M391" s="53" t="n">
        <v>0</v>
      </c>
      <c r="N391" s="53" t="n">
        <v>0</v>
      </c>
      <c r="O391" s="53" t="n">
        <v>0</v>
      </c>
      <c r="P391" s="53" t="n">
        <v>0</v>
      </c>
    </row>
    <row r="392">
      <c r="A392" s="58" t="inlineStr">
        <is>
          <t>John Neukum</t>
        </is>
      </c>
      <c r="B392" s="58" t="inlineStr">
        <is>
          <t>Amplify</t>
        </is>
      </c>
      <c r="C392" s="58" t="inlineStr">
        <is>
          <t>Heineken USA</t>
        </is>
      </c>
      <c r="D392" s="58" t="inlineStr">
        <is>
          <t>Heineken 0.0</t>
        </is>
      </c>
      <c r="E392" s="53" t="n">
        <v>375</v>
      </c>
      <c r="F392" s="53" t="n">
        <v>173</v>
      </c>
      <c r="G392" s="55" t="n">
        <v>11687</v>
      </c>
      <c r="H392" s="55" t="n">
        <v>5821</v>
      </c>
      <c r="I392" s="55" t="n">
        <v>2252.74</v>
      </c>
      <c r="J392" s="55" t="n">
        <v>1492.82</v>
      </c>
      <c r="K392" s="53" t="n">
        <v>3</v>
      </c>
      <c r="L392" s="53" t="n">
        <v>2</v>
      </c>
      <c r="M392" s="53" t="n">
        <v>0</v>
      </c>
      <c r="N392" s="53" t="n">
        <v>0</v>
      </c>
      <c r="O392" s="53" t="n">
        <v>1</v>
      </c>
      <c r="P392" s="53" t="n">
        <v>235</v>
      </c>
    </row>
    <row r="393">
      <c r="A393" s="58" t="inlineStr">
        <is>
          <t>John Neukum</t>
        </is>
      </c>
      <c r="B393" s="58" t="inlineStr">
        <is>
          <t>Amplify</t>
        </is>
      </c>
      <c r="C393" s="58" t="inlineStr">
        <is>
          <t>Heineken USA</t>
        </is>
      </c>
      <c r="D393" s="58" t="inlineStr">
        <is>
          <t>Heineken Light</t>
        </is>
      </c>
      <c r="E393" s="53" t="n">
        <v>588</v>
      </c>
      <c r="F393" s="53" t="n">
        <v>756</v>
      </c>
      <c r="G393" s="55" t="n">
        <v>17493</v>
      </c>
      <c r="H393" s="55" t="n">
        <v>22743</v>
      </c>
      <c r="I393" s="55" t="n">
        <v>3528</v>
      </c>
      <c r="J393" s="55" t="n">
        <v>4788</v>
      </c>
      <c r="K393" s="53" t="n">
        <v>1</v>
      </c>
      <c r="L393" s="53" t="n">
        <v>1</v>
      </c>
      <c r="M393" s="53" t="n">
        <v>0</v>
      </c>
      <c r="N393" s="53" t="n">
        <v>0</v>
      </c>
      <c r="O393" s="53" t="n">
        <v>0</v>
      </c>
      <c r="P393" s="53" t="n">
        <v>0</v>
      </c>
    </row>
    <row r="394">
      <c r="A394" s="58" t="inlineStr">
        <is>
          <t>John Neukum</t>
        </is>
      </c>
      <c r="B394" s="58" t="inlineStr">
        <is>
          <t>Amplify</t>
        </is>
      </c>
      <c r="C394" s="58" t="inlineStr">
        <is>
          <t>Mark Anthony</t>
        </is>
      </c>
      <c r="D394" s="58" t="inlineStr">
        <is>
          <t>Cayman Jack</t>
        </is>
      </c>
      <c r="E394" s="53" t="n">
        <v>943</v>
      </c>
      <c r="F394" s="53" t="n">
        <v>949</v>
      </c>
      <c r="G394" s="55" t="n">
        <v>24604.5</v>
      </c>
      <c r="H394" s="55" t="n">
        <v>24706.5</v>
      </c>
      <c r="I394" s="55" t="n">
        <v>6256.070000000001</v>
      </c>
      <c r="J394" s="55" t="n">
        <v>6217.25</v>
      </c>
      <c r="K394" s="53" t="n">
        <v>2</v>
      </c>
      <c r="L394" s="53" t="n">
        <v>2</v>
      </c>
      <c r="M394" s="53" t="n">
        <v>0</v>
      </c>
      <c r="N394" s="53" t="n">
        <v>0</v>
      </c>
      <c r="O394" s="53" t="n">
        <v>0</v>
      </c>
      <c r="P394" s="53" t="n">
        <v>0</v>
      </c>
    </row>
    <row r="395">
      <c r="A395" s="58" t="inlineStr">
        <is>
          <t>John Neukum</t>
        </is>
      </c>
      <c r="B395" s="58" t="inlineStr">
        <is>
          <t>Amplify</t>
        </is>
      </c>
      <c r="C395" s="58" t="inlineStr">
        <is>
          <t>MolsonCoors Beverage Company</t>
        </is>
      </c>
      <c r="D395" s="58" t="inlineStr">
        <is>
          <t>Coors</t>
        </is>
      </c>
      <c r="E395" s="53" t="n">
        <v>1078</v>
      </c>
      <c r="F395" s="53" t="n">
        <v>1175</v>
      </c>
      <c r="G395" s="55" t="n">
        <v>18218</v>
      </c>
      <c r="H395" s="55" t="n">
        <v>21248.4</v>
      </c>
      <c r="I395" s="55" t="n">
        <v>3198.37</v>
      </c>
      <c r="J395" s="55" t="n">
        <v>4163.33</v>
      </c>
      <c r="K395" s="53" t="n">
        <v>1</v>
      </c>
      <c r="L395" s="53" t="n">
        <v>1</v>
      </c>
      <c r="M395" s="53" t="n">
        <v>0</v>
      </c>
      <c r="N395" s="53" t="n">
        <v>0</v>
      </c>
      <c r="O395" s="53" t="n">
        <v>0</v>
      </c>
      <c r="P395" s="53" t="n">
        <v>0</v>
      </c>
    </row>
    <row r="396">
      <c r="A396" s="58" t="inlineStr">
        <is>
          <t>John Neukum</t>
        </is>
      </c>
      <c r="B396" s="58" t="inlineStr">
        <is>
          <t>Amplify</t>
        </is>
      </c>
      <c r="C396" s="58" t="inlineStr">
        <is>
          <t>MolsonCoors Beverage Company</t>
        </is>
      </c>
      <c r="D396" s="58" t="inlineStr">
        <is>
          <t>Fever Tree</t>
        </is>
      </c>
      <c r="E396" s="53" t="n">
        <v>0</v>
      </c>
      <c r="F396" s="53" t="n">
        <v>39</v>
      </c>
      <c r="G396" s="55" t="n">
        <v>0</v>
      </c>
      <c r="H396" s="55" t="n">
        <v>1800</v>
      </c>
      <c r="I396" s="55" t="n">
        <v>0</v>
      </c>
      <c r="J396" s="55" t="n">
        <v>424.53</v>
      </c>
      <c r="K396" s="53" t="n">
        <v>0</v>
      </c>
      <c r="L396" s="53" t="n">
        <v>1</v>
      </c>
      <c r="M396" s="53" t="n">
        <v>1</v>
      </c>
      <c r="N396" s="53" t="n">
        <v>39</v>
      </c>
      <c r="O396" s="53" t="n">
        <v>0</v>
      </c>
      <c r="P396" s="53" t="n">
        <v>0</v>
      </c>
    </row>
    <row r="397">
      <c r="A397" s="58" t="inlineStr">
        <is>
          <t>John Neukum</t>
        </is>
      </c>
      <c r="B397" s="58" t="inlineStr">
        <is>
          <t>Amplify</t>
        </is>
      </c>
      <c r="C397" s="58" t="inlineStr">
        <is>
          <t>MolsonCoors Beverage Company</t>
        </is>
      </c>
      <c r="D397" s="58" t="inlineStr">
        <is>
          <t>Peroni</t>
        </is>
      </c>
      <c r="E397" s="53" t="n">
        <v>1605</v>
      </c>
      <c r="F397" s="53" t="n">
        <v>1458</v>
      </c>
      <c r="G397" s="55" t="n">
        <v>53134</v>
      </c>
      <c r="H397" s="55" t="n">
        <v>46800</v>
      </c>
      <c r="I397" s="55" t="n">
        <v>10604.22</v>
      </c>
      <c r="J397" s="55" t="n">
        <v>8164.74</v>
      </c>
      <c r="K397" s="53" t="n">
        <v>3</v>
      </c>
      <c r="L397" s="53" t="n">
        <v>3</v>
      </c>
      <c r="M397" s="53" t="n">
        <v>0</v>
      </c>
      <c r="N397" s="53" t="n">
        <v>0</v>
      </c>
      <c r="O397" s="53" t="n">
        <v>0</v>
      </c>
      <c r="P397" s="53" t="n">
        <v>0</v>
      </c>
    </row>
    <row r="398">
      <c r="A398" s="58" t="inlineStr">
        <is>
          <t>John Neukum</t>
        </is>
      </c>
      <c r="B398" s="58" t="inlineStr">
        <is>
          <t>Amplify</t>
        </is>
      </c>
      <c r="C398" s="58" t="inlineStr">
        <is>
          <t>New Belgium Brewing Company</t>
        </is>
      </c>
      <c r="D398" s="58" t="inlineStr">
        <is>
          <t>Voodoo Family</t>
        </is>
      </c>
      <c r="E398" s="53" t="n">
        <v>60</v>
      </c>
      <c r="F398" s="53" t="n">
        <v>40</v>
      </c>
      <c r="G398" s="55" t="n">
        <v>1944</v>
      </c>
      <c r="H398" s="55" t="n">
        <v>1296</v>
      </c>
      <c r="I398" s="55" t="n">
        <v>374.4</v>
      </c>
      <c r="J398" s="55" t="n">
        <v>249.6</v>
      </c>
      <c r="K398" s="53" t="n">
        <v>1</v>
      </c>
      <c r="L398" s="53" t="n">
        <v>1</v>
      </c>
      <c r="M398" s="53" t="n">
        <v>0</v>
      </c>
      <c r="N398" s="53" t="n">
        <v>0</v>
      </c>
      <c r="O398" s="53" t="n">
        <v>0</v>
      </c>
      <c r="P398" s="53" t="n">
        <v>0</v>
      </c>
    </row>
    <row r="399">
      <c r="A399" s="58" t="inlineStr">
        <is>
          <t>John Neukum</t>
        </is>
      </c>
      <c r="B399" s="58" t="inlineStr">
        <is>
          <t>Amplify</t>
        </is>
      </c>
      <c r="C399" s="58" t="inlineStr">
        <is>
          <t>Sapporo</t>
        </is>
      </c>
      <c r="D399" s="58" t="inlineStr">
        <is>
          <t>Sapporo</t>
        </is>
      </c>
      <c r="E399" s="53" t="n">
        <v>3523</v>
      </c>
      <c r="F399" s="53" t="n">
        <v>4495</v>
      </c>
      <c r="G399" s="55" t="n">
        <v>71228.89999999999</v>
      </c>
      <c r="H399" s="55" t="n">
        <v>94844.5</v>
      </c>
      <c r="I399" s="55" t="n">
        <v>19793.1</v>
      </c>
      <c r="J399" s="55" t="n">
        <v>22609.85</v>
      </c>
      <c r="K399" s="53" t="n">
        <v>4</v>
      </c>
      <c r="L399" s="53" t="n">
        <v>5</v>
      </c>
      <c r="M399" s="53" t="n">
        <v>1</v>
      </c>
      <c r="N399" s="53" t="n">
        <v>500</v>
      </c>
      <c r="O399" s="53" t="n">
        <v>0</v>
      </c>
      <c r="P399" s="53" t="n">
        <v>0</v>
      </c>
    </row>
    <row r="400">
      <c r="A400" s="58" t="inlineStr">
        <is>
          <t>John Neukum</t>
        </is>
      </c>
      <c r="B400" s="58" t="inlineStr">
        <is>
          <t>Qualifier</t>
        </is>
      </c>
      <c r="C400" s="58" t="inlineStr">
        <is>
          <t>Boston Beer Company</t>
        </is>
      </c>
      <c r="D400" s="58" t="inlineStr">
        <is>
          <t>Truly</t>
        </is>
      </c>
      <c r="E400" s="53" t="n">
        <v>800</v>
      </c>
      <c r="F400" s="53" t="n">
        <v>481</v>
      </c>
      <c r="G400" s="55" t="n">
        <v>20585.5</v>
      </c>
      <c r="H400" s="55" t="n">
        <v>11357.5</v>
      </c>
      <c r="I400" s="55" t="n">
        <v>4819.3</v>
      </c>
      <c r="J400" s="55" t="n">
        <v>2353.31</v>
      </c>
      <c r="K400" s="53" t="n">
        <v>2</v>
      </c>
      <c r="L400" s="53" t="n">
        <v>1</v>
      </c>
      <c r="M400" s="53" t="n">
        <v>0</v>
      </c>
      <c r="N400" s="53" t="n">
        <v>0</v>
      </c>
      <c r="O400" s="53" t="n">
        <v>1</v>
      </c>
      <c r="P400" s="53" t="n">
        <v>416</v>
      </c>
    </row>
    <row r="401">
      <c r="A401" s="58" t="inlineStr">
        <is>
          <t>John Neukum</t>
        </is>
      </c>
      <c r="B401" s="58" t="inlineStr">
        <is>
          <t>Qualifier</t>
        </is>
      </c>
      <c r="C401" s="58" t="inlineStr">
        <is>
          <t>Boston Beer Company</t>
        </is>
      </c>
      <c r="D401" s="58" t="inlineStr">
        <is>
          <t>Twisted Tea</t>
        </is>
      </c>
      <c r="E401" s="53" t="n">
        <v>550</v>
      </c>
      <c r="F401" s="53" t="n">
        <v>300</v>
      </c>
      <c r="G401" s="55" t="n">
        <v>14950</v>
      </c>
      <c r="H401" s="55" t="n">
        <v>8100</v>
      </c>
      <c r="I401" s="55" t="n">
        <v>4052.5</v>
      </c>
      <c r="J401" s="55" t="n">
        <v>2226</v>
      </c>
      <c r="K401" s="53" t="n">
        <v>2</v>
      </c>
      <c r="L401" s="53" t="n">
        <v>1</v>
      </c>
      <c r="M401" s="53" t="n">
        <v>0</v>
      </c>
      <c r="N401" s="53" t="n">
        <v>0</v>
      </c>
      <c r="O401" s="53" t="n">
        <v>1</v>
      </c>
      <c r="P401" s="53" t="n">
        <v>50</v>
      </c>
    </row>
    <row r="402">
      <c r="A402" s="58" t="inlineStr">
        <is>
          <t>John Neukum</t>
        </is>
      </c>
      <c r="B402" s="58" t="inlineStr">
        <is>
          <t>Qualifier</t>
        </is>
      </c>
      <c r="C402" s="58" t="inlineStr">
        <is>
          <t>Constellation Brands</t>
        </is>
      </c>
      <c r="D402" s="58" t="inlineStr">
        <is>
          <t>Corona Extra</t>
        </is>
      </c>
      <c r="E402" s="53" t="n">
        <v>57715</v>
      </c>
      <c r="F402" s="53" t="n">
        <v>52631</v>
      </c>
      <c r="G402" s="55" t="n">
        <v>1832425.25</v>
      </c>
      <c r="H402" s="55" t="n">
        <v>1676405.5</v>
      </c>
      <c r="I402" s="55" t="n">
        <v>402413.61</v>
      </c>
      <c r="J402" s="55" t="n">
        <v>375106.12</v>
      </c>
      <c r="K402" s="53" t="n">
        <v>4</v>
      </c>
      <c r="L402" s="53" t="n">
        <v>4</v>
      </c>
      <c r="M402" s="53" t="n">
        <v>0</v>
      </c>
      <c r="N402" s="53" t="n">
        <v>0</v>
      </c>
      <c r="O402" s="53" t="n">
        <v>0</v>
      </c>
      <c r="P402" s="53" t="n">
        <v>0</v>
      </c>
    </row>
    <row r="403">
      <c r="A403" s="58" t="inlineStr">
        <is>
          <t>John Neukum</t>
        </is>
      </c>
      <c r="B403" s="58" t="inlineStr">
        <is>
          <t>Qualifier</t>
        </is>
      </c>
      <c r="C403" s="58" t="inlineStr">
        <is>
          <t>Constellation Brands</t>
        </is>
      </c>
      <c r="D403" s="58" t="inlineStr">
        <is>
          <t>Modelo Especial</t>
        </is>
      </c>
      <c r="E403" s="53" t="n">
        <v>58570</v>
      </c>
      <c r="F403" s="53" t="n">
        <v>55710</v>
      </c>
      <c r="G403" s="55" t="n">
        <v>1739312.35</v>
      </c>
      <c r="H403" s="55" t="n">
        <v>1655001.4</v>
      </c>
      <c r="I403" s="55" t="n">
        <v>351491.03</v>
      </c>
      <c r="J403" s="55" t="n">
        <v>343959.13</v>
      </c>
      <c r="K403" s="53" t="n">
        <v>4</v>
      </c>
      <c r="L403" s="53" t="n">
        <v>4</v>
      </c>
      <c r="M403" s="53" t="n">
        <v>0</v>
      </c>
      <c r="N403" s="53" t="n">
        <v>0</v>
      </c>
      <c r="O403" s="53" t="n">
        <v>0</v>
      </c>
      <c r="P403" s="53" t="n">
        <v>0</v>
      </c>
    </row>
    <row r="404">
      <c r="A404" s="58" t="inlineStr">
        <is>
          <t>John Neukum</t>
        </is>
      </c>
      <c r="B404" s="58" t="inlineStr">
        <is>
          <t>Qualifier</t>
        </is>
      </c>
      <c r="C404" s="58" t="inlineStr">
        <is>
          <t>DG Yuengling Inc</t>
        </is>
      </c>
      <c r="D404" s="58" t="inlineStr">
        <is>
          <t>Yuengling Lager</t>
        </is>
      </c>
      <c r="E404" s="53" t="n">
        <v>4010</v>
      </c>
      <c r="F404" s="53" t="n">
        <v>3552</v>
      </c>
      <c r="G404" s="55" t="n">
        <v>84210</v>
      </c>
      <c r="H404" s="55" t="n">
        <v>74599</v>
      </c>
      <c r="I404" s="55" t="n">
        <v>19769.16</v>
      </c>
      <c r="J404" s="55" t="n">
        <v>17172.2</v>
      </c>
      <c r="K404" s="53" t="n">
        <v>4</v>
      </c>
      <c r="L404" s="53" t="n">
        <v>4</v>
      </c>
      <c r="M404" s="53" t="n">
        <v>0</v>
      </c>
      <c r="N404" s="53" t="n">
        <v>0</v>
      </c>
      <c r="O404" s="53" t="n">
        <v>0</v>
      </c>
      <c r="P404" s="53" t="n">
        <v>0</v>
      </c>
    </row>
    <row r="405">
      <c r="A405" s="58" t="inlineStr">
        <is>
          <t>John Neukum</t>
        </is>
      </c>
      <c r="B405" s="58" t="inlineStr">
        <is>
          <t>Qualifier</t>
        </is>
      </c>
      <c r="C405" s="58" t="inlineStr">
        <is>
          <t>Heineken USA</t>
        </is>
      </c>
      <c r="D405" s="58" t="inlineStr">
        <is>
          <t>Heineken USA</t>
        </is>
      </c>
      <c r="E405" s="53" t="n">
        <v>16064</v>
      </c>
      <c r="F405" s="53" t="n">
        <v>13057</v>
      </c>
      <c r="G405" s="55" t="n">
        <v>485718.35</v>
      </c>
      <c r="H405" s="55" t="n">
        <v>398489.15</v>
      </c>
      <c r="I405" s="55" t="n">
        <v>97389.22</v>
      </c>
      <c r="J405" s="55" t="n">
        <v>81770.94</v>
      </c>
      <c r="K405" s="53" t="n">
        <v>4</v>
      </c>
      <c r="L405" s="53" t="n">
        <v>4</v>
      </c>
      <c r="M405" s="53" t="n">
        <v>0</v>
      </c>
      <c r="N405" s="53" t="n">
        <v>0</v>
      </c>
      <c r="O405" s="53" t="n">
        <v>0</v>
      </c>
      <c r="P405" s="53" t="n">
        <v>0</v>
      </c>
    </row>
    <row r="406">
      <c r="A406" s="58" t="inlineStr">
        <is>
          <t>John Neukum</t>
        </is>
      </c>
      <c r="B406" s="58" t="inlineStr">
        <is>
          <t>Qualifier</t>
        </is>
      </c>
      <c r="C406" s="58" t="inlineStr">
        <is>
          <t>Mark Anthony</t>
        </is>
      </c>
      <c r="D406" s="58" t="inlineStr">
        <is>
          <t>White Claw</t>
        </is>
      </c>
      <c r="E406" s="53" t="n">
        <v>5148</v>
      </c>
      <c r="F406" s="53" t="n">
        <v>3042</v>
      </c>
      <c r="G406" s="55" t="n">
        <v>131476.8</v>
      </c>
      <c r="H406" s="55" t="n">
        <v>77968.8</v>
      </c>
      <c r="I406" s="55" t="n">
        <v>13925.6</v>
      </c>
      <c r="J406" s="55" t="n">
        <v>8380.32</v>
      </c>
      <c r="K406" s="53" t="n">
        <v>4</v>
      </c>
      <c r="L406" s="53" t="n">
        <v>3</v>
      </c>
      <c r="M406" s="53" t="n">
        <v>0</v>
      </c>
      <c r="N406" s="53" t="n">
        <v>0</v>
      </c>
      <c r="O406" s="53" t="n">
        <v>1</v>
      </c>
      <c r="P406" s="53" t="n">
        <v>2184</v>
      </c>
    </row>
    <row r="407">
      <c r="A407" s="58" t="inlineStr">
        <is>
          <t>John Neukum</t>
        </is>
      </c>
      <c r="B407" s="58" t="inlineStr">
        <is>
          <t>Qualifier</t>
        </is>
      </c>
      <c r="C407" s="58" t="inlineStr">
        <is>
          <t>MolsonCoors Beverage Company</t>
        </is>
      </c>
      <c r="D407" s="58" t="inlineStr">
        <is>
          <t>Blue Moon</t>
        </is>
      </c>
      <c r="E407" s="53" t="n">
        <v>2415</v>
      </c>
      <c r="F407" s="53" t="n">
        <v>1083</v>
      </c>
      <c r="G407" s="55" t="n">
        <v>69166.05</v>
      </c>
      <c r="H407" s="55" t="n">
        <v>33212.6</v>
      </c>
      <c r="I407" s="55" t="n">
        <v>15607.31</v>
      </c>
      <c r="J407" s="55" t="n">
        <v>7046.599999999999</v>
      </c>
      <c r="K407" s="53" t="n">
        <v>4</v>
      </c>
      <c r="L407" s="53" t="n">
        <v>4</v>
      </c>
      <c r="M407" s="53" t="n">
        <v>0</v>
      </c>
      <c r="N407" s="53" t="n">
        <v>0</v>
      </c>
      <c r="O407" s="53" t="n">
        <v>0</v>
      </c>
      <c r="P407" s="53" t="n">
        <v>0</v>
      </c>
    </row>
    <row r="408">
      <c r="A408" s="58" t="inlineStr">
        <is>
          <t>John Neukum</t>
        </is>
      </c>
      <c r="B408" s="58" t="inlineStr">
        <is>
          <t>Qualifier</t>
        </is>
      </c>
      <c r="C408" s="58" t="inlineStr">
        <is>
          <t>MolsonCoors Beverage Company</t>
        </is>
      </c>
      <c r="D408" s="58" t="inlineStr">
        <is>
          <t>Coors Light</t>
        </is>
      </c>
      <c r="E408" s="53" t="n">
        <v>14278</v>
      </c>
      <c r="F408" s="53" t="n">
        <v>12007</v>
      </c>
      <c r="G408" s="55" t="n">
        <v>270784.2</v>
      </c>
      <c r="H408" s="55" t="n">
        <v>236854</v>
      </c>
      <c r="I408" s="55" t="n">
        <v>59084.63</v>
      </c>
      <c r="J408" s="55" t="n">
        <v>55838.85000000001</v>
      </c>
      <c r="K408" s="53" t="n">
        <v>4</v>
      </c>
      <c r="L408" s="53" t="n">
        <v>4</v>
      </c>
      <c r="M408" s="53" t="n">
        <v>0</v>
      </c>
      <c r="N408" s="53" t="n">
        <v>0</v>
      </c>
      <c r="O408" s="53" t="n">
        <v>0</v>
      </c>
      <c r="P408" s="53" t="n">
        <v>0</v>
      </c>
    </row>
    <row r="409">
      <c r="A409" s="58" t="inlineStr">
        <is>
          <t>John Neukum</t>
        </is>
      </c>
      <c r="B409" s="58" t="inlineStr">
        <is>
          <t>Qualifier</t>
        </is>
      </c>
      <c r="C409" s="58" t="inlineStr">
        <is>
          <t>MolsonCoors Beverage Company</t>
        </is>
      </c>
      <c r="D409" s="58" t="inlineStr">
        <is>
          <t>Lite</t>
        </is>
      </c>
      <c r="E409" s="53" t="n">
        <v>4473</v>
      </c>
      <c r="F409" s="53" t="n">
        <v>4462</v>
      </c>
      <c r="G409" s="55" t="n">
        <v>83099.60000000001</v>
      </c>
      <c r="H409" s="55" t="n">
        <v>85799.60000000001</v>
      </c>
      <c r="I409" s="55" t="n">
        <v>17011.54</v>
      </c>
      <c r="J409" s="55" t="n">
        <v>19843.65</v>
      </c>
      <c r="K409" s="53" t="n">
        <v>2</v>
      </c>
      <c r="L409" s="53" t="n">
        <v>2</v>
      </c>
      <c r="M409" s="53" t="n">
        <v>0</v>
      </c>
      <c r="N409" s="53" t="n">
        <v>0</v>
      </c>
      <c r="O409" s="53" t="n">
        <v>0</v>
      </c>
      <c r="P409" s="53" t="n">
        <v>0</v>
      </c>
    </row>
    <row r="410">
      <c r="A410" s="58" t="inlineStr">
        <is>
          <t>John O'Donoghue</t>
        </is>
      </c>
      <c r="B410" s="58" t="inlineStr">
        <is>
          <t>Amplify</t>
        </is>
      </c>
      <c r="C410" s="58" t="inlineStr">
        <is>
          <t>Boston Beer Company</t>
        </is>
      </c>
      <c r="D410" s="58" t="inlineStr">
        <is>
          <t>Dogfish Head Beer</t>
        </is>
      </c>
      <c r="E410" s="53" t="n">
        <v>0</v>
      </c>
      <c r="F410" s="53" t="n">
        <v>10</v>
      </c>
      <c r="G410" s="55" t="n">
        <v>0</v>
      </c>
      <c r="H410" s="55" t="n">
        <v>334.4</v>
      </c>
      <c r="I410" s="55" t="n">
        <v>0</v>
      </c>
      <c r="J410" s="55" t="n">
        <v>80.14</v>
      </c>
      <c r="K410" s="53" t="n">
        <v>0</v>
      </c>
      <c r="L410" s="53" t="n">
        <v>1</v>
      </c>
      <c r="M410" s="53" t="n">
        <v>1</v>
      </c>
      <c r="N410" s="53" t="n">
        <v>10</v>
      </c>
      <c r="O410" s="53" t="n">
        <v>0</v>
      </c>
      <c r="P410" s="53" t="n">
        <v>0</v>
      </c>
    </row>
    <row r="411">
      <c r="A411" s="58" t="inlineStr">
        <is>
          <t>John O'Donoghue</t>
        </is>
      </c>
      <c r="B411" s="58" t="inlineStr">
        <is>
          <t>Amplify</t>
        </is>
      </c>
      <c r="C411" s="58" t="inlineStr">
        <is>
          <t>Cape May</t>
        </is>
      </c>
      <c r="D411" s="58" t="inlineStr">
        <is>
          <t>Cape May</t>
        </is>
      </c>
      <c r="E411" s="53" t="n">
        <v>6</v>
      </c>
      <c r="F411" s="53" t="n">
        <v>4</v>
      </c>
      <c r="G411" s="55" t="n">
        <v>267</v>
      </c>
      <c r="H411" s="55" t="n">
        <v>178</v>
      </c>
      <c r="I411" s="55" t="n">
        <v>92.37</v>
      </c>
      <c r="J411" s="55" t="n">
        <v>64.42</v>
      </c>
      <c r="K411" s="53" t="n">
        <v>1</v>
      </c>
      <c r="L411" s="53" t="n">
        <v>1</v>
      </c>
      <c r="M411" s="53" t="n">
        <v>0</v>
      </c>
      <c r="N411" s="53" t="n">
        <v>0</v>
      </c>
      <c r="O411" s="53" t="n">
        <v>0</v>
      </c>
      <c r="P411" s="53" t="n">
        <v>0</v>
      </c>
    </row>
    <row r="412">
      <c r="A412" s="58" t="inlineStr">
        <is>
          <t>John O'Donoghue</t>
        </is>
      </c>
      <c r="B412" s="58" t="inlineStr">
        <is>
          <t>Amplify</t>
        </is>
      </c>
      <c r="C412" s="58" t="inlineStr">
        <is>
          <t>Constellation Brands</t>
        </is>
      </c>
      <c r="D412" s="58" t="inlineStr">
        <is>
          <t>Corona Premier</t>
        </is>
      </c>
      <c r="E412" s="53" t="n">
        <v>0</v>
      </c>
      <c r="F412" s="53" t="n">
        <v>1</v>
      </c>
      <c r="G412" s="55" t="n">
        <v>0</v>
      </c>
      <c r="H412" s="55" t="n">
        <v>28.9</v>
      </c>
      <c r="I412" s="55" t="n">
        <v>0</v>
      </c>
      <c r="J412" s="55" t="n">
        <v>7.99</v>
      </c>
      <c r="K412" s="53" t="n">
        <v>0</v>
      </c>
      <c r="L412" s="53" t="n">
        <v>1</v>
      </c>
      <c r="M412" s="53" t="n">
        <v>1</v>
      </c>
      <c r="N412" s="53" t="n">
        <v>1</v>
      </c>
      <c r="O412" s="53" t="n">
        <v>0</v>
      </c>
      <c r="P412" s="53" t="n">
        <v>0</v>
      </c>
    </row>
    <row r="413">
      <c r="A413" s="58" t="inlineStr">
        <is>
          <t>John O'Donoghue</t>
        </is>
      </c>
      <c r="B413" s="58" t="inlineStr">
        <is>
          <t>Amplify</t>
        </is>
      </c>
      <c r="C413" s="58" t="inlineStr">
        <is>
          <t>Constellation Brands</t>
        </is>
      </c>
      <c r="D413" s="58" t="inlineStr">
        <is>
          <t>Modelo Chelada</t>
        </is>
      </c>
      <c r="E413" s="53" t="n">
        <v>9</v>
      </c>
      <c r="F413" s="53" t="n">
        <v>25</v>
      </c>
      <c r="G413" s="55" t="n">
        <v>285.75</v>
      </c>
      <c r="H413" s="55" t="n">
        <v>786.5</v>
      </c>
      <c r="I413" s="55" t="n">
        <v>81.64</v>
      </c>
      <c r="J413" s="55" t="n">
        <v>218.42</v>
      </c>
      <c r="K413" s="53" t="n">
        <v>1</v>
      </c>
      <c r="L413" s="53" t="n">
        <v>1</v>
      </c>
      <c r="M413" s="53" t="n">
        <v>0</v>
      </c>
      <c r="N413" s="53" t="n">
        <v>0</v>
      </c>
      <c r="O413" s="53" t="n">
        <v>0</v>
      </c>
      <c r="P413" s="53" t="n">
        <v>0</v>
      </c>
    </row>
    <row r="414">
      <c r="A414" s="58" t="inlineStr">
        <is>
          <t>John O'Donoghue</t>
        </is>
      </c>
      <c r="B414" s="58" t="inlineStr">
        <is>
          <t>Amplify</t>
        </is>
      </c>
      <c r="C414" s="58" t="inlineStr">
        <is>
          <t>Constellation Brands</t>
        </is>
      </c>
      <c r="D414" s="58" t="inlineStr">
        <is>
          <t>Pacifico</t>
        </is>
      </c>
      <c r="E414" s="53" t="n">
        <v>1</v>
      </c>
      <c r="F414" s="53" t="n">
        <v>47</v>
      </c>
      <c r="G414" s="55" t="n">
        <v>32.5</v>
      </c>
      <c r="H414" s="55" t="n">
        <v>1383.25</v>
      </c>
      <c r="I414" s="55" t="n">
        <v>8.369999999999999</v>
      </c>
      <c r="J414" s="55" t="n">
        <v>298.28</v>
      </c>
      <c r="K414" s="53" t="n">
        <v>1</v>
      </c>
      <c r="L414" s="53" t="n">
        <v>1</v>
      </c>
      <c r="M414" s="53" t="n">
        <v>0</v>
      </c>
      <c r="N414" s="53" t="n">
        <v>0</v>
      </c>
      <c r="O414" s="53" t="n">
        <v>0</v>
      </c>
      <c r="P414" s="53" t="n">
        <v>0</v>
      </c>
    </row>
    <row r="415">
      <c r="A415" s="58" t="inlineStr">
        <is>
          <t>John O'Donoghue</t>
        </is>
      </c>
      <c r="B415" s="58" t="inlineStr">
        <is>
          <t>Amplify</t>
        </is>
      </c>
      <c r="C415" s="58" t="inlineStr">
        <is>
          <t>Constellation Brands</t>
        </is>
      </c>
      <c r="D415" s="58" t="inlineStr">
        <is>
          <t>Victoria</t>
        </is>
      </c>
      <c r="E415" s="53" t="n">
        <v>1</v>
      </c>
      <c r="F415" s="53" t="n">
        <v>23</v>
      </c>
      <c r="G415" s="55" t="n">
        <v>31.35</v>
      </c>
      <c r="H415" s="55" t="n">
        <v>688.4</v>
      </c>
      <c r="I415" s="55" t="n">
        <v>7.22</v>
      </c>
      <c r="J415" s="55" t="n">
        <v>162.61</v>
      </c>
      <c r="K415" s="53" t="n">
        <v>1</v>
      </c>
      <c r="L415" s="53" t="n">
        <v>1</v>
      </c>
      <c r="M415" s="53" t="n">
        <v>0</v>
      </c>
      <c r="N415" s="53" t="n">
        <v>0</v>
      </c>
      <c r="O415" s="53" t="n">
        <v>0</v>
      </c>
      <c r="P415" s="53" t="n">
        <v>0</v>
      </c>
    </row>
    <row r="416">
      <c r="A416" s="58" t="inlineStr">
        <is>
          <t>John O'Donoghue</t>
        </is>
      </c>
      <c r="B416" s="58" t="inlineStr">
        <is>
          <t>Amplify</t>
        </is>
      </c>
      <c r="C416" s="58" t="inlineStr">
        <is>
          <t>Heineken USA</t>
        </is>
      </c>
      <c r="D416" s="58" t="inlineStr">
        <is>
          <t>Heineken 0.0</t>
        </is>
      </c>
      <c r="E416" s="53" t="n">
        <v>6</v>
      </c>
      <c r="F416" s="53" t="n">
        <v>3</v>
      </c>
      <c r="G416" s="55" t="n">
        <v>188.1</v>
      </c>
      <c r="H416" s="55" t="n">
        <v>94.05</v>
      </c>
      <c r="I416" s="55" t="n">
        <v>49.92</v>
      </c>
      <c r="J416" s="55" t="n">
        <v>24.96</v>
      </c>
      <c r="K416" s="53" t="n">
        <v>1</v>
      </c>
      <c r="L416" s="53" t="n">
        <v>1</v>
      </c>
      <c r="M416" s="53" t="n">
        <v>0</v>
      </c>
      <c r="N416" s="53" t="n">
        <v>0</v>
      </c>
      <c r="O416" s="53" t="n">
        <v>0</v>
      </c>
      <c r="P416" s="53" t="n">
        <v>0</v>
      </c>
    </row>
    <row r="417">
      <c r="A417" s="58" t="inlineStr">
        <is>
          <t>John O'Donoghue</t>
        </is>
      </c>
      <c r="B417" s="58" t="inlineStr">
        <is>
          <t>Amplify</t>
        </is>
      </c>
      <c r="C417" s="58" t="inlineStr">
        <is>
          <t>Heineken USA</t>
        </is>
      </c>
      <c r="D417" s="58" t="inlineStr">
        <is>
          <t>Heineken Light</t>
        </is>
      </c>
      <c r="E417" s="53" t="n">
        <v>0</v>
      </c>
      <c r="F417" s="53" t="n">
        <v>2</v>
      </c>
      <c r="G417" s="55" t="n">
        <v>0</v>
      </c>
      <c r="H417" s="55" t="n">
        <v>62.7</v>
      </c>
      <c r="I417" s="55" t="n">
        <v>0</v>
      </c>
      <c r="J417" s="55" t="n">
        <v>15.1</v>
      </c>
      <c r="K417" s="53" t="n">
        <v>0</v>
      </c>
      <c r="L417" s="53" t="n">
        <v>1</v>
      </c>
      <c r="M417" s="53" t="n">
        <v>1</v>
      </c>
      <c r="N417" s="53" t="n">
        <v>2</v>
      </c>
      <c r="O417" s="53" t="n">
        <v>0</v>
      </c>
      <c r="P417" s="53" t="n">
        <v>0</v>
      </c>
    </row>
    <row r="418">
      <c r="A418" s="58" t="inlineStr">
        <is>
          <t>John O'Donoghue</t>
        </is>
      </c>
      <c r="B418" s="58" t="inlineStr">
        <is>
          <t>Amplify</t>
        </is>
      </c>
      <c r="C418" s="58" t="inlineStr">
        <is>
          <t>Mark Anthony</t>
        </is>
      </c>
      <c r="D418" s="58" t="inlineStr">
        <is>
          <t>Cayman Jack</t>
        </is>
      </c>
      <c r="E418" s="53" t="n">
        <v>0</v>
      </c>
      <c r="F418" s="53" t="n">
        <v>12</v>
      </c>
      <c r="G418" s="55" t="n">
        <v>0</v>
      </c>
      <c r="H418" s="55" t="n">
        <v>404</v>
      </c>
      <c r="I418" s="55" t="n">
        <v>0</v>
      </c>
      <c r="J418" s="55" t="n">
        <v>99.62</v>
      </c>
      <c r="K418" s="53" t="n">
        <v>0</v>
      </c>
      <c r="L418" s="53" t="n">
        <v>1</v>
      </c>
      <c r="M418" s="53" t="n">
        <v>1</v>
      </c>
      <c r="N418" s="53" t="n">
        <v>12</v>
      </c>
      <c r="O418" s="53" t="n">
        <v>0</v>
      </c>
      <c r="P418" s="53" t="n">
        <v>0</v>
      </c>
    </row>
    <row r="419">
      <c r="A419" s="58" t="inlineStr">
        <is>
          <t>John O'Donoghue</t>
        </is>
      </c>
      <c r="B419" s="58" t="inlineStr">
        <is>
          <t>Amplify</t>
        </is>
      </c>
      <c r="C419" s="58" t="inlineStr">
        <is>
          <t>Mark Anthony</t>
        </is>
      </c>
      <c r="D419" s="58" t="inlineStr">
        <is>
          <t>Mike's Harder</t>
        </is>
      </c>
      <c r="E419" s="53" t="n">
        <v>3</v>
      </c>
      <c r="F419" s="53" t="n">
        <v>8</v>
      </c>
      <c r="G419" s="55" t="n">
        <v>81</v>
      </c>
      <c r="H419" s="55" t="n">
        <v>232</v>
      </c>
      <c r="I419" s="55" t="n">
        <v>17.54</v>
      </c>
      <c r="J419" s="55" t="n">
        <v>48.77</v>
      </c>
      <c r="K419" s="53" t="n">
        <v>1</v>
      </c>
      <c r="L419" s="53" t="n">
        <v>1</v>
      </c>
      <c r="M419" s="53" t="n">
        <v>0</v>
      </c>
      <c r="N419" s="53" t="n">
        <v>0</v>
      </c>
      <c r="O419" s="53" t="n">
        <v>0</v>
      </c>
      <c r="P419" s="53" t="n">
        <v>0</v>
      </c>
    </row>
    <row r="420">
      <c r="A420" s="58" t="inlineStr">
        <is>
          <t>John O'Donoghue</t>
        </is>
      </c>
      <c r="B420" s="58" t="inlineStr">
        <is>
          <t>Amplify</t>
        </is>
      </c>
      <c r="C420" s="58" t="inlineStr">
        <is>
          <t>MolsonCoors Beverage Company</t>
        </is>
      </c>
      <c r="D420" s="58" t="inlineStr">
        <is>
          <t>Coors</t>
        </is>
      </c>
      <c r="E420" s="53" t="n">
        <v>5</v>
      </c>
      <c r="F420" s="53" t="n">
        <v>5</v>
      </c>
      <c r="G420" s="55" t="n">
        <v>125.2</v>
      </c>
      <c r="H420" s="55" t="n">
        <v>103.2</v>
      </c>
      <c r="I420" s="55" t="n">
        <v>37.01</v>
      </c>
      <c r="J420" s="55" t="n">
        <v>28.73</v>
      </c>
      <c r="K420" s="53" t="n">
        <v>1</v>
      </c>
      <c r="L420" s="53" t="n">
        <v>1</v>
      </c>
      <c r="M420" s="53" t="n">
        <v>0</v>
      </c>
      <c r="N420" s="53" t="n">
        <v>0</v>
      </c>
      <c r="O420" s="53" t="n">
        <v>0</v>
      </c>
      <c r="P420" s="53" t="n">
        <v>0</v>
      </c>
    </row>
    <row r="421">
      <c r="A421" s="58" t="inlineStr">
        <is>
          <t>John O'Donoghue</t>
        </is>
      </c>
      <c r="B421" s="58" t="inlineStr">
        <is>
          <t>Amplify</t>
        </is>
      </c>
      <c r="C421" s="58" t="inlineStr">
        <is>
          <t>MolsonCoors Beverage Company</t>
        </is>
      </c>
      <c r="D421" s="58" t="inlineStr">
        <is>
          <t>Fever Tree</t>
        </is>
      </c>
      <c r="E421" s="53" t="n">
        <v>5</v>
      </c>
      <c r="F421" s="53" t="n">
        <v>0</v>
      </c>
      <c r="G421" s="55" t="n">
        <v>268.5</v>
      </c>
      <c r="H421" s="55" t="n">
        <v>0</v>
      </c>
      <c r="I421" s="55" t="n">
        <v>96.98999999999999</v>
      </c>
      <c r="J421" s="55" t="n">
        <v>0</v>
      </c>
      <c r="K421" s="53" t="n">
        <v>1</v>
      </c>
      <c r="L421" s="53" t="n">
        <v>0</v>
      </c>
      <c r="M421" s="53" t="n">
        <v>0</v>
      </c>
      <c r="N421" s="53" t="n">
        <v>0</v>
      </c>
      <c r="O421" s="53" t="n">
        <v>1</v>
      </c>
      <c r="P421" s="53" t="n">
        <v>5</v>
      </c>
    </row>
    <row r="422">
      <c r="A422" s="58" t="inlineStr">
        <is>
          <t>John O'Donoghue</t>
        </is>
      </c>
      <c r="B422" s="58" t="inlineStr">
        <is>
          <t>Amplify</t>
        </is>
      </c>
      <c r="C422" s="58" t="inlineStr">
        <is>
          <t>MolsonCoors Beverage Company</t>
        </is>
      </c>
      <c r="D422" s="58" t="inlineStr">
        <is>
          <t>Peroni</t>
        </is>
      </c>
      <c r="E422" s="53" t="n">
        <v>5</v>
      </c>
      <c r="F422" s="53" t="n">
        <v>10</v>
      </c>
      <c r="G422" s="55" t="n">
        <v>180.5</v>
      </c>
      <c r="H422" s="55" t="n">
        <v>353.5</v>
      </c>
      <c r="I422" s="55" t="n">
        <v>49.73</v>
      </c>
      <c r="J422" s="55" t="n">
        <v>91.96000000000001</v>
      </c>
      <c r="K422" s="53" t="n">
        <v>1</v>
      </c>
      <c r="L422" s="53" t="n">
        <v>2</v>
      </c>
      <c r="M422" s="53" t="n">
        <v>1</v>
      </c>
      <c r="N422" s="53" t="n">
        <v>3</v>
      </c>
      <c r="O422" s="53" t="n">
        <v>0</v>
      </c>
      <c r="P422" s="53" t="n">
        <v>0</v>
      </c>
    </row>
    <row r="423">
      <c r="A423" s="58" t="inlineStr">
        <is>
          <t>John O'Donoghue</t>
        </is>
      </c>
      <c r="B423" s="58" t="inlineStr">
        <is>
          <t>Amplify</t>
        </is>
      </c>
      <c r="C423" s="58" t="inlineStr">
        <is>
          <t>New Belgium Brewing Company</t>
        </is>
      </c>
      <c r="D423" s="58" t="inlineStr">
        <is>
          <t>Kirin Ichiban</t>
        </is>
      </c>
      <c r="E423" s="53" t="n">
        <v>1</v>
      </c>
      <c r="F423" s="53" t="n">
        <v>1</v>
      </c>
      <c r="G423" s="55" t="n">
        <v>36</v>
      </c>
      <c r="H423" s="55" t="n">
        <v>36</v>
      </c>
      <c r="I423" s="55" t="n">
        <v>11.82</v>
      </c>
      <c r="J423" s="55" t="n">
        <v>11.82</v>
      </c>
      <c r="K423" s="53" t="n">
        <v>1</v>
      </c>
      <c r="L423" s="53" t="n">
        <v>1</v>
      </c>
      <c r="M423" s="53" t="n">
        <v>0</v>
      </c>
      <c r="N423" s="53" t="n">
        <v>0</v>
      </c>
      <c r="O423" s="53" t="n">
        <v>0</v>
      </c>
      <c r="P423" s="53" t="n">
        <v>0</v>
      </c>
    </row>
    <row r="424">
      <c r="A424" s="58" t="inlineStr">
        <is>
          <t>John O'Donoghue</t>
        </is>
      </c>
      <c r="B424" s="58" t="inlineStr">
        <is>
          <t>Amplify</t>
        </is>
      </c>
      <c r="C424" s="58" t="inlineStr">
        <is>
          <t>New Belgium Brewing Company</t>
        </is>
      </c>
      <c r="D424" s="58" t="inlineStr">
        <is>
          <t>Voodoo Family</t>
        </is>
      </c>
      <c r="E424" s="53" t="n">
        <v>1</v>
      </c>
      <c r="F424" s="53" t="n">
        <v>0</v>
      </c>
      <c r="G424" s="55" t="n">
        <v>41.1</v>
      </c>
      <c r="H424" s="55" t="n">
        <v>0</v>
      </c>
      <c r="I424" s="55" t="n">
        <v>12.9</v>
      </c>
      <c r="J424" s="55" t="n">
        <v>0</v>
      </c>
      <c r="K424" s="53" t="n">
        <v>1</v>
      </c>
      <c r="L424" s="53" t="n">
        <v>0</v>
      </c>
      <c r="M424" s="53" t="n">
        <v>0</v>
      </c>
      <c r="N424" s="53" t="n">
        <v>0</v>
      </c>
      <c r="O424" s="53" t="n">
        <v>1</v>
      </c>
      <c r="P424" s="53" t="n">
        <v>1</v>
      </c>
    </row>
    <row r="425">
      <c r="A425" s="58" t="inlineStr">
        <is>
          <t>John O'Donoghue</t>
        </is>
      </c>
      <c r="B425" s="58" t="inlineStr">
        <is>
          <t>Amplify</t>
        </is>
      </c>
      <c r="C425" s="58" t="inlineStr">
        <is>
          <t>Sapporo</t>
        </is>
      </c>
      <c r="D425" s="58" t="inlineStr">
        <is>
          <t>Sapporo</t>
        </is>
      </c>
      <c r="E425" s="53" t="n">
        <v>1007</v>
      </c>
      <c r="F425" s="53" t="n">
        <v>967</v>
      </c>
      <c r="G425" s="55" t="n">
        <v>29334.25</v>
      </c>
      <c r="H425" s="55" t="n">
        <v>27627.25</v>
      </c>
      <c r="I425" s="55" t="n">
        <v>7479.939999999997</v>
      </c>
      <c r="J425" s="55" t="n">
        <v>7136.4</v>
      </c>
      <c r="K425" s="53" t="n">
        <v>46</v>
      </c>
      <c r="L425" s="53" t="n">
        <v>44</v>
      </c>
      <c r="M425" s="53" t="n">
        <v>6</v>
      </c>
      <c r="N425" s="53" t="n">
        <v>28</v>
      </c>
      <c r="O425" s="53" t="n">
        <v>8</v>
      </c>
      <c r="P425" s="53" t="n">
        <v>77</v>
      </c>
    </row>
    <row r="426">
      <c r="A426" s="58" t="inlineStr">
        <is>
          <t>John O'Donoghue</t>
        </is>
      </c>
      <c r="B426" s="58" t="inlineStr">
        <is>
          <t>Qualifier</t>
        </is>
      </c>
      <c r="C426" s="58" t="inlineStr">
        <is>
          <t>Boston Beer Company</t>
        </is>
      </c>
      <c r="D426" s="58" t="inlineStr">
        <is>
          <t>Twisted Tea</t>
        </is>
      </c>
      <c r="E426" s="53" t="n">
        <v>5</v>
      </c>
      <c r="F426" s="53" t="n">
        <v>17</v>
      </c>
      <c r="G426" s="55" t="n">
        <v>150.75</v>
      </c>
      <c r="H426" s="55" t="n">
        <v>499.75</v>
      </c>
      <c r="I426" s="55" t="n">
        <v>41.65</v>
      </c>
      <c r="J426" s="55" t="n">
        <v>129.45</v>
      </c>
      <c r="K426" s="53" t="n">
        <v>1</v>
      </c>
      <c r="L426" s="53" t="n">
        <v>1</v>
      </c>
      <c r="M426" s="53" t="n">
        <v>0</v>
      </c>
      <c r="N426" s="53" t="n">
        <v>0</v>
      </c>
      <c r="O426" s="53" t="n">
        <v>0</v>
      </c>
      <c r="P426" s="53" t="n">
        <v>0</v>
      </c>
    </row>
    <row r="427">
      <c r="A427" s="58" t="inlineStr">
        <is>
          <t>John O'Donoghue</t>
        </is>
      </c>
      <c r="B427" s="58" t="inlineStr">
        <is>
          <t>Qualifier</t>
        </is>
      </c>
      <c r="C427" s="58" t="inlineStr">
        <is>
          <t>Constellation Brands</t>
        </is>
      </c>
      <c r="D427" s="58" t="inlineStr">
        <is>
          <t>Corona Extra</t>
        </is>
      </c>
      <c r="E427" s="53" t="n">
        <v>98</v>
      </c>
      <c r="F427" s="53" t="n">
        <v>153</v>
      </c>
      <c r="G427" s="55" t="n">
        <v>3320.75</v>
      </c>
      <c r="H427" s="55" t="n">
        <v>5152</v>
      </c>
      <c r="I427" s="55" t="n">
        <v>955.9599999999999</v>
      </c>
      <c r="J427" s="55" t="n">
        <v>1467.55</v>
      </c>
      <c r="K427" s="53" t="n">
        <v>3</v>
      </c>
      <c r="L427" s="53" t="n">
        <v>4</v>
      </c>
      <c r="M427" s="53" t="n">
        <v>1</v>
      </c>
      <c r="N427" s="53" t="n">
        <v>8</v>
      </c>
      <c r="O427" s="53" t="n">
        <v>0</v>
      </c>
      <c r="P427" s="53" t="n">
        <v>0</v>
      </c>
    </row>
    <row r="428">
      <c r="A428" s="58" t="inlineStr">
        <is>
          <t>John O'Donoghue</t>
        </is>
      </c>
      <c r="B428" s="58" t="inlineStr">
        <is>
          <t>Qualifier</t>
        </is>
      </c>
      <c r="C428" s="58" t="inlineStr">
        <is>
          <t>Constellation Brands</t>
        </is>
      </c>
      <c r="D428" s="58" t="inlineStr">
        <is>
          <t>Modelo Especial</t>
        </is>
      </c>
      <c r="E428" s="53" t="n">
        <v>136</v>
      </c>
      <c r="F428" s="53" t="n">
        <v>205</v>
      </c>
      <c r="G428" s="55" t="n">
        <v>4301.75</v>
      </c>
      <c r="H428" s="55" t="n">
        <v>6464.85</v>
      </c>
      <c r="I428" s="55" t="n">
        <v>943.4299999999999</v>
      </c>
      <c r="J428" s="55" t="n">
        <v>1650.07</v>
      </c>
      <c r="K428" s="53" t="n">
        <v>3</v>
      </c>
      <c r="L428" s="53" t="n">
        <v>4</v>
      </c>
      <c r="M428" s="53" t="n">
        <v>1</v>
      </c>
      <c r="N428" s="53" t="n">
        <v>5</v>
      </c>
      <c r="O428" s="53" t="n">
        <v>0</v>
      </c>
      <c r="P428" s="53" t="n">
        <v>0</v>
      </c>
    </row>
    <row r="429">
      <c r="A429" s="58" t="inlineStr">
        <is>
          <t>John O'Donoghue</t>
        </is>
      </c>
      <c r="B429" s="58" t="inlineStr">
        <is>
          <t>Qualifier</t>
        </is>
      </c>
      <c r="C429" s="58" t="inlineStr">
        <is>
          <t>DG Yuengling Inc</t>
        </is>
      </c>
      <c r="D429" s="58" t="inlineStr">
        <is>
          <t>Yuengling Lager</t>
        </is>
      </c>
      <c r="E429" s="53" t="n">
        <v>11</v>
      </c>
      <c r="F429" s="53" t="n">
        <v>4</v>
      </c>
      <c r="G429" s="55" t="n">
        <v>303.5</v>
      </c>
      <c r="H429" s="55" t="n">
        <v>112</v>
      </c>
      <c r="I429" s="55" t="n">
        <v>93.08999999999999</v>
      </c>
      <c r="J429" s="55" t="n">
        <v>35.34</v>
      </c>
      <c r="K429" s="53" t="n">
        <v>2</v>
      </c>
      <c r="L429" s="53" t="n">
        <v>1</v>
      </c>
      <c r="M429" s="53" t="n">
        <v>0</v>
      </c>
      <c r="N429" s="53" t="n">
        <v>0</v>
      </c>
      <c r="O429" s="53" t="n">
        <v>1</v>
      </c>
      <c r="P429" s="53" t="n">
        <v>9</v>
      </c>
    </row>
    <row r="430">
      <c r="A430" s="58" t="inlineStr">
        <is>
          <t>John O'Donoghue</t>
        </is>
      </c>
      <c r="B430" s="58" t="inlineStr">
        <is>
          <t>Qualifier</t>
        </is>
      </c>
      <c r="C430" s="58" t="inlineStr">
        <is>
          <t>Heineken USA</t>
        </is>
      </c>
      <c r="D430" s="58" t="inlineStr">
        <is>
          <t>Heineken USA</t>
        </is>
      </c>
      <c r="E430" s="53" t="n">
        <v>26</v>
      </c>
      <c r="F430" s="53" t="n">
        <v>73</v>
      </c>
      <c r="G430" s="55" t="n">
        <v>868</v>
      </c>
      <c r="H430" s="55" t="n">
        <v>2309.25</v>
      </c>
      <c r="I430" s="55" t="n">
        <v>265.1</v>
      </c>
      <c r="J430" s="55" t="n">
        <v>600.1700000000001</v>
      </c>
      <c r="K430" s="53" t="n">
        <v>3</v>
      </c>
      <c r="L430" s="53" t="n">
        <v>4</v>
      </c>
      <c r="M430" s="53" t="n">
        <v>1</v>
      </c>
      <c r="N430" s="53" t="n">
        <v>5</v>
      </c>
      <c r="O430" s="53" t="n">
        <v>0</v>
      </c>
      <c r="P430" s="53" t="n">
        <v>0</v>
      </c>
    </row>
    <row r="431">
      <c r="A431" s="58" t="inlineStr">
        <is>
          <t>John O'Donoghue</t>
        </is>
      </c>
      <c r="B431" s="58" t="inlineStr">
        <is>
          <t>Qualifier</t>
        </is>
      </c>
      <c r="C431" s="58" t="inlineStr">
        <is>
          <t>Mark Anthony</t>
        </is>
      </c>
      <c r="D431" s="58" t="inlineStr">
        <is>
          <t>White Claw</t>
        </is>
      </c>
      <c r="E431" s="53" t="n">
        <v>16</v>
      </c>
      <c r="F431" s="53" t="n">
        <v>26</v>
      </c>
      <c r="G431" s="55" t="n">
        <v>537.3</v>
      </c>
      <c r="H431" s="55" t="n">
        <v>898.9</v>
      </c>
      <c r="I431" s="55" t="n">
        <v>130.26</v>
      </c>
      <c r="J431" s="55" t="n">
        <v>213.04</v>
      </c>
      <c r="K431" s="53" t="n">
        <v>1</v>
      </c>
      <c r="L431" s="53" t="n">
        <v>2</v>
      </c>
      <c r="M431" s="53" t="n">
        <v>1</v>
      </c>
      <c r="N431" s="53" t="n">
        <v>2</v>
      </c>
      <c r="O431" s="53" t="n">
        <v>0</v>
      </c>
      <c r="P431" s="53" t="n">
        <v>0</v>
      </c>
    </row>
    <row r="432">
      <c r="A432" s="58" t="inlineStr">
        <is>
          <t>John O'Donoghue</t>
        </is>
      </c>
      <c r="B432" s="58" t="inlineStr">
        <is>
          <t>Qualifier</t>
        </is>
      </c>
      <c r="C432" s="58" t="inlineStr">
        <is>
          <t>MolsonCoors Beverage Company</t>
        </is>
      </c>
      <c r="D432" s="58" t="inlineStr">
        <is>
          <t>Blue Moon</t>
        </is>
      </c>
      <c r="E432" s="53" t="n">
        <v>1</v>
      </c>
      <c r="F432" s="53" t="n">
        <v>15</v>
      </c>
      <c r="G432" s="55" t="n">
        <v>37</v>
      </c>
      <c r="H432" s="55" t="n">
        <v>475.75</v>
      </c>
      <c r="I432" s="55" t="n">
        <v>10.98</v>
      </c>
      <c r="J432" s="55" t="n">
        <v>98.42</v>
      </c>
      <c r="K432" s="53" t="n">
        <v>1</v>
      </c>
      <c r="L432" s="53" t="n">
        <v>1</v>
      </c>
      <c r="M432" s="53" t="n">
        <v>1</v>
      </c>
      <c r="N432" s="53" t="n">
        <v>15</v>
      </c>
      <c r="O432" s="53" t="n">
        <v>1</v>
      </c>
      <c r="P432" s="53" t="n">
        <v>1</v>
      </c>
    </row>
    <row r="433">
      <c r="A433" s="58" t="inlineStr">
        <is>
          <t>John O'Donoghue</t>
        </is>
      </c>
      <c r="B433" s="58" t="inlineStr">
        <is>
          <t>Qualifier</t>
        </is>
      </c>
      <c r="C433" s="58" t="inlineStr">
        <is>
          <t>MolsonCoors Beverage Company</t>
        </is>
      </c>
      <c r="D433" s="58" t="inlineStr">
        <is>
          <t>Coors Light</t>
        </is>
      </c>
      <c r="E433" s="53" t="n">
        <v>46</v>
      </c>
      <c r="F433" s="53" t="n">
        <v>56</v>
      </c>
      <c r="G433" s="55" t="n">
        <v>1170.35</v>
      </c>
      <c r="H433" s="55" t="n">
        <v>1333.05</v>
      </c>
      <c r="I433" s="55" t="n">
        <v>360.75</v>
      </c>
      <c r="J433" s="55" t="n">
        <v>397.71</v>
      </c>
      <c r="K433" s="53" t="n">
        <v>3</v>
      </c>
      <c r="L433" s="53" t="n">
        <v>3</v>
      </c>
      <c r="M433" s="53" t="n">
        <v>0</v>
      </c>
      <c r="N433" s="53" t="n">
        <v>0</v>
      </c>
      <c r="O433" s="53" t="n">
        <v>0</v>
      </c>
      <c r="P433" s="53" t="n">
        <v>0</v>
      </c>
    </row>
    <row r="434">
      <c r="A434" s="58" t="inlineStr">
        <is>
          <t>John O'Donoghue</t>
        </is>
      </c>
      <c r="B434" s="58" t="inlineStr">
        <is>
          <t>Qualifier</t>
        </is>
      </c>
      <c r="C434" s="58" t="inlineStr">
        <is>
          <t>MolsonCoors Beverage Company</t>
        </is>
      </c>
      <c r="D434" s="58" t="inlineStr">
        <is>
          <t>Lite</t>
        </is>
      </c>
      <c r="E434" s="53" t="n">
        <v>60</v>
      </c>
      <c r="F434" s="53" t="n">
        <v>40</v>
      </c>
      <c r="G434" s="55" t="n">
        <v>1505.1</v>
      </c>
      <c r="H434" s="55" t="n">
        <v>946.6999999999999</v>
      </c>
      <c r="I434" s="55" t="n">
        <v>394.76</v>
      </c>
      <c r="J434" s="55" t="n">
        <v>252.83</v>
      </c>
      <c r="K434" s="53" t="n">
        <v>2</v>
      </c>
      <c r="L434" s="53" t="n">
        <v>3</v>
      </c>
      <c r="M434" s="53" t="n">
        <v>1</v>
      </c>
      <c r="N434" s="53" t="n">
        <v>2</v>
      </c>
      <c r="O434" s="53" t="n">
        <v>0</v>
      </c>
      <c r="P434" s="53" t="n">
        <v>0</v>
      </c>
    </row>
    <row r="435">
      <c r="A435" s="58" t="inlineStr">
        <is>
          <t>Klejdi Lamo</t>
        </is>
      </c>
      <c r="B435" s="58" t="inlineStr">
        <is>
          <t>Amplify</t>
        </is>
      </c>
      <c r="C435" s="58" t="inlineStr">
        <is>
          <t>Bell's</t>
        </is>
      </c>
      <c r="D435" s="58" t="inlineStr">
        <is>
          <t>Bell's</t>
        </is>
      </c>
      <c r="E435" s="53" t="n">
        <v>67</v>
      </c>
      <c r="F435" s="53" t="n">
        <v>46</v>
      </c>
      <c r="G435" s="55" t="n">
        <v>2354.05</v>
      </c>
      <c r="H435" s="55" t="n">
        <v>1654.7</v>
      </c>
      <c r="I435" s="55" t="n">
        <v>749.7700000000001</v>
      </c>
      <c r="J435" s="55" t="n">
        <v>569.6400000000001</v>
      </c>
      <c r="K435" s="53" t="n">
        <v>6</v>
      </c>
      <c r="L435" s="53" t="n">
        <v>6</v>
      </c>
      <c r="M435" s="53" t="n">
        <v>0</v>
      </c>
      <c r="N435" s="53" t="n">
        <v>0</v>
      </c>
      <c r="O435" s="53" t="n">
        <v>0</v>
      </c>
      <c r="P435" s="53" t="n">
        <v>0</v>
      </c>
    </row>
    <row r="436">
      <c r="A436" s="58" t="inlineStr">
        <is>
          <t>Klejdi Lamo</t>
        </is>
      </c>
      <c r="B436" s="58" t="inlineStr">
        <is>
          <t>Amplify</t>
        </is>
      </c>
      <c r="C436" s="58" t="inlineStr">
        <is>
          <t>Boston Beer Company</t>
        </is>
      </c>
      <c r="D436" s="58" t="inlineStr">
        <is>
          <t>Dogfish Head Beer</t>
        </is>
      </c>
      <c r="E436" s="53" t="n">
        <v>1333</v>
      </c>
      <c r="F436" s="53" t="n">
        <v>1469</v>
      </c>
      <c r="G436" s="55" t="n">
        <v>44433.20000000001</v>
      </c>
      <c r="H436" s="55" t="n">
        <v>48598.59999999999</v>
      </c>
      <c r="I436" s="55" t="n">
        <v>10319.41</v>
      </c>
      <c r="J436" s="55" t="n">
        <v>11090.6</v>
      </c>
      <c r="K436" s="53" t="n">
        <v>24</v>
      </c>
      <c r="L436" s="53" t="n">
        <v>25</v>
      </c>
      <c r="M436" s="53" t="n">
        <v>2</v>
      </c>
      <c r="N436" s="53" t="n">
        <v>13</v>
      </c>
      <c r="O436" s="53" t="n">
        <v>1</v>
      </c>
      <c r="P436" s="53" t="n">
        <v>4</v>
      </c>
    </row>
    <row r="437">
      <c r="A437" s="58" t="inlineStr">
        <is>
          <t>Klejdi Lamo</t>
        </is>
      </c>
      <c r="B437" s="58" t="inlineStr">
        <is>
          <t>Amplify</t>
        </is>
      </c>
      <c r="C437" s="58" t="inlineStr">
        <is>
          <t>Boston Beer Company</t>
        </is>
      </c>
      <c r="D437" s="58" t="inlineStr">
        <is>
          <t>Dogfish Head Spirits</t>
        </is>
      </c>
      <c r="E437" s="53" t="n">
        <v>441</v>
      </c>
      <c r="F437" s="53" t="n">
        <v>405</v>
      </c>
      <c r="G437" s="55" t="n">
        <v>22545</v>
      </c>
      <c r="H437" s="55" t="n">
        <v>19390</v>
      </c>
      <c r="I437" s="55" t="n">
        <v>8159.93</v>
      </c>
      <c r="J437" s="55" t="n">
        <v>6321.200000000001</v>
      </c>
      <c r="K437" s="53" t="n">
        <v>16</v>
      </c>
      <c r="L437" s="53" t="n">
        <v>12</v>
      </c>
      <c r="M437" s="53" t="n">
        <v>0</v>
      </c>
      <c r="N437" s="53" t="n">
        <v>0</v>
      </c>
      <c r="O437" s="53" t="n">
        <v>4</v>
      </c>
      <c r="P437" s="53" t="n">
        <v>21</v>
      </c>
    </row>
    <row r="438">
      <c r="A438" s="58" t="inlineStr">
        <is>
          <t>Klejdi Lamo</t>
        </is>
      </c>
      <c r="B438" s="58" t="inlineStr">
        <is>
          <t>Amplify</t>
        </is>
      </c>
      <c r="C438" s="58" t="inlineStr">
        <is>
          <t>Cape May</t>
        </is>
      </c>
      <c r="D438" s="58" t="inlineStr">
        <is>
          <t>Cape May</t>
        </is>
      </c>
      <c r="E438" s="53" t="n">
        <v>1197</v>
      </c>
      <c r="F438" s="53" t="n">
        <v>1314</v>
      </c>
      <c r="G438" s="55" t="n">
        <v>48809.79999999999</v>
      </c>
      <c r="H438" s="55" t="n">
        <v>53039.7</v>
      </c>
      <c r="I438" s="55" t="n">
        <v>14057.87</v>
      </c>
      <c r="J438" s="55" t="n">
        <v>15520.86</v>
      </c>
      <c r="K438" s="53" t="n">
        <v>19</v>
      </c>
      <c r="L438" s="53" t="n">
        <v>20</v>
      </c>
      <c r="M438" s="53" t="n">
        <v>1</v>
      </c>
      <c r="N438" s="53" t="n">
        <v>2</v>
      </c>
      <c r="O438" s="53" t="n">
        <v>0</v>
      </c>
      <c r="P438" s="53" t="n">
        <v>0</v>
      </c>
    </row>
    <row r="439">
      <c r="A439" s="58" t="inlineStr">
        <is>
          <t>Klejdi Lamo</t>
        </is>
      </c>
      <c r="B439" s="58" t="inlineStr">
        <is>
          <t>Amplify</t>
        </is>
      </c>
      <c r="C439" s="58" t="inlineStr">
        <is>
          <t>Constellation Brands</t>
        </is>
      </c>
      <c r="D439" s="58" t="inlineStr">
        <is>
          <t>Corona Premier</t>
        </is>
      </c>
      <c r="E439" s="53" t="n">
        <v>982</v>
      </c>
      <c r="F439" s="53" t="n">
        <v>989</v>
      </c>
      <c r="G439" s="55" t="n">
        <v>30748.15000000001</v>
      </c>
      <c r="H439" s="55" t="n">
        <v>27253.7</v>
      </c>
      <c r="I439" s="55" t="n">
        <v>6808.030000000001</v>
      </c>
      <c r="J439" s="55" t="n">
        <v>6801.809999999999</v>
      </c>
      <c r="K439" s="53" t="n">
        <v>27</v>
      </c>
      <c r="L439" s="53" t="n">
        <v>25</v>
      </c>
      <c r="M439" s="53" t="n">
        <v>0</v>
      </c>
      <c r="N439" s="53" t="n">
        <v>0</v>
      </c>
      <c r="O439" s="53" t="n">
        <v>2</v>
      </c>
      <c r="P439" s="53" t="n">
        <v>5</v>
      </c>
    </row>
    <row r="440">
      <c r="A440" s="58" t="inlineStr">
        <is>
          <t>Klejdi Lamo</t>
        </is>
      </c>
      <c r="B440" s="58" t="inlineStr">
        <is>
          <t>Amplify</t>
        </is>
      </c>
      <c r="C440" s="58" t="inlineStr">
        <is>
          <t>Constellation Brands</t>
        </is>
      </c>
      <c r="D440" s="58" t="inlineStr">
        <is>
          <t>Modelo Chelada</t>
        </is>
      </c>
      <c r="E440" s="53" t="n">
        <v>1919</v>
      </c>
      <c r="F440" s="53" t="n">
        <v>2195</v>
      </c>
      <c r="G440" s="55" t="n">
        <v>59276.9</v>
      </c>
      <c r="H440" s="55" t="n">
        <v>66861.3</v>
      </c>
      <c r="I440" s="55" t="n">
        <v>14752.99</v>
      </c>
      <c r="J440" s="55" t="n">
        <v>16386.93</v>
      </c>
      <c r="K440" s="53" t="n">
        <v>27</v>
      </c>
      <c r="L440" s="53" t="n">
        <v>28</v>
      </c>
      <c r="M440" s="53" t="n">
        <v>1</v>
      </c>
      <c r="N440" s="53" t="n">
        <v>3</v>
      </c>
      <c r="O440" s="53" t="n">
        <v>0</v>
      </c>
      <c r="P440" s="53" t="n">
        <v>0</v>
      </c>
    </row>
    <row r="441">
      <c r="A441" s="58" t="inlineStr">
        <is>
          <t>Klejdi Lamo</t>
        </is>
      </c>
      <c r="B441" s="58" t="inlineStr">
        <is>
          <t>Amplify</t>
        </is>
      </c>
      <c r="C441" s="58" t="inlineStr">
        <is>
          <t>Constellation Brands</t>
        </is>
      </c>
      <c r="D441" s="58" t="inlineStr">
        <is>
          <t>Pacifico</t>
        </is>
      </c>
      <c r="E441" s="53" t="n">
        <v>459</v>
      </c>
      <c r="F441" s="53" t="n">
        <v>517</v>
      </c>
      <c r="G441" s="55" t="n">
        <v>13949.8</v>
      </c>
      <c r="H441" s="55" t="n">
        <v>15833.1</v>
      </c>
      <c r="I441" s="55" t="n">
        <v>3093.77</v>
      </c>
      <c r="J441" s="55" t="n">
        <v>3559.33</v>
      </c>
      <c r="K441" s="53" t="n">
        <v>19</v>
      </c>
      <c r="L441" s="53" t="n">
        <v>20</v>
      </c>
      <c r="M441" s="53" t="n">
        <v>2</v>
      </c>
      <c r="N441" s="53" t="n">
        <v>12</v>
      </c>
      <c r="O441" s="53" t="n">
        <v>1</v>
      </c>
      <c r="P441" s="53" t="n">
        <v>5</v>
      </c>
    </row>
    <row r="442">
      <c r="A442" s="58" t="inlineStr">
        <is>
          <t>Klejdi Lamo</t>
        </is>
      </c>
      <c r="B442" s="58" t="inlineStr">
        <is>
          <t>Amplify</t>
        </is>
      </c>
      <c r="C442" s="58" t="inlineStr">
        <is>
          <t>Constellation Brands</t>
        </is>
      </c>
      <c r="D442" s="58" t="inlineStr">
        <is>
          <t>Victoria</t>
        </is>
      </c>
      <c r="E442" s="53" t="n">
        <v>593</v>
      </c>
      <c r="F442" s="53" t="n">
        <v>800</v>
      </c>
      <c r="G442" s="55" t="n">
        <v>17652.4</v>
      </c>
      <c r="H442" s="55" t="n">
        <v>23791.35</v>
      </c>
      <c r="I442" s="55" t="n">
        <v>4344.110000000001</v>
      </c>
      <c r="J442" s="55" t="n">
        <v>5701.120000000001</v>
      </c>
      <c r="K442" s="53" t="n">
        <v>17</v>
      </c>
      <c r="L442" s="53" t="n">
        <v>18</v>
      </c>
      <c r="M442" s="53" t="n">
        <v>2</v>
      </c>
      <c r="N442" s="53" t="n">
        <v>14</v>
      </c>
      <c r="O442" s="53" t="n">
        <v>1</v>
      </c>
      <c r="P442" s="53" t="n">
        <v>1</v>
      </c>
    </row>
    <row r="443">
      <c r="A443" s="58" t="inlineStr">
        <is>
          <t>Klejdi Lamo</t>
        </is>
      </c>
      <c r="B443" s="58" t="inlineStr">
        <is>
          <t>Amplify</t>
        </is>
      </c>
      <c r="C443" s="58" t="inlineStr">
        <is>
          <t>DG Yuengling Inc</t>
        </is>
      </c>
      <c r="D443" s="58" t="inlineStr">
        <is>
          <t>Yuengling Flight</t>
        </is>
      </c>
      <c r="E443" s="53" t="n">
        <v>491</v>
      </c>
      <c r="F443" s="53" t="n">
        <v>443</v>
      </c>
      <c r="G443" s="55" t="n">
        <v>11075.75</v>
      </c>
      <c r="H443" s="55" t="n">
        <v>9875.550000000001</v>
      </c>
      <c r="I443" s="55" t="n">
        <v>2956.61</v>
      </c>
      <c r="J443" s="55" t="n">
        <v>2593.59</v>
      </c>
      <c r="K443" s="53" t="n">
        <v>19</v>
      </c>
      <c r="L443" s="53" t="n">
        <v>20</v>
      </c>
      <c r="M443" s="53" t="n">
        <v>1</v>
      </c>
      <c r="N443" s="53" t="n">
        <v>1</v>
      </c>
      <c r="O443" s="53" t="n">
        <v>0</v>
      </c>
      <c r="P443" s="53" t="n">
        <v>0</v>
      </c>
    </row>
    <row r="444">
      <c r="A444" s="58" t="inlineStr">
        <is>
          <t>Klejdi Lamo</t>
        </is>
      </c>
      <c r="B444" s="58" t="inlineStr">
        <is>
          <t>Amplify</t>
        </is>
      </c>
      <c r="C444" s="58" t="inlineStr">
        <is>
          <t>DG Yuengling Inc</t>
        </is>
      </c>
      <c r="D444" s="58" t="inlineStr">
        <is>
          <t>Yuengling Light Lager</t>
        </is>
      </c>
      <c r="E444" s="53" t="n">
        <v>275</v>
      </c>
      <c r="F444" s="53" t="n">
        <v>326</v>
      </c>
      <c r="G444" s="55" t="n">
        <v>6002.8</v>
      </c>
      <c r="H444" s="55" t="n">
        <v>6938.7</v>
      </c>
      <c r="I444" s="55" t="n">
        <v>1432.13</v>
      </c>
      <c r="J444" s="55" t="n">
        <v>1556.44</v>
      </c>
      <c r="K444" s="53" t="n">
        <v>10</v>
      </c>
      <c r="L444" s="53" t="n">
        <v>8</v>
      </c>
      <c r="M444" s="53" t="n">
        <v>0</v>
      </c>
      <c r="N444" s="53" t="n">
        <v>0</v>
      </c>
      <c r="O444" s="53" t="n">
        <v>2</v>
      </c>
      <c r="P444" s="53" t="n">
        <v>4</v>
      </c>
    </row>
    <row r="445">
      <c r="A445" s="58" t="inlineStr">
        <is>
          <t>Klejdi Lamo</t>
        </is>
      </c>
      <c r="B445" s="58" t="inlineStr">
        <is>
          <t>Amplify</t>
        </is>
      </c>
      <c r="C445" s="58" t="inlineStr">
        <is>
          <t>Heineken USA</t>
        </is>
      </c>
      <c r="D445" s="58" t="inlineStr">
        <is>
          <t>Heineken 0.0</t>
        </is>
      </c>
      <c r="E445" s="53" t="n">
        <v>15</v>
      </c>
      <c r="F445" s="53" t="n">
        <v>23</v>
      </c>
      <c r="G445" s="55" t="n">
        <v>501.6</v>
      </c>
      <c r="H445" s="55" t="n">
        <v>752.4</v>
      </c>
      <c r="I445" s="55" t="n">
        <v>133.18</v>
      </c>
      <c r="J445" s="55" t="n">
        <v>199.76</v>
      </c>
      <c r="K445" s="53" t="n">
        <v>1</v>
      </c>
      <c r="L445" s="53" t="n">
        <v>2</v>
      </c>
      <c r="M445" s="53" t="n">
        <v>1</v>
      </c>
      <c r="N445" s="53" t="n">
        <v>3</v>
      </c>
      <c r="O445" s="53" t="n">
        <v>0</v>
      </c>
      <c r="P445" s="53" t="n">
        <v>0</v>
      </c>
    </row>
    <row r="446">
      <c r="A446" s="58" t="inlineStr">
        <is>
          <t>Klejdi Lamo</t>
        </is>
      </c>
      <c r="B446" s="58" t="inlineStr">
        <is>
          <t>Amplify</t>
        </is>
      </c>
      <c r="C446" s="58" t="inlineStr">
        <is>
          <t>Heineken USA</t>
        </is>
      </c>
      <c r="D446" s="58" t="inlineStr">
        <is>
          <t>Heineken Light</t>
        </is>
      </c>
      <c r="E446" s="53" t="n">
        <v>15</v>
      </c>
      <c r="F446" s="53" t="n">
        <v>17</v>
      </c>
      <c r="G446" s="55" t="n">
        <v>469.35</v>
      </c>
      <c r="H446" s="55" t="n">
        <v>542.7</v>
      </c>
      <c r="I446" s="55" t="n">
        <v>112.72</v>
      </c>
      <c r="J446" s="55" t="n">
        <v>138.65</v>
      </c>
      <c r="K446" s="53" t="n">
        <v>2</v>
      </c>
      <c r="L446" s="53" t="n">
        <v>2</v>
      </c>
      <c r="M446" s="53" t="n">
        <v>0</v>
      </c>
      <c r="N446" s="53" t="n">
        <v>0</v>
      </c>
      <c r="O446" s="53" t="n">
        <v>0</v>
      </c>
      <c r="P446" s="53" t="n">
        <v>0</v>
      </c>
    </row>
    <row r="447">
      <c r="A447" s="58" t="inlineStr">
        <is>
          <t>Klejdi Lamo</t>
        </is>
      </c>
      <c r="B447" s="58" t="inlineStr">
        <is>
          <t>Amplify</t>
        </is>
      </c>
      <c r="C447" s="58" t="inlineStr">
        <is>
          <t>Mark Anthony</t>
        </is>
      </c>
      <c r="D447" s="58" t="inlineStr">
        <is>
          <t>Cayman Jack</t>
        </is>
      </c>
      <c r="E447" s="53" t="n">
        <v>618</v>
      </c>
      <c r="F447" s="53" t="n">
        <v>695</v>
      </c>
      <c r="G447" s="55" t="n">
        <v>19778</v>
      </c>
      <c r="H447" s="55" t="n">
        <v>22043.5</v>
      </c>
      <c r="I447" s="55" t="n">
        <v>4737</v>
      </c>
      <c r="J447" s="55" t="n">
        <v>5149.789999999998</v>
      </c>
      <c r="K447" s="53" t="n">
        <v>21</v>
      </c>
      <c r="L447" s="53" t="n">
        <v>22</v>
      </c>
      <c r="M447" s="53" t="n">
        <v>2</v>
      </c>
      <c r="N447" s="53" t="n">
        <v>12</v>
      </c>
      <c r="O447" s="53" t="n">
        <v>1</v>
      </c>
      <c r="P447" s="53" t="n">
        <v>2</v>
      </c>
    </row>
    <row r="448">
      <c r="A448" s="58" t="inlineStr">
        <is>
          <t>Klejdi Lamo</t>
        </is>
      </c>
      <c r="B448" s="58" t="inlineStr">
        <is>
          <t>Amplify</t>
        </is>
      </c>
      <c r="C448" s="58" t="inlineStr">
        <is>
          <t>Mark Anthony</t>
        </is>
      </c>
      <c r="D448" s="58" t="inlineStr">
        <is>
          <t>Mike's Harder</t>
        </is>
      </c>
      <c r="E448" s="53" t="n">
        <v>465</v>
      </c>
      <c r="F448" s="53" t="n">
        <v>426</v>
      </c>
      <c r="G448" s="55" t="n">
        <v>12953.5</v>
      </c>
      <c r="H448" s="55" t="n">
        <v>12572</v>
      </c>
      <c r="I448" s="55" t="n">
        <v>2825.579999999999</v>
      </c>
      <c r="J448" s="55" t="n">
        <v>2670.53</v>
      </c>
      <c r="K448" s="53" t="n">
        <v>22</v>
      </c>
      <c r="L448" s="53" t="n">
        <v>23</v>
      </c>
      <c r="M448" s="53" t="n">
        <v>1</v>
      </c>
      <c r="N448" s="53" t="n">
        <v>11</v>
      </c>
      <c r="O448" s="53" t="n">
        <v>0</v>
      </c>
      <c r="P448" s="53" t="n">
        <v>0</v>
      </c>
    </row>
    <row r="449">
      <c r="A449" s="58" t="inlineStr">
        <is>
          <t>Klejdi Lamo</t>
        </is>
      </c>
      <c r="B449" s="58" t="inlineStr">
        <is>
          <t>Amplify</t>
        </is>
      </c>
      <c r="C449" s="58" t="inlineStr">
        <is>
          <t>Mark Anthony</t>
        </is>
      </c>
      <c r="D449" s="58" t="inlineStr">
        <is>
          <t>Mxd Cocktails</t>
        </is>
      </c>
      <c r="E449" s="53" t="n">
        <v>0</v>
      </c>
      <c r="F449" s="53" t="n">
        <v>4</v>
      </c>
      <c r="G449" s="55" t="n">
        <v>0</v>
      </c>
      <c r="H449" s="55" t="n">
        <v>128</v>
      </c>
      <c r="I449" s="55" t="n">
        <v>0</v>
      </c>
      <c r="J449" s="55" t="n">
        <v>22.92</v>
      </c>
      <c r="K449" s="53" t="n">
        <v>0</v>
      </c>
      <c r="L449" s="53" t="n">
        <v>1</v>
      </c>
      <c r="M449" s="53" t="n">
        <v>1</v>
      </c>
      <c r="N449" s="53" t="n">
        <v>4</v>
      </c>
      <c r="O449" s="53" t="n">
        <v>0</v>
      </c>
      <c r="P449" s="53" t="n">
        <v>0</v>
      </c>
    </row>
    <row r="450">
      <c r="A450" s="58" t="inlineStr">
        <is>
          <t>Klejdi Lamo</t>
        </is>
      </c>
      <c r="B450" s="58" t="inlineStr">
        <is>
          <t>Amplify</t>
        </is>
      </c>
      <c r="C450" s="58" t="inlineStr">
        <is>
          <t>MolsonCoors Beverage Company</t>
        </is>
      </c>
      <c r="D450" s="58" t="inlineStr">
        <is>
          <t>Coors</t>
        </is>
      </c>
      <c r="E450" s="53" t="n">
        <v>2629</v>
      </c>
      <c r="F450" s="53" t="n">
        <v>2725</v>
      </c>
      <c r="G450" s="55" t="n">
        <v>57241.7</v>
      </c>
      <c r="H450" s="55" t="n">
        <v>62411.45</v>
      </c>
      <c r="I450" s="55" t="n">
        <v>14859.47</v>
      </c>
      <c r="J450" s="55" t="n">
        <v>17050.4</v>
      </c>
      <c r="K450" s="53" t="n">
        <v>28</v>
      </c>
      <c r="L450" s="53" t="n">
        <v>27</v>
      </c>
      <c r="M450" s="53" t="n">
        <v>0</v>
      </c>
      <c r="N450" s="53" t="n">
        <v>0</v>
      </c>
      <c r="O450" s="53" t="n">
        <v>1</v>
      </c>
      <c r="P450" s="53" t="n">
        <v>6</v>
      </c>
    </row>
    <row r="451">
      <c r="A451" s="58" t="inlineStr">
        <is>
          <t>Klejdi Lamo</t>
        </is>
      </c>
      <c r="B451" s="58" t="inlineStr">
        <is>
          <t>Amplify</t>
        </is>
      </c>
      <c r="C451" s="58" t="inlineStr">
        <is>
          <t>MolsonCoors Beverage Company</t>
        </is>
      </c>
      <c r="D451" s="58" t="inlineStr">
        <is>
          <t>Fever Tree</t>
        </is>
      </c>
      <c r="E451" s="53" t="n">
        <v>46</v>
      </c>
      <c r="F451" s="53" t="n">
        <v>81</v>
      </c>
      <c r="G451" s="55" t="n">
        <v>1912.5</v>
      </c>
      <c r="H451" s="55" t="n">
        <v>3677</v>
      </c>
      <c r="I451" s="55" t="n">
        <v>590.8299999999999</v>
      </c>
      <c r="J451" s="55" t="n">
        <v>1118.28</v>
      </c>
      <c r="K451" s="53" t="n">
        <v>7</v>
      </c>
      <c r="L451" s="53" t="n">
        <v>9</v>
      </c>
      <c r="M451" s="53" t="n">
        <v>4</v>
      </c>
      <c r="N451" s="53" t="n">
        <v>9</v>
      </c>
      <c r="O451" s="53" t="n">
        <v>2</v>
      </c>
      <c r="P451" s="53" t="n">
        <v>6</v>
      </c>
    </row>
    <row r="452">
      <c r="A452" s="58" t="inlineStr">
        <is>
          <t>Klejdi Lamo</t>
        </is>
      </c>
      <c r="B452" s="58" t="inlineStr">
        <is>
          <t>Amplify</t>
        </is>
      </c>
      <c r="C452" s="58" t="inlineStr">
        <is>
          <t>MolsonCoors Beverage Company</t>
        </is>
      </c>
      <c r="D452" s="58" t="inlineStr">
        <is>
          <t>Peroni</t>
        </is>
      </c>
      <c r="E452" s="53" t="n">
        <v>696</v>
      </c>
      <c r="F452" s="53" t="n">
        <v>692</v>
      </c>
      <c r="G452" s="55" t="n">
        <v>23631.8</v>
      </c>
      <c r="H452" s="55" t="n">
        <v>23317.5</v>
      </c>
      <c r="I452" s="55" t="n">
        <v>4650.400000000001</v>
      </c>
      <c r="J452" s="55" t="n">
        <v>4525.179999999999</v>
      </c>
      <c r="K452" s="53" t="n">
        <v>24</v>
      </c>
      <c r="L452" s="53" t="n">
        <v>23</v>
      </c>
      <c r="M452" s="53" t="n">
        <v>2</v>
      </c>
      <c r="N452" s="53" t="n">
        <v>15</v>
      </c>
      <c r="O452" s="53" t="n">
        <v>3</v>
      </c>
      <c r="P452" s="53" t="n">
        <v>16</v>
      </c>
    </row>
    <row r="453">
      <c r="A453" s="58" t="inlineStr">
        <is>
          <t>Klejdi Lamo</t>
        </is>
      </c>
      <c r="B453" s="58" t="inlineStr">
        <is>
          <t>Amplify</t>
        </is>
      </c>
      <c r="C453" s="58" t="inlineStr">
        <is>
          <t>New Belgium Brewing Company</t>
        </is>
      </c>
      <c r="D453" s="58" t="inlineStr">
        <is>
          <t>Fat Tire Family</t>
        </is>
      </c>
      <c r="E453" s="53" t="n">
        <v>132</v>
      </c>
      <c r="F453" s="53" t="n">
        <v>128</v>
      </c>
      <c r="G453" s="55" t="n">
        <v>4623.25</v>
      </c>
      <c r="H453" s="55" t="n">
        <v>4013.25</v>
      </c>
      <c r="I453" s="55" t="n">
        <v>1030.98</v>
      </c>
      <c r="J453" s="55" t="n">
        <v>873.11</v>
      </c>
      <c r="K453" s="53" t="n">
        <v>15</v>
      </c>
      <c r="L453" s="53" t="n">
        <v>13</v>
      </c>
      <c r="M453" s="53" t="n">
        <v>0</v>
      </c>
      <c r="N453" s="53" t="n">
        <v>0</v>
      </c>
      <c r="O453" s="53" t="n">
        <v>2</v>
      </c>
      <c r="P453" s="53" t="n">
        <v>4</v>
      </c>
    </row>
    <row r="454">
      <c r="A454" s="58" t="inlineStr">
        <is>
          <t>Klejdi Lamo</t>
        </is>
      </c>
      <c r="B454" s="58" t="inlineStr">
        <is>
          <t>Amplify</t>
        </is>
      </c>
      <c r="C454" s="58" t="inlineStr">
        <is>
          <t>New Belgium Brewing Company</t>
        </is>
      </c>
      <c r="D454" s="58" t="inlineStr">
        <is>
          <t>Kirin Ichiban</t>
        </is>
      </c>
      <c r="E454" s="53" t="n">
        <v>22</v>
      </c>
      <c r="F454" s="53" t="n">
        <v>26</v>
      </c>
      <c r="G454" s="55" t="n">
        <v>651</v>
      </c>
      <c r="H454" s="55" t="n">
        <v>714.1</v>
      </c>
      <c r="I454" s="55" t="n">
        <v>150.96</v>
      </c>
      <c r="J454" s="55" t="n">
        <v>194.92</v>
      </c>
      <c r="K454" s="53" t="n">
        <v>4</v>
      </c>
      <c r="L454" s="53" t="n">
        <v>5</v>
      </c>
      <c r="M454" s="53" t="n">
        <v>2</v>
      </c>
      <c r="N454" s="53" t="n">
        <v>7</v>
      </c>
      <c r="O454" s="53" t="n">
        <v>1</v>
      </c>
      <c r="P454" s="53" t="n">
        <v>5</v>
      </c>
    </row>
    <row r="455">
      <c r="A455" s="58" t="inlineStr">
        <is>
          <t>Klejdi Lamo</t>
        </is>
      </c>
      <c r="B455" s="58" t="inlineStr">
        <is>
          <t>Amplify</t>
        </is>
      </c>
      <c r="C455" s="58" t="inlineStr">
        <is>
          <t>New Belgium Brewing Company</t>
        </is>
      </c>
      <c r="D455" s="58" t="inlineStr">
        <is>
          <t>Voodoo Family</t>
        </is>
      </c>
      <c r="E455" s="53" t="n">
        <v>1118</v>
      </c>
      <c r="F455" s="53" t="n">
        <v>1176</v>
      </c>
      <c r="G455" s="55" t="n">
        <v>40254.60000000001</v>
      </c>
      <c r="H455" s="55" t="n">
        <v>42179.99999999999</v>
      </c>
      <c r="I455" s="55" t="n">
        <v>9985.540000000001</v>
      </c>
      <c r="J455" s="55" t="n">
        <v>10478.76</v>
      </c>
      <c r="K455" s="53" t="n">
        <v>27</v>
      </c>
      <c r="L455" s="53" t="n">
        <v>26</v>
      </c>
      <c r="M455" s="53" t="n">
        <v>0</v>
      </c>
      <c r="N455" s="53" t="n">
        <v>0</v>
      </c>
      <c r="O455" s="53" t="n">
        <v>1</v>
      </c>
      <c r="P455" s="53" t="n">
        <v>2</v>
      </c>
    </row>
    <row r="456">
      <c r="A456" s="58" t="inlineStr">
        <is>
          <t>Klejdi Lamo</t>
        </is>
      </c>
      <c r="B456" s="58" t="inlineStr">
        <is>
          <t>Amplify</t>
        </is>
      </c>
      <c r="C456" s="58" t="inlineStr">
        <is>
          <t>Sapporo</t>
        </is>
      </c>
      <c r="D456" s="58" t="inlineStr">
        <is>
          <t>Sapporo</t>
        </is>
      </c>
      <c r="E456" s="53" t="n">
        <v>227</v>
      </c>
      <c r="F456" s="53" t="n">
        <v>404</v>
      </c>
      <c r="G456" s="55" t="n">
        <v>5863.25</v>
      </c>
      <c r="H456" s="55" t="n">
        <v>10973.75</v>
      </c>
      <c r="I456" s="55" t="n">
        <v>1542.5</v>
      </c>
      <c r="J456" s="55" t="n">
        <v>2814.490000000001</v>
      </c>
      <c r="K456" s="53" t="n">
        <v>11</v>
      </c>
      <c r="L456" s="53" t="n">
        <v>15</v>
      </c>
      <c r="M456" s="53" t="n">
        <v>5</v>
      </c>
      <c r="N456" s="53" t="n">
        <v>38</v>
      </c>
      <c r="O456" s="53" t="n">
        <v>1</v>
      </c>
      <c r="P456" s="53" t="n">
        <v>4</v>
      </c>
    </row>
    <row r="457">
      <c r="A457" s="58" t="inlineStr">
        <is>
          <t>Klejdi Lamo</t>
        </is>
      </c>
      <c r="B457" s="58" t="inlineStr">
        <is>
          <t>Qualifier</t>
        </is>
      </c>
      <c r="C457" s="58" t="inlineStr">
        <is>
          <t>Boston Beer Company</t>
        </is>
      </c>
      <c r="D457" s="58" t="inlineStr">
        <is>
          <t>Truly</t>
        </is>
      </c>
      <c r="E457" s="53" t="n">
        <v>1598</v>
      </c>
      <c r="F457" s="53" t="n">
        <v>1002</v>
      </c>
      <c r="G457" s="55" t="n">
        <v>44310.2</v>
      </c>
      <c r="H457" s="55" t="n">
        <v>28622.09999999999</v>
      </c>
      <c r="I457" s="55" t="n">
        <v>8175.240000000001</v>
      </c>
      <c r="J457" s="55" t="n">
        <v>5970.239999999999</v>
      </c>
      <c r="K457" s="53" t="n">
        <v>21</v>
      </c>
      <c r="L457" s="53" t="n">
        <v>19</v>
      </c>
      <c r="M457" s="53" t="n">
        <v>1</v>
      </c>
      <c r="N457" s="53" t="n">
        <v>10</v>
      </c>
      <c r="O457" s="53" t="n">
        <v>3</v>
      </c>
      <c r="P457" s="53" t="n">
        <v>59</v>
      </c>
    </row>
    <row r="458">
      <c r="A458" s="58" t="inlineStr">
        <is>
          <t>Klejdi Lamo</t>
        </is>
      </c>
      <c r="B458" s="58" t="inlineStr">
        <is>
          <t>Qualifier</t>
        </is>
      </c>
      <c r="C458" s="58" t="inlineStr">
        <is>
          <t>Boston Beer Company</t>
        </is>
      </c>
      <c r="D458" s="58" t="inlineStr">
        <is>
          <t>Twisted Tea</t>
        </is>
      </c>
      <c r="E458" s="53" t="n">
        <v>3583</v>
      </c>
      <c r="F458" s="53" t="n">
        <v>2761</v>
      </c>
      <c r="G458" s="55" t="n">
        <v>104689.95</v>
      </c>
      <c r="H458" s="55" t="n">
        <v>79226.25</v>
      </c>
      <c r="I458" s="55" t="n">
        <v>25685.24999999999</v>
      </c>
      <c r="J458" s="55" t="n">
        <v>17871.48</v>
      </c>
      <c r="K458" s="53" t="n">
        <v>28</v>
      </c>
      <c r="L458" s="53" t="n">
        <v>27</v>
      </c>
      <c r="M458" s="53" t="n">
        <v>0</v>
      </c>
      <c r="N458" s="53" t="n">
        <v>0</v>
      </c>
      <c r="O458" s="53" t="n">
        <v>1</v>
      </c>
      <c r="P458" s="53" t="n">
        <v>5</v>
      </c>
    </row>
    <row r="459">
      <c r="A459" s="58" t="inlineStr">
        <is>
          <t>Klejdi Lamo</t>
        </is>
      </c>
      <c r="B459" s="58" t="inlineStr">
        <is>
          <t>Qualifier</t>
        </is>
      </c>
      <c r="C459" s="58" t="inlineStr">
        <is>
          <t>Constellation Brands</t>
        </is>
      </c>
      <c r="D459" s="58" t="inlineStr">
        <is>
          <t>Corona Extra</t>
        </is>
      </c>
      <c r="E459" s="53" t="n">
        <v>13839</v>
      </c>
      <c r="F459" s="53" t="n">
        <v>12756</v>
      </c>
      <c r="G459" s="55" t="n">
        <v>441429.05</v>
      </c>
      <c r="H459" s="55" t="n">
        <v>408914.9</v>
      </c>
      <c r="I459" s="55" t="n">
        <v>102905.81</v>
      </c>
      <c r="J459" s="55" t="n">
        <v>98175.89999999999</v>
      </c>
      <c r="K459" s="53" t="n">
        <v>28</v>
      </c>
      <c r="L459" s="53" t="n">
        <v>28</v>
      </c>
      <c r="M459" s="53" t="n">
        <v>0</v>
      </c>
      <c r="N459" s="53" t="n">
        <v>0</v>
      </c>
      <c r="O459" s="53" t="n">
        <v>0</v>
      </c>
      <c r="P459" s="53" t="n">
        <v>0</v>
      </c>
    </row>
    <row r="460">
      <c r="A460" s="58" t="inlineStr">
        <is>
          <t>Klejdi Lamo</t>
        </is>
      </c>
      <c r="B460" s="58" t="inlineStr">
        <is>
          <t>Qualifier</t>
        </is>
      </c>
      <c r="C460" s="58" t="inlineStr">
        <is>
          <t>Constellation Brands</t>
        </is>
      </c>
      <c r="D460" s="58" t="inlineStr">
        <is>
          <t>Modelo Especial</t>
        </is>
      </c>
      <c r="E460" s="53" t="n">
        <v>11681</v>
      </c>
      <c r="F460" s="53" t="n">
        <v>11973</v>
      </c>
      <c r="G460" s="55" t="n">
        <v>356344.3</v>
      </c>
      <c r="H460" s="55" t="n">
        <v>364986.85</v>
      </c>
      <c r="I460" s="55" t="n">
        <v>79438.17999999999</v>
      </c>
      <c r="J460" s="55" t="n">
        <v>84226.40999999997</v>
      </c>
      <c r="K460" s="53" t="n">
        <v>28</v>
      </c>
      <c r="L460" s="53" t="n">
        <v>28</v>
      </c>
      <c r="M460" s="53" t="n">
        <v>0</v>
      </c>
      <c r="N460" s="53" t="n">
        <v>0</v>
      </c>
      <c r="O460" s="53" t="n">
        <v>0</v>
      </c>
      <c r="P460" s="53" t="n">
        <v>0</v>
      </c>
    </row>
    <row r="461">
      <c r="A461" s="58" t="inlineStr">
        <is>
          <t>Klejdi Lamo</t>
        </is>
      </c>
      <c r="B461" s="58" t="inlineStr">
        <is>
          <t>Qualifier</t>
        </is>
      </c>
      <c r="C461" s="58" t="inlineStr">
        <is>
          <t>DG Yuengling Inc</t>
        </is>
      </c>
      <c r="D461" s="58" t="inlineStr">
        <is>
          <t>Yuengling Lager</t>
        </is>
      </c>
      <c r="E461" s="53" t="n">
        <v>4147</v>
      </c>
      <c r="F461" s="53" t="n">
        <v>4028</v>
      </c>
      <c r="G461" s="55" t="n">
        <v>92482.09999999999</v>
      </c>
      <c r="H461" s="55" t="n">
        <v>89228.64999999998</v>
      </c>
      <c r="I461" s="55" t="n">
        <v>24954.76</v>
      </c>
      <c r="J461" s="55" t="n">
        <v>23716.28</v>
      </c>
      <c r="K461" s="53" t="n">
        <v>28</v>
      </c>
      <c r="L461" s="53" t="n">
        <v>27</v>
      </c>
      <c r="M461" s="53" t="n">
        <v>0</v>
      </c>
      <c r="N461" s="53" t="n">
        <v>0</v>
      </c>
      <c r="O461" s="53" t="n">
        <v>1</v>
      </c>
      <c r="P461" s="53" t="n">
        <v>8</v>
      </c>
    </row>
    <row r="462">
      <c r="A462" s="58" t="inlineStr">
        <is>
          <t>Klejdi Lamo</t>
        </is>
      </c>
      <c r="B462" s="58" t="inlineStr">
        <is>
          <t>Qualifier</t>
        </is>
      </c>
      <c r="C462" s="58" t="inlineStr">
        <is>
          <t>Heineken USA</t>
        </is>
      </c>
      <c r="D462" s="58" t="inlineStr">
        <is>
          <t>Heineken USA</t>
        </is>
      </c>
      <c r="E462" s="53" t="n">
        <v>202</v>
      </c>
      <c r="F462" s="53" t="n">
        <v>101</v>
      </c>
      <c r="G462" s="55" t="n">
        <v>6377.9</v>
      </c>
      <c r="H462" s="55" t="n">
        <v>3247.9</v>
      </c>
      <c r="I462" s="55" t="n">
        <v>1601.22</v>
      </c>
      <c r="J462" s="55" t="n">
        <v>855.46</v>
      </c>
      <c r="K462" s="53" t="n">
        <v>2</v>
      </c>
      <c r="L462" s="53" t="n">
        <v>2</v>
      </c>
      <c r="M462" s="53" t="n">
        <v>0</v>
      </c>
      <c r="N462" s="53" t="n">
        <v>0</v>
      </c>
      <c r="O462" s="53" t="n">
        <v>0</v>
      </c>
      <c r="P462" s="53" t="n">
        <v>0</v>
      </c>
    </row>
    <row r="463">
      <c r="A463" s="58" t="inlineStr">
        <is>
          <t>Klejdi Lamo</t>
        </is>
      </c>
      <c r="B463" s="58" t="inlineStr">
        <is>
          <t>Qualifier</t>
        </is>
      </c>
      <c r="C463" s="58" t="inlineStr">
        <is>
          <t>Mark Anthony</t>
        </is>
      </c>
      <c r="D463" s="58" t="inlineStr">
        <is>
          <t>White Claw</t>
        </is>
      </c>
      <c r="E463" s="53" t="n">
        <v>9388</v>
      </c>
      <c r="F463" s="53" t="n">
        <v>8880</v>
      </c>
      <c r="G463" s="55" t="n">
        <v>288918.55</v>
      </c>
      <c r="H463" s="55" t="n">
        <v>279334.95</v>
      </c>
      <c r="I463" s="55" t="n">
        <v>56379.02</v>
      </c>
      <c r="J463" s="55" t="n">
        <v>54639.75999999999</v>
      </c>
      <c r="K463" s="53" t="n">
        <v>28</v>
      </c>
      <c r="L463" s="53" t="n">
        <v>28</v>
      </c>
      <c r="M463" s="53" t="n">
        <v>0</v>
      </c>
      <c r="N463" s="53" t="n">
        <v>0</v>
      </c>
      <c r="O463" s="53" t="n">
        <v>0</v>
      </c>
      <c r="P463" s="53" t="n">
        <v>0</v>
      </c>
    </row>
    <row r="464">
      <c r="A464" s="58" t="inlineStr">
        <is>
          <t>Klejdi Lamo</t>
        </is>
      </c>
      <c r="B464" s="58" t="inlineStr">
        <is>
          <t>Qualifier</t>
        </is>
      </c>
      <c r="C464" s="58" t="inlineStr">
        <is>
          <t>MolsonCoors Beverage Company</t>
        </is>
      </c>
      <c r="D464" s="58" t="inlineStr">
        <is>
          <t>Blue Moon</t>
        </is>
      </c>
      <c r="E464" s="53" t="n">
        <v>2212</v>
      </c>
      <c r="F464" s="53" t="n">
        <v>1905</v>
      </c>
      <c r="G464" s="55" t="n">
        <v>70583.60000000001</v>
      </c>
      <c r="H464" s="55" t="n">
        <v>61612.59999999999</v>
      </c>
      <c r="I464" s="55" t="n">
        <v>14913.06</v>
      </c>
      <c r="J464" s="55" t="n">
        <v>13412.27</v>
      </c>
      <c r="K464" s="53" t="n">
        <v>27</v>
      </c>
      <c r="L464" s="53" t="n">
        <v>27</v>
      </c>
      <c r="M464" s="53" t="n">
        <v>0</v>
      </c>
      <c r="N464" s="53" t="n">
        <v>0</v>
      </c>
      <c r="O464" s="53" t="n">
        <v>0</v>
      </c>
      <c r="P464" s="53" t="n">
        <v>0</v>
      </c>
    </row>
    <row r="465">
      <c r="A465" s="58" t="inlineStr">
        <is>
          <t>Klejdi Lamo</t>
        </is>
      </c>
      <c r="B465" s="58" t="inlineStr">
        <is>
          <t>Qualifier</t>
        </is>
      </c>
      <c r="C465" s="58" t="inlineStr">
        <is>
          <t>MolsonCoors Beverage Company</t>
        </is>
      </c>
      <c r="D465" s="58" t="inlineStr">
        <is>
          <t>Coors Light</t>
        </is>
      </c>
      <c r="E465" s="53" t="n">
        <v>12824</v>
      </c>
      <c r="F465" s="53" t="n">
        <v>11983</v>
      </c>
      <c r="G465" s="55" t="n">
        <v>273797.6</v>
      </c>
      <c r="H465" s="55" t="n">
        <v>263486.6</v>
      </c>
      <c r="I465" s="55" t="n">
        <v>70059.71999999999</v>
      </c>
      <c r="J465" s="55" t="n">
        <v>68640.3</v>
      </c>
      <c r="K465" s="53" t="n">
        <v>28</v>
      </c>
      <c r="L465" s="53" t="n">
        <v>28</v>
      </c>
      <c r="M465" s="53" t="n">
        <v>0</v>
      </c>
      <c r="N465" s="53" t="n">
        <v>0</v>
      </c>
      <c r="O465" s="53" t="n">
        <v>0</v>
      </c>
      <c r="P465" s="53" t="n">
        <v>0</v>
      </c>
    </row>
    <row r="466">
      <c r="A466" s="58" t="inlineStr">
        <is>
          <t>Klejdi Lamo</t>
        </is>
      </c>
      <c r="B466" s="58" t="inlineStr">
        <is>
          <t>Qualifier</t>
        </is>
      </c>
      <c r="C466" s="58" t="inlineStr">
        <is>
          <t>MolsonCoors Beverage Company</t>
        </is>
      </c>
      <c r="D466" s="58" t="inlineStr">
        <is>
          <t>Lite</t>
        </is>
      </c>
      <c r="E466" s="53" t="n">
        <v>15185</v>
      </c>
      <c r="F466" s="53" t="n">
        <v>14297</v>
      </c>
      <c r="G466" s="55" t="n">
        <v>327411.7</v>
      </c>
      <c r="H466" s="55" t="n">
        <v>316390.8</v>
      </c>
      <c r="I466" s="55" t="n">
        <v>75594.7</v>
      </c>
      <c r="J466" s="55" t="n">
        <v>74743.31</v>
      </c>
      <c r="K466" s="53" t="n">
        <v>28</v>
      </c>
      <c r="L466" s="53" t="n">
        <v>28</v>
      </c>
      <c r="M466" s="53" t="n">
        <v>0</v>
      </c>
      <c r="N466" s="53" t="n">
        <v>0</v>
      </c>
      <c r="O466" s="53" t="n">
        <v>0</v>
      </c>
      <c r="P466" s="53" t="n">
        <v>0</v>
      </c>
    </row>
    <row r="467">
      <c r="A467" s="58" t="inlineStr">
        <is>
          <t>Matt Powierski</t>
        </is>
      </c>
      <c r="B467" s="58" t="inlineStr">
        <is>
          <t>Amplify</t>
        </is>
      </c>
      <c r="C467" s="58" t="inlineStr">
        <is>
          <t>Bell's</t>
        </is>
      </c>
      <c r="D467" s="58" t="inlineStr">
        <is>
          <t>Bell's</t>
        </is>
      </c>
      <c r="E467" s="53" t="n">
        <v>3</v>
      </c>
      <c r="F467" s="53" t="n">
        <v>0</v>
      </c>
      <c r="G467" s="55" t="n">
        <v>97.55</v>
      </c>
      <c r="H467" s="55" t="n">
        <v>0</v>
      </c>
      <c r="I467" s="55" t="n">
        <v>29.49</v>
      </c>
      <c r="J467" s="55" t="n">
        <v>0</v>
      </c>
      <c r="K467" s="53" t="n">
        <v>1</v>
      </c>
      <c r="L467" s="53" t="n">
        <v>0</v>
      </c>
      <c r="M467" s="53" t="n">
        <v>0</v>
      </c>
      <c r="N467" s="53" t="n">
        <v>0</v>
      </c>
      <c r="O467" s="53" t="n">
        <v>1</v>
      </c>
      <c r="P467" s="53" t="n">
        <v>3</v>
      </c>
    </row>
    <row r="468">
      <c r="A468" s="58" t="inlineStr">
        <is>
          <t>Matt Powierski</t>
        </is>
      </c>
      <c r="B468" s="58" t="inlineStr">
        <is>
          <t>Amplify</t>
        </is>
      </c>
      <c r="C468" s="58" t="inlineStr">
        <is>
          <t>Boston Beer Company</t>
        </is>
      </c>
      <c r="D468" s="58" t="inlineStr">
        <is>
          <t>Dogfish Head Beer</t>
        </is>
      </c>
      <c r="E468" s="53" t="n">
        <v>215</v>
      </c>
      <c r="F468" s="53" t="n">
        <v>220</v>
      </c>
      <c r="G468" s="55" t="n">
        <v>8146.599999999999</v>
      </c>
      <c r="H468" s="55" t="n">
        <v>7784.200000000002</v>
      </c>
      <c r="I468" s="55" t="n">
        <v>2029.14</v>
      </c>
      <c r="J468" s="55" t="n">
        <v>1934.08</v>
      </c>
      <c r="K468" s="53" t="n">
        <v>19</v>
      </c>
      <c r="L468" s="53" t="n">
        <v>23</v>
      </c>
      <c r="M468" s="53" t="n">
        <v>6</v>
      </c>
      <c r="N468" s="53" t="n">
        <v>55</v>
      </c>
      <c r="O468" s="53" t="n">
        <v>2</v>
      </c>
      <c r="P468" s="53" t="n">
        <v>13</v>
      </c>
    </row>
    <row r="469">
      <c r="A469" s="58" t="inlineStr">
        <is>
          <t>Matt Powierski</t>
        </is>
      </c>
      <c r="B469" s="58" t="inlineStr">
        <is>
          <t>Amplify</t>
        </is>
      </c>
      <c r="C469" s="58" t="inlineStr">
        <is>
          <t>Boston Beer Company</t>
        </is>
      </c>
      <c r="D469" s="58" t="inlineStr">
        <is>
          <t>Dogfish Head Spirits</t>
        </is>
      </c>
      <c r="E469" s="53" t="n">
        <v>45</v>
      </c>
      <c r="F469" s="53" t="n">
        <v>42</v>
      </c>
      <c r="G469" s="55" t="n">
        <v>2457</v>
      </c>
      <c r="H469" s="55" t="n">
        <v>2072</v>
      </c>
      <c r="I469" s="55" t="n">
        <v>945.4499999999998</v>
      </c>
      <c r="J469" s="55" t="n">
        <v>711.26</v>
      </c>
      <c r="K469" s="53" t="n">
        <v>5</v>
      </c>
      <c r="L469" s="53" t="n">
        <v>4</v>
      </c>
      <c r="M469" s="53" t="n">
        <v>2</v>
      </c>
      <c r="N469" s="53" t="n">
        <v>20</v>
      </c>
      <c r="O469" s="53" t="n">
        <v>3</v>
      </c>
      <c r="P469" s="53" t="n">
        <v>16</v>
      </c>
    </row>
    <row r="470">
      <c r="A470" s="58" t="inlineStr">
        <is>
          <t>Matt Powierski</t>
        </is>
      </c>
      <c r="B470" s="58" t="inlineStr">
        <is>
          <t>Amplify</t>
        </is>
      </c>
      <c r="C470" s="58" t="inlineStr">
        <is>
          <t>Cape May</t>
        </is>
      </c>
      <c r="D470" s="58" t="inlineStr">
        <is>
          <t>Cape May</t>
        </is>
      </c>
      <c r="E470" s="53" t="n">
        <v>209</v>
      </c>
      <c r="F470" s="53" t="n">
        <v>241</v>
      </c>
      <c r="G470" s="55" t="n">
        <v>8832.5</v>
      </c>
      <c r="H470" s="55" t="n">
        <v>9946.199999999999</v>
      </c>
      <c r="I470" s="55" t="n">
        <v>2607.68</v>
      </c>
      <c r="J470" s="55" t="n">
        <v>2957.37</v>
      </c>
      <c r="K470" s="53" t="n">
        <v>8</v>
      </c>
      <c r="L470" s="53" t="n">
        <v>9</v>
      </c>
      <c r="M470" s="53" t="n">
        <v>3</v>
      </c>
      <c r="N470" s="53" t="n">
        <v>72</v>
      </c>
      <c r="O470" s="53" t="n">
        <v>2</v>
      </c>
      <c r="P470" s="53" t="n">
        <v>10</v>
      </c>
    </row>
    <row r="471">
      <c r="A471" s="58" t="inlineStr">
        <is>
          <t>Matt Powierski</t>
        </is>
      </c>
      <c r="B471" s="58" t="inlineStr">
        <is>
          <t>Amplify</t>
        </is>
      </c>
      <c r="C471" s="58" t="inlineStr">
        <is>
          <t>Constellation Brands</t>
        </is>
      </c>
      <c r="D471" s="58" t="inlineStr">
        <is>
          <t>Corona Premier</t>
        </is>
      </c>
      <c r="E471" s="53" t="n">
        <v>619</v>
      </c>
      <c r="F471" s="53" t="n">
        <v>656</v>
      </c>
      <c r="G471" s="55" t="n">
        <v>19331.7</v>
      </c>
      <c r="H471" s="55" t="n">
        <v>17836.75</v>
      </c>
      <c r="I471" s="55" t="n">
        <v>4201.31</v>
      </c>
      <c r="J471" s="55" t="n">
        <v>4547.01</v>
      </c>
      <c r="K471" s="53" t="n">
        <v>32</v>
      </c>
      <c r="L471" s="53" t="n">
        <v>33</v>
      </c>
      <c r="M471" s="53" t="n">
        <v>4</v>
      </c>
      <c r="N471" s="53" t="n">
        <v>83</v>
      </c>
      <c r="O471" s="53" t="n">
        <v>3</v>
      </c>
      <c r="P471" s="53" t="n">
        <v>20</v>
      </c>
    </row>
    <row r="472">
      <c r="A472" s="58" t="inlineStr">
        <is>
          <t>Matt Powierski</t>
        </is>
      </c>
      <c r="B472" s="58" t="inlineStr">
        <is>
          <t>Amplify</t>
        </is>
      </c>
      <c r="C472" s="58" t="inlineStr">
        <is>
          <t>Constellation Brands</t>
        </is>
      </c>
      <c r="D472" s="58" t="inlineStr">
        <is>
          <t>Modelo Chelada</t>
        </is>
      </c>
      <c r="E472" s="53" t="n">
        <v>1608</v>
      </c>
      <c r="F472" s="53" t="n">
        <v>2119</v>
      </c>
      <c r="G472" s="55" t="n">
        <v>49739.55</v>
      </c>
      <c r="H472" s="55" t="n">
        <v>65409.55</v>
      </c>
      <c r="I472" s="55" t="n">
        <v>12520.81</v>
      </c>
      <c r="J472" s="55" t="n">
        <v>16369.32</v>
      </c>
      <c r="K472" s="53" t="n">
        <v>32</v>
      </c>
      <c r="L472" s="53" t="n">
        <v>34</v>
      </c>
      <c r="M472" s="53" t="n">
        <v>2</v>
      </c>
      <c r="N472" s="53" t="n">
        <v>62</v>
      </c>
      <c r="O472" s="53" t="n">
        <v>0</v>
      </c>
      <c r="P472" s="53" t="n">
        <v>0</v>
      </c>
    </row>
    <row r="473">
      <c r="A473" s="58" t="inlineStr">
        <is>
          <t>Matt Powierski</t>
        </is>
      </c>
      <c r="B473" s="58" t="inlineStr">
        <is>
          <t>Amplify</t>
        </is>
      </c>
      <c r="C473" s="58" t="inlineStr">
        <is>
          <t>Constellation Brands</t>
        </is>
      </c>
      <c r="D473" s="58" t="inlineStr">
        <is>
          <t>Pacifico</t>
        </is>
      </c>
      <c r="E473" s="53" t="n">
        <v>651</v>
      </c>
      <c r="F473" s="53" t="n">
        <v>870</v>
      </c>
      <c r="G473" s="55" t="n">
        <v>20241.5</v>
      </c>
      <c r="H473" s="55" t="n">
        <v>27151</v>
      </c>
      <c r="I473" s="55" t="n">
        <v>4653.039999999999</v>
      </c>
      <c r="J473" s="55" t="n">
        <v>6266.370000000002</v>
      </c>
      <c r="K473" s="53" t="n">
        <v>27</v>
      </c>
      <c r="L473" s="53" t="n">
        <v>33</v>
      </c>
      <c r="M473" s="53" t="n">
        <v>6</v>
      </c>
      <c r="N473" s="53" t="n">
        <v>101</v>
      </c>
      <c r="O473" s="53" t="n">
        <v>0</v>
      </c>
      <c r="P473" s="53" t="n">
        <v>0</v>
      </c>
    </row>
    <row r="474">
      <c r="A474" s="58" t="inlineStr">
        <is>
          <t>Matt Powierski</t>
        </is>
      </c>
      <c r="B474" s="58" t="inlineStr">
        <is>
          <t>Amplify</t>
        </is>
      </c>
      <c r="C474" s="58" t="inlineStr">
        <is>
          <t>Constellation Brands</t>
        </is>
      </c>
      <c r="D474" s="58" t="inlineStr">
        <is>
          <t>Victoria</t>
        </is>
      </c>
      <c r="E474" s="53" t="n">
        <v>1033</v>
      </c>
      <c r="F474" s="53" t="n">
        <v>1177</v>
      </c>
      <c r="G474" s="55" t="n">
        <v>31279.8</v>
      </c>
      <c r="H474" s="55" t="n">
        <v>35647.5</v>
      </c>
      <c r="I474" s="55" t="n">
        <v>7397.949999999996</v>
      </c>
      <c r="J474" s="55" t="n">
        <v>8426.199999999999</v>
      </c>
      <c r="K474" s="53" t="n">
        <v>29</v>
      </c>
      <c r="L474" s="53" t="n">
        <v>29</v>
      </c>
      <c r="M474" s="53" t="n">
        <v>1</v>
      </c>
      <c r="N474" s="53" t="n">
        <v>22</v>
      </c>
      <c r="O474" s="53" t="n">
        <v>1</v>
      </c>
      <c r="P474" s="53" t="n">
        <v>2</v>
      </c>
    </row>
    <row r="475">
      <c r="A475" s="58" t="inlineStr">
        <is>
          <t>Matt Powierski</t>
        </is>
      </c>
      <c r="B475" s="58" t="inlineStr">
        <is>
          <t>Amplify</t>
        </is>
      </c>
      <c r="C475" s="58" t="inlineStr">
        <is>
          <t>DG Yuengling Inc</t>
        </is>
      </c>
      <c r="D475" s="58" t="inlineStr">
        <is>
          <t>Yuengling Flight</t>
        </is>
      </c>
      <c r="E475" s="53" t="n">
        <v>135</v>
      </c>
      <c r="F475" s="53" t="n">
        <v>112</v>
      </c>
      <c r="G475" s="55" t="n">
        <v>3273.65</v>
      </c>
      <c r="H475" s="55" t="n">
        <v>2636.25</v>
      </c>
      <c r="I475" s="55" t="n">
        <v>981.21</v>
      </c>
      <c r="J475" s="55" t="n">
        <v>777.37</v>
      </c>
      <c r="K475" s="53" t="n">
        <v>11</v>
      </c>
      <c r="L475" s="53" t="n">
        <v>10</v>
      </c>
      <c r="M475" s="53" t="n">
        <v>2</v>
      </c>
      <c r="N475" s="53" t="n">
        <v>9</v>
      </c>
      <c r="O475" s="53" t="n">
        <v>3</v>
      </c>
      <c r="P475" s="53" t="n">
        <v>12</v>
      </c>
    </row>
    <row r="476">
      <c r="A476" s="58" t="inlineStr">
        <is>
          <t>Matt Powierski</t>
        </is>
      </c>
      <c r="B476" s="58" t="inlineStr">
        <is>
          <t>Amplify</t>
        </is>
      </c>
      <c r="C476" s="58" t="inlineStr">
        <is>
          <t>DG Yuengling Inc</t>
        </is>
      </c>
      <c r="D476" s="58" t="inlineStr">
        <is>
          <t>Yuengling Light Lager</t>
        </is>
      </c>
      <c r="E476" s="53" t="n">
        <v>31</v>
      </c>
      <c r="F476" s="53" t="n">
        <v>39</v>
      </c>
      <c r="G476" s="55" t="n">
        <v>825</v>
      </c>
      <c r="H476" s="55" t="n">
        <v>1031.6</v>
      </c>
      <c r="I476" s="55" t="n">
        <v>241.6</v>
      </c>
      <c r="J476" s="55" t="n">
        <v>297.79</v>
      </c>
      <c r="K476" s="53" t="n">
        <v>8</v>
      </c>
      <c r="L476" s="53" t="n">
        <v>9</v>
      </c>
      <c r="M476" s="53" t="n">
        <v>4</v>
      </c>
      <c r="N476" s="53" t="n">
        <v>9</v>
      </c>
      <c r="O476" s="53" t="n">
        <v>3</v>
      </c>
      <c r="P476" s="53" t="n">
        <v>4</v>
      </c>
    </row>
    <row r="477">
      <c r="A477" s="58" t="inlineStr">
        <is>
          <t>Matt Powierski</t>
        </is>
      </c>
      <c r="B477" s="58" t="inlineStr">
        <is>
          <t>Amplify</t>
        </is>
      </c>
      <c r="C477" s="58" t="inlineStr">
        <is>
          <t>Heineken USA</t>
        </is>
      </c>
      <c r="D477" s="58" t="inlineStr">
        <is>
          <t>Heineken 0.0</t>
        </is>
      </c>
      <c r="E477" s="53" t="n">
        <v>576</v>
      </c>
      <c r="F477" s="53" t="n">
        <v>493</v>
      </c>
      <c r="G477" s="55" t="n">
        <v>19160.3</v>
      </c>
      <c r="H477" s="55" t="n">
        <v>16559.9</v>
      </c>
      <c r="I477" s="55" t="n">
        <v>5071.000000000001</v>
      </c>
      <c r="J477" s="55" t="n">
        <v>4379.800000000001</v>
      </c>
      <c r="K477" s="53" t="n">
        <v>37</v>
      </c>
      <c r="L477" s="53" t="n">
        <v>42</v>
      </c>
      <c r="M477" s="53" t="n">
        <v>7</v>
      </c>
      <c r="N477" s="53" t="n">
        <v>37</v>
      </c>
      <c r="O477" s="53" t="n">
        <v>2</v>
      </c>
      <c r="P477" s="53" t="n">
        <v>12</v>
      </c>
    </row>
    <row r="478">
      <c r="A478" s="58" t="inlineStr">
        <is>
          <t>Matt Powierski</t>
        </is>
      </c>
      <c r="B478" s="58" t="inlineStr">
        <is>
          <t>Amplify</t>
        </is>
      </c>
      <c r="C478" s="58" t="inlineStr">
        <is>
          <t>Heineken USA</t>
        </is>
      </c>
      <c r="D478" s="58" t="inlineStr">
        <is>
          <t>Heineken Light</t>
        </is>
      </c>
      <c r="E478" s="53" t="n">
        <v>374</v>
      </c>
      <c r="F478" s="53" t="n">
        <v>387</v>
      </c>
      <c r="G478" s="55" t="n">
        <v>11729.6</v>
      </c>
      <c r="H478" s="55" t="n">
        <v>12070.75</v>
      </c>
      <c r="I478" s="55" t="n">
        <v>2838.89</v>
      </c>
      <c r="J478" s="55" t="n">
        <v>2870.219999999999</v>
      </c>
      <c r="K478" s="53" t="n">
        <v>21</v>
      </c>
      <c r="L478" s="53" t="n">
        <v>26</v>
      </c>
      <c r="M478" s="53" t="n">
        <v>9</v>
      </c>
      <c r="N478" s="53" t="n">
        <v>91</v>
      </c>
      <c r="O478" s="53" t="n">
        <v>4</v>
      </c>
      <c r="P478" s="53" t="n">
        <v>24</v>
      </c>
    </row>
    <row r="479">
      <c r="A479" s="58" t="inlineStr">
        <is>
          <t>Matt Powierski</t>
        </is>
      </c>
      <c r="B479" s="58" t="inlineStr">
        <is>
          <t>Amplify</t>
        </is>
      </c>
      <c r="C479" s="58" t="inlineStr">
        <is>
          <t>Mark Anthony</t>
        </is>
      </c>
      <c r="D479" s="58" t="inlineStr">
        <is>
          <t>Cayman Jack</t>
        </is>
      </c>
      <c r="E479" s="53" t="n">
        <v>831</v>
      </c>
      <c r="F479" s="53" t="n">
        <v>1045</v>
      </c>
      <c r="G479" s="55" t="n">
        <v>26216.25</v>
      </c>
      <c r="H479" s="55" t="n">
        <v>32958.75</v>
      </c>
      <c r="I479" s="55" t="n">
        <v>6033.51</v>
      </c>
      <c r="J479" s="55" t="n">
        <v>7578.55</v>
      </c>
      <c r="K479" s="53" t="n">
        <v>24</v>
      </c>
      <c r="L479" s="53" t="n">
        <v>29</v>
      </c>
      <c r="M479" s="53" t="n">
        <v>7</v>
      </c>
      <c r="N479" s="53" t="n">
        <v>93</v>
      </c>
      <c r="O479" s="53" t="n">
        <v>2</v>
      </c>
      <c r="P479" s="53" t="n">
        <v>38</v>
      </c>
    </row>
    <row r="480">
      <c r="A480" s="58" t="inlineStr">
        <is>
          <t>Matt Powierski</t>
        </is>
      </c>
      <c r="B480" s="58" t="inlineStr">
        <is>
          <t>Amplify</t>
        </is>
      </c>
      <c r="C480" s="58" t="inlineStr">
        <is>
          <t>Mark Anthony</t>
        </is>
      </c>
      <c r="D480" s="58" t="inlineStr">
        <is>
          <t>Mike's Harder</t>
        </is>
      </c>
      <c r="E480" s="53" t="n">
        <v>198</v>
      </c>
      <c r="F480" s="53" t="n">
        <v>164</v>
      </c>
      <c r="G480" s="55" t="n">
        <v>5446.5</v>
      </c>
      <c r="H480" s="55" t="n">
        <v>4807</v>
      </c>
      <c r="I480" s="55" t="n">
        <v>1185.76</v>
      </c>
      <c r="J480" s="55" t="n">
        <v>1015.33</v>
      </c>
      <c r="K480" s="53" t="n">
        <v>18</v>
      </c>
      <c r="L480" s="53" t="n">
        <v>16</v>
      </c>
      <c r="M480" s="53" t="n">
        <v>2</v>
      </c>
      <c r="N480" s="53" t="n">
        <v>16</v>
      </c>
      <c r="O480" s="53" t="n">
        <v>4</v>
      </c>
      <c r="P480" s="53" t="n">
        <v>31</v>
      </c>
    </row>
    <row r="481">
      <c r="A481" s="58" t="inlineStr">
        <is>
          <t>Matt Powierski</t>
        </is>
      </c>
      <c r="B481" s="58" t="inlineStr">
        <is>
          <t>Amplify</t>
        </is>
      </c>
      <c r="C481" s="58" t="inlineStr">
        <is>
          <t>Mark Anthony</t>
        </is>
      </c>
      <c r="D481" s="58" t="inlineStr">
        <is>
          <t>Mxd Cocktails</t>
        </is>
      </c>
      <c r="E481" s="53" t="n">
        <v>22</v>
      </c>
      <c r="F481" s="53" t="n">
        <v>48</v>
      </c>
      <c r="G481" s="55" t="n">
        <v>547.9</v>
      </c>
      <c r="H481" s="55" t="n">
        <v>1152</v>
      </c>
      <c r="I481" s="55" t="n">
        <v>106.07</v>
      </c>
      <c r="J481" s="55" t="n">
        <v>216.45</v>
      </c>
      <c r="K481" s="53" t="n">
        <v>3</v>
      </c>
      <c r="L481" s="53" t="n">
        <v>4</v>
      </c>
      <c r="M481" s="53" t="n">
        <v>2</v>
      </c>
      <c r="N481" s="53" t="n">
        <v>16</v>
      </c>
      <c r="O481" s="53" t="n">
        <v>1</v>
      </c>
      <c r="P481" s="53" t="n">
        <v>1</v>
      </c>
    </row>
    <row r="482">
      <c r="A482" s="58" t="inlineStr">
        <is>
          <t>Matt Powierski</t>
        </is>
      </c>
      <c r="B482" s="58" t="inlineStr">
        <is>
          <t>Amplify</t>
        </is>
      </c>
      <c r="C482" s="58" t="inlineStr">
        <is>
          <t>MolsonCoors Beverage Company</t>
        </is>
      </c>
      <c r="D482" s="58" t="inlineStr">
        <is>
          <t>Coors</t>
        </is>
      </c>
      <c r="E482" s="53" t="n">
        <v>1703</v>
      </c>
      <c r="F482" s="53" t="n">
        <v>1857</v>
      </c>
      <c r="G482" s="55" t="n">
        <v>32188.5</v>
      </c>
      <c r="H482" s="55" t="n">
        <v>36839.2</v>
      </c>
      <c r="I482" s="55" t="n">
        <v>6946.910000000002</v>
      </c>
      <c r="J482" s="55" t="n">
        <v>8338.84</v>
      </c>
      <c r="K482" s="53" t="n">
        <v>32</v>
      </c>
      <c r="L482" s="53" t="n">
        <v>35</v>
      </c>
      <c r="M482" s="53" t="n">
        <v>4</v>
      </c>
      <c r="N482" s="53" t="n">
        <v>123</v>
      </c>
      <c r="O482" s="53" t="n">
        <v>1</v>
      </c>
      <c r="P482" s="53" t="n">
        <v>5</v>
      </c>
    </row>
    <row r="483">
      <c r="A483" s="58" t="inlineStr">
        <is>
          <t>Matt Powierski</t>
        </is>
      </c>
      <c r="B483" s="58" t="inlineStr">
        <is>
          <t>Amplify</t>
        </is>
      </c>
      <c r="C483" s="58" t="inlineStr">
        <is>
          <t>MolsonCoors Beverage Company</t>
        </is>
      </c>
      <c r="D483" s="58" t="inlineStr">
        <is>
          <t>Fever Tree</t>
        </is>
      </c>
      <c r="E483" s="53" t="n">
        <v>36</v>
      </c>
      <c r="F483" s="53" t="n">
        <v>44</v>
      </c>
      <c r="G483" s="55" t="n">
        <v>1562.6</v>
      </c>
      <c r="H483" s="55" t="n">
        <v>1953</v>
      </c>
      <c r="I483" s="55" t="n">
        <v>484.77</v>
      </c>
      <c r="J483" s="55" t="n">
        <v>647.4100000000001</v>
      </c>
      <c r="K483" s="53" t="n">
        <v>7</v>
      </c>
      <c r="L483" s="53" t="n">
        <v>6</v>
      </c>
      <c r="M483" s="53" t="n">
        <v>1</v>
      </c>
      <c r="N483" s="53" t="n">
        <v>19</v>
      </c>
      <c r="O483" s="53" t="n">
        <v>2</v>
      </c>
      <c r="P483" s="53" t="n">
        <v>9</v>
      </c>
    </row>
    <row r="484">
      <c r="A484" s="58" t="inlineStr">
        <is>
          <t>Matt Powierski</t>
        </is>
      </c>
      <c r="B484" s="58" t="inlineStr">
        <is>
          <t>Amplify</t>
        </is>
      </c>
      <c r="C484" s="58" t="inlineStr">
        <is>
          <t>MolsonCoors Beverage Company</t>
        </is>
      </c>
      <c r="D484" s="58" t="inlineStr">
        <is>
          <t>Peroni</t>
        </is>
      </c>
      <c r="E484" s="53" t="n">
        <v>1000</v>
      </c>
      <c r="F484" s="53" t="n">
        <v>1168</v>
      </c>
      <c r="G484" s="55" t="n">
        <v>34245.8</v>
      </c>
      <c r="H484" s="55" t="n">
        <v>39346.90000000001</v>
      </c>
      <c r="I484" s="55" t="n">
        <v>6721.550000000003</v>
      </c>
      <c r="J484" s="55" t="n">
        <v>7510.230000000002</v>
      </c>
      <c r="K484" s="53" t="n">
        <v>35</v>
      </c>
      <c r="L484" s="53" t="n">
        <v>35</v>
      </c>
      <c r="M484" s="53" t="n">
        <v>4</v>
      </c>
      <c r="N484" s="53" t="n">
        <v>142</v>
      </c>
      <c r="O484" s="53" t="n">
        <v>4</v>
      </c>
      <c r="P484" s="53" t="n">
        <v>13</v>
      </c>
    </row>
    <row r="485">
      <c r="A485" s="58" t="inlineStr">
        <is>
          <t>Matt Powierski</t>
        </is>
      </c>
      <c r="B485" s="58" t="inlineStr">
        <is>
          <t>Amplify</t>
        </is>
      </c>
      <c r="C485" s="58" t="inlineStr">
        <is>
          <t>New Belgium Brewing Company</t>
        </is>
      </c>
      <c r="D485" s="58" t="inlineStr">
        <is>
          <t>Fat Tire Family</t>
        </is>
      </c>
      <c r="E485" s="53" t="n">
        <v>33</v>
      </c>
      <c r="F485" s="53" t="n">
        <v>28</v>
      </c>
      <c r="G485" s="55" t="n">
        <v>1121.75</v>
      </c>
      <c r="H485" s="55" t="n">
        <v>937.5</v>
      </c>
      <c r="I485" s="55" t="n">
        <v>311.26</v>
      </c>
      <c r="J485" s="55" t="n">
        <v>212.6699999999999</v>
      </c>
      <c r="K485" s="53" t="n">
        <v>13</v>
      </c>
      <c r="L485" s="53" t="n">
        <v>11</v>
      </c>
      <c r="M485" s="53" t="n">
        <v>4</v>
      </c>
      <c r="N485" s="53" t="n">
        <v>6</v>
      </c>
      <c r="O485" s="53" t="n">
        <v>6</v>
      </c>
      <c r="P485" s="53" t="n">
        <v>12</v>
      </c>
    </row>
    <row r="486">
      <c r="A486" s="58" t="inlineStr">
        <is>
          <t>Matt Powierski</t>
        </is>
      </c>
      <c r="B486" s="58" t="inlineStr">
        <is>
          <t>Amplify</t>
        </is>
      </c>
      <c r="C486" s="58" t="inlineStr">
        <is>
          <t>New Belgium Brewing Company</t>
        </is>
      </c>
      <c r="D486" s="58" t="inlineStr">
        <is>
          <t>Kirin Ichiban</t>
        </is>
      </c>
      <c r="E486" s="53" t="n">
        <v>47</v>
      </c>
      <c r="F486" s="53" t="n">
        <v>47</v>
      </c>
      <c r="G486" s="55" t="n">
        <v>1183.5</v>
      </c>
      <c r="H486" s="55" t="n">
        <v>1228.5</v>
      </c>
      <c r="I486" s="55" t="n">
        <v>222.6</v>
      </c>
      <c r="J486" s="55" t="n">
        <v>241</v>
      </c>
      <c r="K486" s="53" t="n">
        <v>1</v>
      </c>
      <c r="L486" s="53" t="n">
        <v>2</v>
      </c>
      <c r="M486" s="53" t="n">
        <v>1</v>
      </c>
      <c r="N486" s="53" t="n">
        <v>3</v>
      </c>
      <c r="O486" s="53" t="n">
        <v>0</v>
      </c>
      <c r="P486" s="53" t="n">
        <v>0</v>
      </c>
    </row>
    <row r="487">
      <c r="A487" s="58" t="inlineStr">
        <is>
          <t>Matt Powierski</t>
        </is>
      </c>
      <c r="B487" s="58" t="inlineStr">
        <is>
          <t>Amplify</t>
        </is>
      </c>
      <c r="C487" s="58" t="inlineStr">
        <is>
          <t>New Belgium Brewing Company</t>
        </is>
      </c>
      <c r="D487" s="58" t="inlineStr">
        <is>
          <t>Voodoo Family</t>
        </is>
      </c>
      <c r="E487" s="53" t="n">
        <v>482</v>
      </c>
      <c r="F487" s="53" t="n">
        <v>594</v>
      </c>
      <c r="G487" s="55" t="n">
        <v>17610.7</v>
      </c>
      <c r="H487" s="55" t="n">
        <v>21666.5</v>
      </c>
      <c r="I487" s="55" t="n">
        <v>4525.53</v>
      </c>
      <c r="J487" s="55" t="n">
        <v>5572.230000000001</v>
      </c>
      <c r="K487" s="53" t="n">
        <v>23</v>
      </c>
      <c r="L487" s="53" t="n">
        <v>27</v>
      </c>
      <c r="M487" s="53" t="n">
        <v>5</v>
      </c>
      <c r="N487" s="53" t="n">
        <v>85</v>
      </c>
      <c r="O487" s="53" t="n">
        <v>1</v>
      </c>
      <c r="P487" s="53" t="n">
        <v>1</v>
      </c>
    </row>
    <row r="488">
      <c r="A488" s="58" t="inlineStr">
        <is>
          <t>Matt Powierski</t>
        </is>
      </c>
      <c r="B488" s="58" t="inlineStr">
        <is>
          <t>Amplify</t>
        </is>
      </c>
      <c r="C488" s="58" t="inlineStr">
        <is>
          <t>Sapporo</t>
        </is>
      </c>
      <c r="D488" s="58" t="inlineStr">
        <is>
          <t>Sapporo</t>
        </is>
      </c>
      <c r="E488" s="53" t="n">
        <v>643</v>
      </c>
      <c r="F488" s="53" t="n">
        <v>884</v>
      </c>
      <c r="G488" s="55" t="n">
        <v>18622.5</v>
      </c>
      <c r="H488" s="55" t="n">
        <v>25120.5</v>
      </c>
      <c r="I488" s="55" t="n">
        <v>4763.79</v>
      </c>
      <c r="J488" s="55" t="n">
        <v>6298.299999999999</v>
      </c>
      <c r="K488" s="53" t="n">
        <v>29</v>
      </c>
      <c r="L488" s="53" t="n">
        <v>31</v>
      </c>
      <c r="M488" s="53" t="n">
        <v>3</v>
      </c>
      <c r="N488" s="53" t="n">
        <v>19</v>
      </c>
      <c r="O488" s="53" t="n">
        <v>1</v>
      </c>
      <c r="P488" s="53" t="n">
        <v>9</v>
      </c>
    </row>
    <row r="489">
      <c r="A489" s="58" t="inlineStr">
        <is>
          <t>Matt Powierski</t>
        </is>
      </c>
      <c r="B489" s="58" t="inlineStr">
        <is>
          <t>Qualifier</t>
        </is>
      </c>
      <c r="C489" s="58" t="inlineStr">
        <is>
          <t>Boston Beer Company</t>
        </is>
      </c>
      <c r="D489" s="58" t="inlineStr">
        <is>
          <t>Truly</t>
        </is>
      </c>
      <c r="E489" s="53" t="n">
        <v>560</v>
      </c>
      <c r="F489" s="53" t="n">
        <v>362</v>
      </c>
      <c r="G489" s="55" t="n">
        <v>16039.85</v>
      </c>
      <c r="H489" s="55" t="n">
        <v>10586.4</v>
      </c>
      <c r="I489" s="55" t="n">
        <v>3373.21</v>
      </c>
      <c r="J489" s="55" t="n">
        <v>2384.76</v>
      </c>
      <c r="K489" s="53" t="n">
        <v>18</v>
      </c>
      <c r="L489" s="53" t="n">
        <v>17</v>
      </c>
      <c r="M489" s="53" t="n">
        <v>5</v>
      </c>
      <c r="N489" s="53" t="n">
        <v>76</v>
      </c>
      <c r="O489" s="53" t="n">
        <v>6</v>
      </c>
      <c r="P489" s="53" t="n">
        <v>171</v>
      </c>
    </row>
    <row r="490">
      <c r="A490" s="58" t="inlineStr">
        <is>
          <t>Matt Powierski</t>
        </is>
      </c>
      <c r="B490" s="58" t="inlineStr">
        <is>
          <t>Qualifier</t>
        </is>
      </c>
      <c r="C490" s="58" t="inlineStr">
        <is>
          <t>Boston Beer Company</t>
        </is>
      </c>
      <c r="D490" s="58" t="inlineStr">
        <is>
          <t>Twisted Tea</t>
        </is>
      </c>
      <c r="E490" s="53" t="n">
        <v>1827</v>
      </c>
      <c r="F490" s="53" t="n">
        <v>1643</v>
      </c>
      <c r="G490" s="55" t="n">
        <v>53272.75</v>
      </c>
      <c r="H490" s="55" t="n">
        <v>48280.5</v>
      </c>
      <c r="I490" s="55" t="n">
        <v>13548.65</v>
      </c>
      <c r="J490" s="55" t="n">
        <v>12229.39</v>
      </c>
      <c r="K490" s="53" t="n">
        <v>35</v>
      </c>
      <c r="L490" s="53" t="n">
        <v>36</v>
      </c>
      <c r="M490" s="53" t="n">
        <v>4</v>
      </c>
      <c r="N490" s="53" t="n">
        <v>116</v>
      </c>
      <c r="O490" s="53" t="n">
        <v>3</v>
      </c>
      <c r="P490" s="53" t="n">
        <v>19</v>
      </c>
    </row>
    <row r="491">
      <c r="A491" s="58" t="inlineStr">
        <is>
          <t>Matt Powierski</t>
        </is>
      </c>
      <c r="B491" s="58" t="inlineStr">
        <is>
          <t>Qualifier</t>
        </is>
      </c>
      <c r="C491" s="58" t="inlineStr">
        <is>
          <t>Constellation Brands</t>
        </is>
      </c>
      <c r="D491" s="58" t="inlineStr">
        <is>
          <t>Corona Extra</t>
        </is>
      </c>
      <c r="E491" s="53" t="n">
        <v>18754</v>
      </c>
      <c r="F491" s="53" t="n">
        <v>18670</v>
      </c>
      <c r="G491" s="55" t="n">
        <v>610589.9500000002</v>
      </c>
      <c r="H491" s="55" t="n">
        <v>612450.2999999999</v>
      </c>
      <c r="I491" s="55" t="n">
        <v>146054.07</v>
      </c>
      <c r="J491" s="55" t="n">
        <v>150766.74</v>
      </c>
      <c r="K491" s="53" t="n">
        <v>54</v>
      </c>
      <c r="L491" s="53" t="n">
        <v>56</v>
      </c>
      <c r="M491" s="53" t="n">
        <v>4</v>
      </c>
      <c r="N491" s="53" t="n">
        <v>456</v>
      </c>
      <c r="O491" s="53" t="n">
        <v>2</v>
      </c>
      <c r="P491" s="53" t="n">
        <v>55</v>
      </c>
    </row>
    <row r="492">
      <c r="A492" s="58" t="inlineStr">
        <is>
          <t>Matt Powierski</t>
        </is>
      </c>
      <c r="B492" s="58" t="inlineStr">
        <is>
          <t>Qualifier</t>
        </is>
      </c>
      <c r="C492" s="58" t="inlineStr">
        <is>
          <t>Constellation Brands</t>
        </is>
      </c>
      <c r="D492" s="58" t="inlineStr">
        <is>
          <t>Modelo Especial</t>
        </is>
      </c>
      <c r="E492" s="53" t="n">
        <v>14019</v>
      </c>
      <c r="F492" s="53" t="n">
        <v>14402</v>
      </c>
      <c r="G492" s="55" t="n">
        <v>433643.35</v>
      </c>
      <c r="H492" s="55" t="n">
        <v>445141.0999999999</v>
      </c>
      <c r="I492" s="55" t="n">
        <v>97957.43000000002</v>
      </c>
      <c r="J492" s="55" t="n">
        <v>104559.02</v>
      </c>
      <c r="K492" s="53" t="n">
        <v>48</v>
      </c>
      <c r="L492" s="53" t="n">
        <v>52</v>
      </c>
      <c r="M492" s="53" t="n">
        <v>5</v>
      </c>
      <c r="N492" s="53" t="n">
        <v>552</v>
      </c>
      <c r="O492" s="53" t="n">
        <v>1</v>
      </c>
      <c r="P492" s="53" t="n">
        <v>5</v>
      </c>
    </row>
    <row r="493">
      <c r="A493" s="58" t="inlineStr">
        <is>
          <t>Matt Powierski</t>
        </is>
      </c>
      <c r="B493" s="58" t="inlineStr">
        <is>
          <t>Qualifier</t>
        </is>
      </c>
      <c r="C493" s="58" t="inlineStr">
        <is>
          <t>DG Yuengling Inc</t>
        </is>
      </c>
      <c r="D493" s="58" t="inlineStr">
        <is>
          <t>Yuengling Lager</t>
        </is>
      </c>
      <c r="E493" s="53" t="n">
        <v>1298</v>
      </c>
      <c r="F493" s="53" t="n">
        <v>1439</v>
      </c>
      <c r="G493" s="55" t="n">
        <v>29000.5</v>
      </c>
      <c r="H493" s="55" t="n">
        <v>31575</v>
      </c>
      <c r="I493" s="55" t="n">
        <v>8337.43</v>
      </c>
      <c r="J493" s="55" t="n">
        <v>8849.799999999999</v>
      </c>
      <c r="K493" s="53" t="n">
        <v>33</v>
      </c>
      <c r="L493" s="53" t="n">
        <v>41</v>
      </c>
      <c r="M493" s="53" t="n">
        <v>9</v>
      </c>
      <c r="N493" s="53" t="n">
        <v>128</v>
      </c>
      <c r="O493" s="53" t="n">
        <v>1</v>
      </c>
      <c r="P493" s="53" t="n">
        <v>3</v>
      </c>
    </row>
    <row r="494">
      <c r="A494" s="58" t="inlineStr">
        <is>
          <t>Matt Powierski</t>
        </is>
      </c>
      <c r="B494" s="58" t="inlineStr">
        <is>
          <t>Qualifier</t>
        </is>
      </c>
      <c r="C494" s="58" t="inlineStr">
        <is>
          <t>Heineken USA</t>
        </is>
      </c>
      <c r="D494" s="58" t="inlineStr">
        <is>
          <t>Heineken USA</t>
        </is>
      </c>
      <c r="E494" s="53" t="n">
        <v>7326</v>
      </c>
      <c r="F494" s="53" t="n">
        <v>6416</v>
      </c>
      <c r="G494" s="55" t="n">
        <v>228734.35</v>
      </c>
      <c r="H494" s="55" t="n">
        <v>199044.4</v>
      </c>
      <c r="I494" s="55" t="n">
        <v>55426.03999999999</v>
      </c>
      <c r="J494" s="55" t="n">
        <v>47859.21999999999</v>
      </c>
      <c r="K494" s="53" t="n">
        <v>51</v>
      </c>
      <c r="L494" s="53" t="n">
        <v>54</v>
      </c>
      <c r="M494" s="53" t="n">
        <v>5</v>
      </c>
      <c r="N494" s="53" t="n">
        <v>244</v>
      </c>
      <c r="O494" s="53" t="n">
        <v>2</v>
      </c>
      <c r="P494" s="53" t="n">
        <v>8</v>
      </c>
    </row>
    <row r="495">
      <c r="A495" s="58" t="inlineStr">
        <is>
          <t>Matt Powierski</t>
        </is>
      </c>
      <c r="B495" s="58" t="inlineStr">
        <is>
          <t>Qualifier</t>
        </is>
      </c>
      <c r="C495" s="58" t="inlineStr">
        <is>
          <t>Mark Anthony</t>
        </is>
      </c>
      <c r="D495" s="58" t="inlineStr">
        <is>
          <t>White Claw</t>
        </is>
      </c>
      <c r="E495" s="53" t="n">
        <v>4473</v>
      </c>
      <c r="F495" s="53" t="n">
        <v>4437</v>
      </c>
      <c r="G495" s="55" t="n">
        <v>144140.7</v>
      </c>
      <c r="H495" s="55" t="n">
        <v>148241.1</v>
      </c>
      <c r="I495" s="55" t="n">
        <v>31635.11</v>
      </c>
      <c r="J495" s="55" t="n">
        <v>32505.46</v>
      </c>
      <c r="K495" s="53" t="n">
        <v>37</v>
      </c>
      <c r="L495" s="53" t="n">
        <v>39</v>
      </c>
      <c r="M495" s="53" t="n">
        <v>3</v>
      </c>
      <c r="N495" s="53" t="n">
        <v>157</v>
      </c>
      <c r="O495" s="53" t="n">
        <v>1</v>
      </c>
      <c r="P495" s="53" t="n">
        <v>3</v>
      </c>
    </row>
    <row r="496">
      <c r="A496" s="58" t="inlineStr">
        <is>
          <t>Matt Powierski</t>
        </is>
      </c>
      <c r="B496" s="58" t="inlineStr">
        <is>
          <t>Qualifier</t>
        </is>
      </c>
      <c r="C496" s="58" t="inlineStr">
        <is>
          <t>MolsonCoors Beverage Company</t>
        </is>
      </c>
      <c r="D496" s="58" t="inlineStr">
        <is>
          <t>Blue Moon</t>
        </is>
      </c>
      <c r="E496" s="53" t="n">
        <v>1328</v>
      </c>
      <c r="F496" s="53" t="n">
        <v>1276</v>
      </c>
      <c r="G496" s="55" t="n">
        <v>45752.3</v>
      </c>
      <c r="H496" s="55" t="n">
        <v>42538.5</v>
      </c>
      <c r="I496" s="55" t="n">
        <v>11012.24</v>
      </c>
      <c r="J496" s="55" t="n">
        <v>10090.61</v>
      </c>
      <c r="K496" s="53" t="n">
        <v>42</v>
      </c>
      <c r="L496" s="53" t="n">
        <v>43</v>
      </c>
      <c r="M496" s="53" t="n">
        <v>5</v>
      </c>
      <c r="N496" s="53" t="n">
        <v>120</v>
      </c>
      <c r="O496" s="53" t="n">
        <v>4</v>
      </c>
      <c r="P496" s="53" t="n">
        <v>24</v>
      </c>
    </row>
    <row r="497">
      <c r="A497" s="58" t="inlineStr">
        <is>
          <t>Matt Powierski</t>
        </is>
      </c>
      <c r="B497" s="58" t="inlineStr">
        <is>
          <t>Qualifier</t>
        </is>
      </c>
      <c r="C497" s="58" t="inlineStr">
        <is>
          <t>MolsonCoors Beverage Company</t>
        </is>
      </c>
      <c r="D497" s="58" t="inlineStr">
        <is>
          <t>Coors Light</t>
        </is>
      </c>
      <c r="E497" s="53" t="n">
        <v>11633</v>
      </c>
      <c r="F497" s="53" t="n">
        <v>10371</v>
      </c>
      <c r="G497" s="55" t="n">
        <v>233002.7</v>
      </c>
      <c r="H497" s="55" t="n">
        <v>213320.8499999999</v>
      </c>
      <c r="I497" s="55" t="n">
        <v>54499.40999999999</v>
      </c>
      <c r="J497" s="55" t="n">
        <v>51054.16</v>
      </c>
      <c r="K497" s="53" t="n">
        <v>49</v>
      </c>
      <c r="L497" s="53" t="n">
        <v>52</v>
      </c>
      <c r="M497" s="53" t="n">
        <v>3</v>
      </c>
      <c r="N497" s="53" t="n">
        <v>481</v>
      </c>
      <c r="O497" s="53" t="n">
        <v>0</v>
      </c>
      <c r="P497" s="53" t="n">
        <v>0</v>
      </c>
    </row>
    <row r="498">
      <c r="A498" s="58" t="inlineStr">
        <is>
          <t>Matt Powierski</t>
        </is>
      </c>
      <c r="B498" s="58" t="inlineStr">
        <is>
          <t>Qualifier</t>
        </is>
      </c>
      <c r="C498" s="58" t="inlineStr">
        <is>
          <t>MolsonCoors Beverage Company</t>
        </is>
      </c>
      <c r="D498" s="58" t="inlineStr">
        <is>
          <t>Lite</t>
        </is>
      </c>
      <c r="E498" s="53" t="n">
        <v>4039</v>
      </c>
      <c r="F498" s="53" t="n">
        <v>4484</v>
      </c>
      <c r="G498" s="55" t="n">
        <v>87042.95000000001</v>
      </c>
      <c r="H498" s="55" t="n">
        <v>98996.20000000001</v>
      </c>
      <c r="I498" s="55" t="n">
        <v>19762.01</v>
      </c>
      <c r="J498" s="55" t="n">
        <v>23157.16</v>
      </c>
      <c r="K498" s="53" t="n">
        <v>43</v>
      </c>
      <c r="L498" s="53" t="n">
        <v>46</v>
      </c>
      <c r="M498" s="53" t="n">
        <v>4</v>
      </c>
      <c r="N498" s="53" t="n">
        <v>497</v>
      </c>
      <c r="O498" s="53" t="n">
        <v>1</v>
      </c>
      <c r="P498" s="53" t="n">
        <v>15</v>
      </c>
    </row>
    <row r="499">
      <c r="A499" s="58" t="inlineStr">
        <is>
          <t>Michael Harboy</t>
        </is>
      </c>
      <c r="B499" s="58" t="inlineStr">
        <is>
          <t>Amplify</t>
        </is>
      </c>
      <c r="C499" s="58" t="inlineStr">
        <is>
          <t>Bell's</t>
        </is>
      </c>
      <c r="D499" s="58" t="inlineStr">
        <is>
          <t>Bell's</t>
        </is>
      </c>
      <c r="E499" s="53" t="n">
        <v>-1</v>
      </c>
      <c r="F499" s="53" t="n">
        <v>0</v>
      </c>
      <c r="G499" s="55" t="n">
        <v>-32.4</v>
      </c>
      <c r="H499" s="55" t="n">
        <v>0</v>
      </c>
      <c r="I499" s="55" t="n">
        <v>-9.619999999999999</v>
      </c>
      <c r="J499" s="55" t="n">
        <v>0</v>
      </c>
      <c r="K499" s="53" t="n">
        <v>0</v>
      </c>
      <c r="L499" s="53" t="n">
        <v>0</v>
      </c>
      <c r="M499" s="53" t="n">
        <v>0</v>
      </c>
      <c r="N499" s="53" t="n">
        <v>0</v>
      </c>
      <c r="O499" s="53" t="n">
        <v>0</v>
      </c>
      <c r="P499" s="53" t="n">
        <v>0</v>
      </c>
    </row>
    <row r="500">
      <c r="A500" s="58" t="inlineStr">
        <is>
          <t>Michael Harboy</t>
        </is>
      </c>
      <c r="B500" s="58" t="inlineStr">
        <is>
          <t>Amplify</t>
        </is>
      </c>
      <c r="C500" s="58" t="inlineStr">
        <is>
          <t>Boston Beer Company</t>
        </is>
      </c>
      <c r="D500" s="58" t="inlineStr">
        <is>
          <t>Dogfish Head Beer</t>
        </is>
      </c>
      <c r="E500" s="53" t="n">
        <v>99</v>
      </c>
      <c r="F500" s="53" t="n">
        <v>128</v>
      </c>
      <c r="G500" s="55" t="n">
        <v>3490.6</v>
      </c>
      <c r="H500" s="55" t="n">
        <v>4754.5</v>
      </c>
      <c r="I500" s="55" t="n">
        <v>859.27</v>
      </c>
      <c r="J500" s="55" t="n">
        <v>1145.32</v>
      </c>
      <c r="K500" s="53" t="n">
        <v>5</v>
      </c>
      <c r="L500" s="53" t="n">
        <v>6</v>
      </c>
      <c r="M500" s="53" t="n">
        <v>1</v>
      </c>
      <c r="N500" s="53" t="n">
        <v>17</v>
      </c>
      <c r="O500" s="53" t="n">
        <v>0</v>
      </c>
      <c r="P500" s="53" t="n">
        <v>0</v>
      </c>
    </row>
    <row r="501">
      <c r="A501" s="58" t="inlineStr">
        <is>
          <t>Michael Harboy</t>
        </is>
      </c>
      <c r="B501" s="58" t="inlineStr">
        <is>
          <t>Amplify</t>
        </is>
      </c>
      <c r="C501" s="58" t="inlineStr">
        <is>
          <t>Boston Beer Company</t>
        </is>
      </c>
      <c r="D501" s="58" t="inlineStr">
        <is>
          <t>Dogfish Head Spirits</t>
        </is>
      </c>
      <c r="E501" s="53" t="n">
        <v>51</v>
      </c>
      <c r="F501" s="53" t="n">
        <v>23</v>
      </c>
      <c r="G501" s="55" t="n">
        <v>2688</v>
      </c>
      <c r="H501" s="55" t="n">
        <v>1050</v>
      </c>
      <c r="I501" s="55" t="n">
        <v>979.08</v>
      </c>
      <c r="J501" s="55" t="n">
        <v>331.64</v>
      </c>
      <c r="K501" s="53" t="n">
        <v>3</v>
      </c>
      <c r="L501" s="53" t="n">
        <v>2</v>
      </c>
      <c r="M501" s="53" t="n">
        <v>0</v>
      </c>
      <c r="N501" s="53" t="n">
        <v>0</v>
      </c>
      <c r="O501" s="53" t="n">
        <v>1</v>
      </c>
      <c r="P501" s="53" t="n">
        <v>11</v>
      </c>
    </row>
    <row r="502">
      <c r="A502" s="58" t="inlineStr">
        <is>
          <t>Michael Harboy</t>
        </is>
      </c>
      <c r="B502" s="58" t="inlineStr">
        <is>
          <t>Amplify</t>
        </is>
      </c>
      <c r="C502" s="58" t="inlineStr">
        <is>
          <t>Cape May</t>
        </is>
      </c>
      <c r="D502" s="58" t="inlineStr">
        <is>
          <t>Cape May</t>
        </is>
      </c>
      <c r="E502" s="53" t="n">
        <v>115</v>
      </c>
      <c r="F502" s="53" t="n">
        <v>115</v>
      </c>
      <c r="G502" s="55" t="n">
        <v>4681.5</v>
      </c>
      <c r="H502" s="55" t="n">
        <v>4591.1</v>
      </c>
      <c r="I502" s="55" t="n">
        <v>1347.39</v>
      </c>
      <c r="J502" s="55" t="n">
        <v>1336.29</v>
      </c>
      <c r="K502" s="53" t="n">
        <v>3</v>
      </c>
      <c r="L502" s="53" t="n">
        <v>3</v>
      </c>
      <c r="M502" s="53" t="n">
        <v>0</v>
      </c>
      <c r="N502" s="53" t="n">
        <v>0</v>
      </c>
      <c r="O502" s="53" t="n">
        <v>0</v>
      </c>
      <c r="P502" s="53" t="n">
        <v>0</v>
      </c>
    </row>
    <row r="503">
      <c r="A503" s="58" t="inlineStr">
        <is>
          <t>Michael Harboy</t>
        </is>
      </c>
      <c r="B503" s="58" t="inlineStr">
        <is>
          <t>Amplify</t>
        </is>
      </c>
      <c r="C503" s="58" t="inlineStr">
        <is>
          <t>Constellation Brands</t>
        </is>
      </c>
      <c r="D503" s="58" t="inlineStr">
        <is>
          <t>Corona Premier</t>
        </is>
      </c>
      <c r="E503" s="53" t="n">
        <v>210</v>
      </c>
      <c r="F503" s="53" t="n">
        <v>202</v>
      </c>
      <c r="G503" s="55" t="n">
        <v>6530.650000000001</v>
      </c>
      <c r="H503" s="55" t="n">
        <v>5522.25</v>
      </c>
      <c r="I503" s="55" t="n">
        <v>1359.06</v>
      </c>
      <c r="J503" s="55" t="n">
        <v>1370.09</v>
      </c>
      <c r="K503" s="53" t="n">
        <v>6</v>
      </c>
      <c r="L503" s="53" t="n">
        <v>6</v>
      </c>
      <c r="M503" s="53" t="n">
        <v>0</v>
      </c>
      <c r="N503" s="53" t="n">
        <v>0</v>
      </c>
      <c r="O503" s="53" t="n">
        <v>0</v>
      </c>
      <c r="P503" s="53" t="n">
        <v>0</v>
      </c>
    </row>
    <row r="504">
      <c r="A504" s="58" t="inlineStr">
        <is>
          <t>Michael Harboy</t>
        </is>
      </c>
      <c r="B504" s="58" t="inlineStr">
        <is>
          <t>Amplify</t>
        </is>
      </c>
      <c r="C504" s="58" t="inlineStr">
        <is>
          <t>Constellation Brands</t>
        </is>
      </c>
      <c r="D504" s="58" t="inlineStr">
        <is>
          <t>Modelo Chelada</t>
        </is>
      </c>
      <c r="E504" s="53" t="n">
        <v>290</v>
      </c>
      <c r="F504" s="53" t="n">
        <v>268</v>
      </c>
      <c r="G504" s="55" t="n">
        <v>9038.5</v>
      </c>
      <c r="H504" s="55" t="n">
        <v>8042.650000000001</v>
      </c>
      <c r="I504" s="55" t="n">
        <v>2404.84</v>
      </c>
      <c r="J504" s="55" t="n">
        <v>2062.6</v>
      </c>
      <c r="K504" s="53" t="n">
        <v>6</v>
      </c>
      <c r="L504" s="53" t="n">
        <v>6</v>
      </c>
      <c r="M504" s="53" t="n">
        <v>0</v>
      </c>
      <c r="N504" s="53" t="n">
        <v>0</v>
      </c>
      <c r="O504" s="53" t="n">
        <v>0</v>
      </c>
      <c r="P504" s="53" t="n">
        <v>0</v>
      </c>
    </row>
    <row r="505">
      <c r="A505" s="58" t="inlineStr">
        <is>
          <t>Michael Harboy</t>
        </is>
      </c>
      <c r="B505" s="58" t="inlineStr">
        <is>
          <t>Amplify</t>
        </is>
      </c>
      <c r="C505" s="58" t="inlineStr">
        <is>
          <t>Constellation Brands</t>
        </is>
      </c>
      <c r="D505" s="58" t="inlineStr">
        <is>
          <t>Pacifico</t>
        </is>
      </c>
      <c r="E505" s="53" t="n">
        <v>89</v>
      </c>
      <c r="F505" s="53" t="n">
        <v>102</v>
      </c>
      <c r="G505" s="55" t="n">
        <v>2694.5</v>
      </c>
      <c r="H505" s="55" t="n">
        <v>3122.55</v>
      </c>
      <c r="I505" s="55" t="n">
        <v>599.6900000000001</v>
      </c>
      <c r="J505" s="55" t="n">
        <v>714.22</v>
      </c>
      <c r="K505" s="53" t="n">
        <v>5</v>
      </c>
      <c r="L505" s="53" t="n">
        <v>5</v>
      </c>
      <c r="M505" s="53" t="n">
        <v>0</v>
      </c>
      <c r="N505" s="53" t="n">
        <v>0</v>
      </c>
      <c r="O505" s="53" t="n">
        <v>0</v>
      </c>
      <c r="P505" s="53" t="n">
        <v>0</v>
      </c>
    </row>
    <row r="506">
      <c r="A506" s="58" t="inlineStr">
        <is>
          <t>Michael Harboy</t>
        </is>
      </c>
      <c r="B506" s="58" t="inlineStr">
        <is>
          <t>Amplify</t>
        </is>
      </c>
      <c r="C506" s="58" t="inlineStr">
        <is>
          <t>Constellation Brands</t>
        </is>
      </c>
      <c r="D506" s="58" t="inlineStr">
        <is>
          <t>Victoria</t>
        </is>
      </c>
      <c r="E506" s="53" t="n">
        <v>161</v>
      </c>
      <c r="F506" s="53" t="n">
        <v>134</v>
      </c>
      <c r="G506" s="55" t="n">
        <v>4831.45</v>
      </c>
      <c r="H506" s="55" t="n">
        <v>4010.35</v>
      </c>
      <c r="I506" s="55" t="n">
        <v>1119.27</v>
      </c>
      <c r="J506" s="55" t="n">
        <v>941.15</v>
      </c>
      <c r="K506" s="53" t="n">
        <v>4</v>
      </c>
      <c r="L506" s="53" t="n">
        <v>5</v>
      </c>
      <c r="M506" s="53" t="n">
        <v>1</v>
      </c>
      <c r="N506" s="53" t="n">
        <v>5</v>
      </c>
      <c r="O506" s="53" t="n">
        <v>0</v>
      </c>
      <c r="P506" s="53" t="n">
        <v>0</v>
      </c>
    </row>
    <row r="507">
      <c r="A507" s="58" t="inlineStr">
        <is>
          <t>Michael Harboy</t>
        </is>
      </c>
      <c r="B507" s="58" t="inlineStr">
        <is>
          <t>Amplify</t>
        </is>
      </c>
      <c r="C507" s="58" t="inlineStr">
        <is>
          <t>DG Yuengling Inc</t>
        </is>
      </c>
      <c r="D507" s="58" t="inlineStr">
        <is>
          <t>Yuengling Flight</t>
        </is>
      </c>
      <c r="E507" s="53" t="n">
        <v>26</v>
      </c>
      <c r="F507" s="53" t="n">
        <v>34</v>
      </c>
      <c r="G507" s="55" t="n">
        <v>647.8</v>
      </c>
      <c r="H507" s="55" t="n">
        <v>863.3</v>
      </c>
      <c r="I507" s="55" t="n">
        <v>196.01</v>
      </c>
      <c r="J507" s="55" t="n">
        <v>264.7</v>
      </c>
      <c r="K507" s="53" t="n">
        <v>5</v>
      </c>
      <c r="L507" s="53" t="n">
        <v>3</v>
      </c>
      <c r="M507" s="53" t="n">
        <v>0</v>
      </c>
      <c r="N507" s="53" t="n">
        <v>0</v>
      </c>
      <c r="O507" s="53" t="n">
        <v>2</v>
      </c>
      <c r="P507" s="53" t="n">
        <v>10</v>
      </c>
    </row>
    <row r="508">
      <c r="A508" s="58" t="inlineStr">
        <is>
          <t>Michael Harboy</t>
        </is>
      </c>
      <c r="B508" s="58" t="inlineStr">
        <is>
          <t>Amplify</t>
        </is>
      </c>
      <c r="C508" s="58" t="inlineStr">
        <is>
          <t>DG Yuengling Inc</t>
        </is>
      </c>
      <c r="D508" s="58" t="inlineStr">
        <is>
          <t>Yuengling Light Lager</t>
        </is>
      </c>
      <c r="E508" s="53" t="n">
        <v>44</v>
      </c>
      <c r="F508" s="53" t="n">
        <v>20</v>
      </c>
      <c r="G508" s="55" t="n">
        <v>1021.9</v>
      </c>
      <c r="H508" s="55" t="n">
        <v>507.9</v>
      </c>
      <c r="I508" s="55" t="n">
        <v>275.62</v>
      </c>
      <c r="J508" s="55" t="n">
        <v>145.37</v>
      </c>
      <c r="K508" s="53" t="n">
        <v>4</v>
      </c>
      <c r="L508" s="53" t="n">
        <v>4</v>
      </c>
      <c r="M508" s="53" t="n">
        <v>2</v>
      </c>
      <c r="N508" s="53" t="n">
        <v>12</v>
      </c>
      <c r="O508" s="53" t="n">
        <v>2</v>
      </c>
      <c r="P508" s="53" t="n">
        <v>4</v>
      </c>
    </row>
    <row r="509">
      <c r="A509" s="58" t="inlineStr">
        <is>
          <t>Michael Harboy</t>
        </is>
      </c>
      <c r="B509" s="58" t="inlineStr">
        <is>
          <t>Amplify</t>
        </is>
      </c>
      <c r="C509" s="58" t="inlineStr">
        <is>
          <t>Heineken USA</t>
        </is>
      </c>
      <c r="D509" s="58" t="inlineStr">
        <is>
          <t>Heineken 0.0</t>
        </is>
      </c>
      <c r="E509" s="53" t="n">
        <v>76</v>
      </c>
      <c r="F509" s="53" t="n">
        <v>78</v>
      </c>
      <c r="G509" s="55" t="n">
        <v>2570.2</v>
      </c>
      <c r="H509" s="55" t="n">
        <v>2633.3</v>
      </c>
      <c r="I509" s="55" t="n">
        <v>679.41</v>
      </c>
      <c r="J509" s="55" t="n">
        <v>693.4499999999999</v>
      </c>
      <c r="K509" s="53" t="n">
        <v>6</v>
      </c>
      <c r="L509" s="53" t="n">
        <v>6</v>
      </c>
      <c r="M509" s="53" t="n">
        <v>0</v>
      </c>
      <c r="N509" s="53" t="n">
        <v>0</v>
      </c>
      <c r="O509" s="53" t="n">
        <v>0</v>
      </c>
      <c r="P509" s="53" t="n">
        <v>0</v>
      </c>
    </row>
    <row r="510">
      <c r="A510" s="58" t="inlineStr">
        <is>
          <t>Michael Harboy</t>
        </is>
      </c>
      <c r="B510" s="58" t="inlineStr">
        <is>
          <t>Amplify</t>
        </is>
      </c>
      <c r="C510" s="58" t="inlineStr">
        <is>
          <t>Heineken USA</t>
        </is>
      </c>
      <c r="D510" s="58" t="inlineStr">
        <is>
          <t>Heineken Light</t>
        </is>
      </c>
      <c r="E510" s="53" t="n">
        <v>137</v>
      </c>
      <c r="F510" s="53" t="n">
        <v>36</v>
      </c>
      <c r="G510" s="55" t="n">
        <v>4288.299999999999</v>
      </c>
      <c r="H510" s="55" t="n">
        <v>1126.2</v>
      </c>
      <c r="I510" s="55" t="n">
        <v>1030.88</v>
      </c>
      <c r="J510" s="55" t="n">
        <v>269.64</v>
      </c>
      <c r="K510" s="53" t="n">
        <v>5</v>
      </c>
      <c r="L510" s="53" t="n">
        <v>4</v>
      </c>
      <c r="M510" s="53" t="n">
        <v>1</v>
      </c>
      <c r="N510" s="53" t="n">
        <v>2</v>
      </c>
      <c r="O510" s="53" t="n">
        <v>2</v>
      </c>
      <c r="P510" s="53" t="n">
        <v>28</v>
      </c>
    </row>
    <row r="511">
      <c r="A511" s="58" t="inlineStr">
        <is>
          <t>Michael Harboy</t>
        </is>
      </c>
      <c r="B511" s="58" t="inlineStr">
        <is>
          <t>Amplify</t>
        </is>
      </c>
      <c r="C511" s="58" t="inlineStr">
        <is>
          <t>Mark Anthony</t>
        </is>
      </c>
      <c r="D511" s="58" t="inlineStr">
        <is>
          <t>Cayman Jack</t>
        </is>
      </c>
      <c r="E511" s="53" t="n">
        <v>124</v>
      </c>
      <c r="F511" s="53" t="n">
        <v>92</v>
      </c>
      <c r="G511" s="55" t="n">
        <v>3871.5</v>
      </c>
      <c r="H511" s="55" t="n">
        <v>3010.75</v>
      </c>
      <c r="I511" s="55" t="n">
        <v>921.1899999999999</v>
      </c>
      <c r="J511" s="55" t="n">
        <v>697.4</v>
      </c>
      <c r="K511" s="53" t="n">
        <v>5</v>
      </c>
      <c r="L511" s="53" t="n">
        <v>4</v>
      </c>
      <c r="M511" s="53" t="n">
        <v>0</v>
      </c>
      <c r="N511" s="53" t="n">
        <v>0</v>
      </c>
      <c r="O511" s="53" t="n">
        <v>1</v>
      </c>
      <c r="P511" s="53" t="n">
        <v>10</v>
      </c>
    </row>
    <row r="512">
      <c r="A512" s="58" t="inlineStr">
        <is>
          <t>Michael Harboy</t>
        </is>
      </c>
      <c r="B512" s="58" t="inlineStr">
        <is>
          <t>Amplify</t>
        </is>
      </c>
      <c r="C512" s="58" t="inlineStr">
        <is>
          <t>Mark Anthony</t>
        </is>
      </c>
      <c r="D512" s="58" t="inlineStr">
        <is>
          <t>Mike's Harder</t>
        </is>
      </c>
      <c r="E512" s="53" t="n">
        <v>39</v>
      </c>
      <c r="F512" s="53" t="n">
        <v>51</v>
      </c>
      <c r="G512" s="55" t="n">
        <v>1065</v>
      </c>
      <c r="H512" s="55" t="n">
        <v>1509</v>
      </c>
      <c r="I512" s="55" t="n">
        <v>230.71</v>
      </c>
      <c r="J512" s="55" t="n">
        <v>327.87</v>
      </c>
      <c r="K512" s="53" t="n">
        <v>5</v>
      </c>
      <c r="L512" s="53" t="n">
        <v>4</v>
      </c>
      <c r="M512" s="53" t="n">
        <v>0</v>
      </c>
      <c r="N512" s="53" t="n">
        <v>0</v>
      </c>
      <c r="O512" s="53" t="n">
        <v>1</v>
      </c>
      <c r="P512" s="53" t="n">
        <v>9</v>
      </c>
    </row>
    <row r="513">
      <c r="A513" s="58" t="inlineStr">
        <is>
          <t>Michael Harboy</t>
        </is>
      </c>
      <c r="B513" s="58" t="inlineStr">
        <is>
          <t>Amplify</t>
        </is>
      </c>
      <c r="C513" s="58" t="inlineStr">
        <is>
          <t>MolsonCoors Beverage Company</t>
        </is>
      </c>
      <c r="D513" s="58" t="inlineStr">
        <is>
          <t>Coors</t>
        </is>
      </c>
      <c r="E513" s="53" t="n">
        <v>314</v>
      </c>
      <c r="F513" s="53" t="n">
        <v>416</v>
      </c>
      <c r="G513" s="55" t="n">
        <v>6991.6</v>
      </c>
      <c r="H513" s="55" t="n">
        <v>9273.600000000002</v>
      </c>
      <c r="I513" s="55" t="n">
        <v>1876.13</v>
      </c>
      <c r="J513" s="55" t="n">
        <v>2430.05</v>
      </c>
      <c r="K513" s="53" t="n">
        <v>6</v>
      </c>
      <c r="L513" s="53" t="n">
        <v>6</v>
      </c>
      <c r="M513" s="53" t="n">
        <v>0</v>
      </c>
      <c r="N513" s="53" t="n">
        <v>0</v>
      </c>
      <c r="O513" s="53" t="n">
        <v>0</v>
      </c>
      <c r="P513" s="53" t="n">
        <v>0</v>
      </c>
    </row>
    <row r="514">
      <c r="A514" s="58" t="inlineStr">
        <is>
          <t>Michael Harboy</t>
        </is>
      </c>
      <c r="B514" s="58" t="inlineStr">
        <is>
          <t>Amplify</t>
        </is>
      </c>
      <c r="C514" s="58" t="inlineStr">
        <is>
          <t>MolsonCoors Beverage Company</t>
        </is>
      </c>
      <c r="D514" s="58" t="inlineStr">
        <is>
          <t>Fever Tree</t>
        </is>
      </c>
      <c r="E514" s="53" t="n">
        <v>13</v>
      </c>
      <c r="F514" s="53" t="n">
        <v>13</v>
      </c>
      <c r="G514" s="55" t="n">
        <v>579</v>
      </c>
      <c r="H514" s="55" t="n">
        <v>552</v>
      </c>
      <c r="I514" s="55" t="n">
        <v>161.61</v>
      </c>
      <c r="J514" s="55" t="n">
        <v>151.98</v>
      </c>
      <c r="K514" s="53" t="n">
        <v>2</v>
      </c>
      <c r="L514" s="53" t="n">
        <v>1</v>
      </c>
      <c r="M514" s="53" t="n">
        <v>0</v>
      </c>
      <c r="N514" s="53" t="n">
        <v>0</v>
      </c>
      <c r="O514" s="53" t="n">
        <v>1</v>
      </c>
      <c r="P514" s="53" t="n">
        <v>1</v>
      </c>
    </row>
    <row r="515">
      <c r="A515" s="58" t="inlineStr">
        <is>
          <t>Michael Harboy</t>
        </is>
      </c>
      <c r="B515" s="58" t="inlineStr">
        <is>
          <t>Amplify</t>
        </is>
      </c>
      <c r="C515" s="58" t="inlineStr">
        <is>
          <t>MolsonCoors Beverage Company</t>
        </is>
      </c>
      <c r="D515" s="58" t="inlineStr">
        <is>
          <t>Peroni</t>
        </is>
      </c>
      <c r="E515" s="53" t="n">
        <v>216</v>
      </c>
      <c r="F515" s="53" t="n">
        <v>265</v>
      </c>
      <c r="G515" s="55" t="n">
        <v>7305.8</v>
      </c>
      <c r="H515" s="55" t="n">
        <v>8847.400000000001</v>
      </c>
      <c r="I515" s="55" t="n">
        <v>1434.73</v>
      </c>
      <c r="J515" s="55" t="n">
        <v>1656.64</v>
      </c>
      <c r="K515" s="53" t="n">
        <v>6</v>
      </c>
      <c r="L515" s="53" t="n">
        <v>5</v>
      </c>
      <c r="M515" s="53" t="n">
        <v>0</v>
      </c>
      <c r="N515" s="53" t="n">
        <v>0</v>
      </c>
      <c r="O515" s="53" t="n">
        <v>1</v>
      </c>
      <c r="P515" s="53" t="n">
        <v>9</v>
      </c>
    </row>
    <row r="516">
      <c r="A516" s="58" t="inlineStr">
        <is>
          <t>Michael Harboy</t>
        </is>
      </c>
      <c r="B516" s="58" t="inlineStr">
        <is>
          <t>Amplify</t>
        </is>
      </c>
      <c r="C516" s="58" t="inlineStr">
        <is>
          <t>New Belgium Brewing Company</t>
        </is>
      </c>
      <c r="D516" s="58" t="inlineStr">
        <is>
          <t>Fat Tire Family</t>
        </is>
      </c>
      <c r="E516" s="53" t="n">
        <v>14</v>
      </c>
      <c r="F516" s="53" t="n">
        <v>6</v>
      </c>
      <c r="G516" s="55" t="n">
        <v>462</v>
      </c>
      <c r="H516" s="55" t="n">
        <v>195.5</v>
      </c>
      <c r="I516" s="55" t="n">
        <v>106</v>
      </c>
      <c r="J516" s="55" t="n">
        <v>45.34</v>
      </c>
      <c r="K516" s="53" t="n">
        <v>3</v>
      </c>
      <c r="L516" s="53" t="n">
        <v>3</v>
      </c>
      <c r="M516" s="53" t="n">
        <v>0</v>
      </c>
      <c r="N516" s="53" t="n">
        <v>0</v>
      </c>
      <c r="O516" s="53" t="n">
        <v>0</v>
      </c>
      <c r="P516" s="53" t="n">
        <v>0</v>
      </c>
    </row>
    <row r="517">
      <c r="A517" s="58" t="inlineStr">
        <is>
          <t>Michael Harboy</t>
        </is>
      </c>
      <c r="B517" s="58" t="inlineStr">
        <is>
          <t>Amplify</t>
        </is>
      </c>
      <c r="C517" s="58" t="inlineStr">
        <is>
          <t>New Belgium Brewing Company</t>
        </is>
      </c>
      <c r="D517" s="58" t="inlineStr">
        <is>
          <t>Kirin Ichiban</t>
        </is>
      </c>
      <c r="E517" s="53" t="n">
        <v>5</v>
      </c>
      <c r="F517" s="53" t="n">
        <v>5</v>
      </c>
      <c r="G517" s="55" t="n">
        <v>157.5</v>
      </c>
      <c r="H517" s="55" t="n">
        <v>157.5</v>
      </c>
      <c r="I517" s="55" t="n">
        <v>36.6</v>
      </c>
      <c r="J517" s="55" t="n">
        <v>36.6</v>
      </c>
      <c r="K517" s="53" t="n">
        <v>1</v>
      </c>
      <c r="L517" s="53" t="n">
        <v>1</v>
      </c>
      <c r="M517" s="53" t="n">
        <v>0</v>
      </c>
      <c r="N517" s="53" t="n">
        <v>0</v>
      </c>
      <c r="O517" s="53" t="n">
        <v>0</v>
      </c>
      <c r="P517" s="53" t="n">
        <v>0</v>
      </c>
    </row>
    <row r="518">
      <c r="A518" s="58" t="inlineStr">
        <is>
          <t>Michael Harboy</t>
        </is>
      </c>
      <c r="B518" s="58" t="inlineStr">
        <is>
          <t>Amplify</t>
        </is>
      </c>
      <c r="C518" s="58" t="inlineStr">
        <is>
          <t>New Belgium Brewing Company</t>
        </is>
      </c>
      <c r="D518" s="58" t="inlineStr">
        <is>
          <t>Voodoo Family</t>
        </is>
      </c>
      <c r="E518" s="53" t="n">
        <v>216</v>
      </c>
      <c r="F518" s="53" t="n">
        <v>163</v>
      </c>
      <c r="G518" s="55" t="n">
        <v>7686</v>
      </c>
      <c r="H518" s="55" t="n">
        <v>5901.2</v>
      </c>
      <c r="I518" s="55" t="n">
        <v>1836.53</v>
      </c>
      <c r="J518" s="55" t="n">
        <v>1484.88</v>
      </c>
      <c r="K518" s="53" t="n">
        <v>6</v>
      </c>
      <c r="L518" s="53" t="n">
        <v>6</v>
      </c>
      <c r="M518" s="53" t="n">
        <v>0</v>
      </c>
      <c r="N518" s="53" t="n">
        <v>0</v>
      </c>
      <c r="O518" s="53" t="n">
        <v>0</v>
      </c>
      <c r="P518" s="53" t="n">
        <v>0</v>
      </c>
    </row>
    <row r="519">
      <c r="A519" s="58" t="inlineStr">
        <is>
          <t>Michael Harboy</t>
        </is>
      </c>
      <c r="B519" s="58" t="inlineStr">
        <is>
          <t>Amplify</t>
        </is>
      </c>
      <c r="C519" s="58" t="inlineStr">
        <is>
          <t>Sapporo</t>
        </is>
      </c>
      <c r="D519" s="58" t="inlineStr">
        <is>
          <t>Sapporo</t>
        </is>
      </c>
      <c r="E519" s="53" t="n">
        <v>423</v>
      </c>
      <c r="F519" s="53" t="n">
        <v>622</v>
      </c>
      <c r="G519" s="55" t="n">
        <v>12000.75</v>
      </c>
      <c r="H519" s="55" t="n">
        <v>17698.75</v>
      </c>
      <c r="I519" s="55" t="n">
        <v>3045.01</v>
      </c>
      <c r="J519" s="55" t="n">
        <v>4387.710000000001</v>
      </c>
      <c r="K519" s="53" t="n">
        <v>22</v>
      </c>
      <c r="L519" s="53" t="n">
        <v>29</v>
      </c>
      <c r="M519" s="53" t="n">
        <v>10</v>
      </c>
      <c r="N519" s="53" t="n">
        <v>104</v>
      </c>
      <c r="O519" s="53" t="n">
        <v>3</v>
      </c>
      <c r="P519" s="53" t="n">
        <v>40</v>
      </c>
    </row>
    <row r="520">
      <c r="A520" s="58" t="inlineStr">
        <is>
          <t>Michael Harboy</t>
        </is>
      </c>
      <c r="B520" s="58" t="inlineStr">
        <is>
          <t>Qualifier</t>
        </is>
      </c>
      <c r="C520" s="58" t="inlineStr">
        <is>
          <t>Boston Beer Company</t>
        </is>
      </c>
      <c r="D520" s="58" t="inlineStr">
        <is>
          <t>Truly</t>
        </is>
      </c>
      <c r="E520" s="53" t="n">
        <v>109</v>
      </c>
      <c r="F520" s="53" t="n">
        <v>56</v>
      </c>
      <c r="G520" s="55" t="n">
        <v>2903.5</v>
      </c>
      <c r="H520" s="55" t="n">
        <v>1592.2</v>
      </c>
      <c r="I520" s="55" t="n">
        <v>455.01</v>
      </c>
      <c r="J520" s="55" t="n">
        <v>323.08</v>
      </c>
      <c r="K520" s="53" t="n">
        <v>3</v>
      </c>
      <c r="L520" s="53" t="n">
        <v>2</v>
      </c>
      <c r="M520" s="53" t="n">
        <v>1</v>
      </c>
      <c r="N520" s="53" t="n">
        <v>34</v>
      </c>
      <c r="O520" s="53" t="n">
        <v>2</v>
      </c>
      <c r="P520" s="53" t="n">
        <v>33</v>
      </c>
    </row>
    <row r="521">
      <c r="A521" s="58" t="inlineStr">
        <is>
          <t>Michael Harboy</t>
        </is>
      </c>
      <c r="B521" s="58" t="inlineStr">
        <is>
          <t>Qualifier</t>
        </is>
      </c>
      <c r="C521" s="58" t="inlineStr">
        <is>
          <t>Boston Beer Company</t>
        </is>
      </c>
      <c r="D521" s="58" t="inlineStr">
        <is>
          <t>Twisted Tea</t>
        </is>
      </c>
      <c r="E521" s="53" t="n">
        <v>612</v>
      </c>
      <c r="F521" s="53" t="n">
        <v>371</v>
      </c>
      <c r="G521" s="55" t="n">
        <v>17498</v>
      </c>
      <c r="H521" s="55" t="n">
        <v>10866</v>
      </c>
      <c r="I521" s="55" t="n">
        <v>4311.599999999999</v>
      </c>
      <c r="J521" s="55" t="n">
        <v>2756.16</v>
      </c>
      <c r="K521" s="53" t="n">
        <v>6</v>
      </c>
      <c r="L521" s="53" t="n">
        <v>6</v>
      </c>
      <c r="M521" s="53" t="n">
        <v>0</v>
      </c>
      <c r="N521" s="53" t="n">
        <v>0</v>
      </c>
      <c r="O521" s="53" t="n">
        <v>0</v>
      </c>
      <c r="P521" s="53" t="n">
        <v>0</v>
      </c>
    </row>
    <row r="522">
      <c r="A522" s="58" t="inlineStr">
        <is>
          <t>Michael Harboy</t>
        </is>
      </c>
      <c r="B522" s="58" t="inlineStr">
        <is>
          <t>Qualifier</t>
        </is>
      </c>
      <c r="C522" s="58" t="inlineStr">
        <is>
          <t>Constellation Brands</t>
        </is>
      </c>
      <c r="D522" s="58" t="inlineStr">
        <is>
          <t>Corona Extra</t>
        </is>
      </c>
      <c r="E522" s="53" t="n">
        <v>2212</v>
      </c>
      <c r="F522" s="53" t="n">
        <v>1973</v>
      </c>
      <c r="G522" s="55" t="n">
        <v>70293.65000000001</v>
      </c>
      <c r="H522" s="55" t="n">
        <v>62885.9</v>
      </c>
      <c r="I522" s="55" t="n">
        <v>16530.56</v>
      </c>
      <c r="J522" s="55" t="n">
        <v>15070.31</v>
      </c>
      <c r="K522" s="53" t="n">
        <v>6</v>
      </c>
      <c r="L522" s="53" t="n">
        <v>6</v>
      </c>
      <c r="M522" s="53" t="n">
        <v>0</v>
      </c>
      <c r="N522" s="53" t="n">
        <v>0</v>
      </c>
      <c r="O522" s="53" t="n">
        <v>0</v>
      </c>
      <c r="P522" s="53" t="n">
        <v>0</v>
      </c>
    </row>
    <row r="523">
      <c r="A523" s="58" t="inlineStr">
        <is>
          <t>Michael Harboy</t>
        </is>
      </c>
      <c r="B523" s="58" t="inlineStr">
        <is>
          <t>Qualifier</t>
        </is>
      </c>
      <c r="C523" s="58" t="inlineStr">
        <is>
          <t>Constellation Brands</t>
        </is>
      </c>
      <c r="D523" s="58" t="inlineStr">
        <is>
          <t>Modelo Especial</t>
        </is>
      </c>
      <c r="E523" s="53" t="n">
        <v>2231</v>
      </c>
      <c r="F523" s="53" t="n">
        <v>2104</v>
      </c>
      <c r="G523" s="55" t="n">
        <v>66972.55</v>
      </c>
      <c r="H523" s="55" t="n">
        <v>63425.15</v>
      </c>
      <c r="I523" s="55" t="n">
        <v>14670.39</v>
      </c>
      <c r="J523" s="55" t="n">
        <v>14594.51</v>
      </c>
      <c r="K523" s="53" t="n">
        <v>6</v>
      </c>
      <c r="L523" s="53" t="n">
        <v>6</v>
      </c>
      <c r="M523" s="53" t="n">
        <v>0</v>
      </c>
      <c r="N523" s="53" t="n">
        <v>0</v>
      </c>
      <c r="O523" s="53" t="n">
        <v>0</v>
      </c>
      <c r="P523" s="53" t="n">
        <v>0</v>
      </c>
    </row>
    <row r="524">
      <c r="A524" s="58" t="inlineStr">
        <is>
          <t>Michael Harboy</t>
        </is>
      </c>
      <c r="B524" s="58" t="inlineStr">
        <is>
          <t>Qualifier</t>
        </is>
      </c>
      <c r="C524" s="58" t="inlineStr">
        <is>
          <t>DG Yuengling Inc</t>
        </is>
      </c>
      <c r="D524" s="58" t="inlineStr">
        <is>
          <t>Yuengling Lager</t>
        </is>
      </c>
      <c r="E524" s="53" t="n">
        <v>486</v>
      </c>
      <c r="F524" s="53" t="n">
        <v>474</v>
      </c>
      <c r="G524" s="55" t="n">
        <v>11152.4</v>
      </c>
      <c r="H524" s="55" t="n">
        <v>10737.7</v>
      </c>
      <c r="I524" s="55" t="n">
        <v>3150.59</v>
      </c>
      <c r="J524" s="55" t="n">
        <v>2981.85</v>
      </c>
      <c r="K524" s="53" t="n">
        <v>6</v>
      </c>
      <c r="L524" s="53" t="n">
        <v>6</v>
      </c>
      <c r="M524" s="53" t="n">
        <v>0</v>
      </c>
      <c r="N524" s="53" t="n">
        <v>0</v>
      </c>
      <c r="O524" s="53" t="n">
        <v>0</v>
      </c>
      <c r="P524" s="53" t="n">
        <v>0</v>
      </c>
    </row>
    <row r="525">
      <c r="A525" s="58" t="inlineStr">
        <is>
          <t>Michael Harboy</t>
        </is>
      </c>
      <c r="B525" s="58" t="inlineStr">
        <is>
          <t>Qualifier</t>
        </is>
      </c>
      <c r="C525" s="58" t="inlineStr">
        <is>
          <t>Heineken USA</t>
        </is>
      </c>
      <c r="D525" s="58" t="inlineStr">
        <is>
          <t>Heineken USA</t>
        </is>
      </c>
      <c r="E525" s="53" t="n">
        <v>911</v>
      </c>
      <c r="F525" s="53" t="n">
        <v>632</v>
      </c>
      <c r="G525" s="55" t="n">
        <v>28332.25</v>
      </c>
      <c r="H525" s="55" t="n">
        <v>19533.8</v>
      </c>
      <c r="I525" s="55" t="n">
        <v>6758.509999999999</v>
      </c>
      <c r="J525" s="55" t="n">
        <v>4621.37</v>
      </c>
      <c r="K525" s="53" t="n">
        <v>6</v>
      </c>
      <c r="L525" s="53" t="n">
        <v>6</v>
      </c>
      <c r="M525" s="53" t="n">
        <v>0</v>
      </c>
      <c r="N525" s="53" t="n">
        <v>0</v>
      </c>
      <c r="O525" s="53" t="n">
        <v>0</v>
      </c>
      <c r="P525" s="53" t="n">
        <v>0</v>
      </c>
    </row>
    <row r="526">
      <c r="A526" s="58" t="inlineStr">
        <is>
          <t>Michael Harboy</t>
        </is>
      </c>
      <c r="B526" s="58" t="inlineStr">
        <is>
          <t>Qualifier</t>
        </is>
      </c>
      <c r="C526" s="58" t="inlineStr">
        <is>
          <t>Mark Anthony</t>
        </is>
      </c>
      <c r="D526" s="58" t="inlineStr">
        <is>
          <t>White Claw</t>
        </is>
      </c>
      <c r="E526" s="53" t="n">
        <v>1506</v>
      </c>
      <c r="F526" s="53" t="n">
        <v>1328</v>
      </c>
      <c r="G526" s="55" t="n">
        <v>46409.85</v>
      </c>
      <c r="H526" s="55" t="n">
        <v>41480.60000000001</v>
      </c>
      <c r="I526" s="55" t="n">
        <v>9144.299999999999</v>
      </c>
      <c r="J526" s="55" t="n">
        <v>7977.370000000001</v>
      </c>
      <c r="K526" s="53" t="n">
        <v>6</v>
      </c>
      <c r="L526" s="53" t="n">
        <v>6</v>
      </c>
      <c r="M526" s="53" t="n">
        <v>0</v>
      </c>
      <c r="N526" s="53" t="n">
        <v>0</v>
      </c>
      <c r="O526" s="53" t="n">
        <v>0</v>
      </c>
      <c r="P526" s="53" t="n">
        <v>0</v>
      </c>
    </row>
    <row r="527">
      <c r="A527" s="58" t="inlineStr">
        <is>
          <t>Michael Harboy</t>
        </is>
      </c>
      <c r="B527" s="58" t="inlineStr">
        <is>
          <t>Qualifier</t>
        </is>
      </c>
      <c r="C527" s="58" t="inlineStr">
        <is>
          <t>MolsonCoors Beverage Company</t>
        </is>
      </c>
      <c r="D527" s="58" t="inlineStr">
        <is>
          <t>Blue Moon</t>
        </is>
      </c>
      <c r="E527" s="53" t="n">
        <v>303</v>
      </c>
      <c r="F527" s="53" t="n">
        <v>261</v>
      </c>
      <c r="G527" s="55" t="n">
        <v>9720.200000000001</v>
      </c>
      <c r="H527" s="55" t="n">
        <v>8311.450000000001</v>
      </c>
      <c r="I527" s="55" t="n">
        <v>2120.76</v>
      </c>
      <c r="J527" s="55" t="n">
        <v>1815.12</v>
      </c>
      <c r="K527" s="53" t="n">
        <v>6</v>
      </c>
      <c r="L527" s="53" t="n">
        <v>6</v>
      </c>
      <c r="M527" s="53" t="n">
        <v>0</v>
      </c>
      <c r="N527" s="53" t="n">
        <v>0</v>
      </c>
      <c r="O527" s="53" t="n">
        <v>0</v>
      </c>
      <c r="P527" s="53" t="n">
        <v>0</v>
      </c>
    </row>
    <row r="528">
      <c r="A528" s="58" t="inlineStr">
        <is>
          <t>Michael Harboy</t>
        </is>
      </c>
      <c r="B528" s="58" t="inlineStr">
        <is>
          <t>Qualifier</t>
        </is>
      </c>
      <c r="C528" s="58" t="inlineStr">
        <is>
          <t>MolsonCoors Beverage Company</t>
        </is>
      </c>
      <c r="D528" s="58" t="inlineStr">
        <is>
          <t>Coors Light</t>
        </is>
      </c>
      <c r="E528" s="53" t="n">
        <v>2426</v>
      </c>
      <c r="F528" s="53" t="n">
        <v>2105</v>
      </c>
      <c r="G528" s="55" t="n">
        <v>52615.05</v>
      </c>
      <c r="H528" s="55" t="n">
        <v>46430.5</v>
      </c>
      <c r="I528" s="55" t="n">
        <v>13917.63</v>
      </c>
      <c r="J528" s="55" t="n">
        <v>12220.43</v>
      </c>
      <c r="K528" s="53" t="n">
        <v>6</v>
      </c>
      <c r="L528" s="53" t="n">
        <v>6</v>
      </c>
      <c r="M528" s="53" t="n">
        <v>0</v>
      </c>
      <c r="N528" s="53" t="n">
        <v>0</v>
      </c>
      <c r="O528" s="53" t="n">
        <v>0</v>
      </c>
      <c r="P528" s="53" t="n">
        <v>0</v>
      </c>
    </row>
    <row r="529">
      <c r="A529" s="58" t="inlineStr">
        <is>
          <t>Michael Harboy</t>
        </is>
      </c>
      <c r="B529" s="58" t="inlineStr">
        <is>
          <t>Qualifier</t>
        </is>
      </c>
      <c r="C529" s="58" t="inlineStr">
        <is>
          <t>MolsonCoors Beverage Company</t>
        </is>
      </c>
      <c r="D529" s="58" t="inlineStr">
        <is>
          <t>Lite</t>
        </is>
      </c>
      <c r="E529" s="53" t="n">
        <v>2241</v>
      </c>
      <c r="F529" s="53" t="n">
        <v>1575</v>
      </c>
      <c r="G529" s="55" t="n">
        <v>49410.8</v>
      </c>
      <c r="H529" s="55" t="n">
        <v>35308.85</v>
      </c>
      <c r="I529" s="55" t="n">
        <v>11931.07</v>
      </c>
      <c r="J529" s="55" t="n">
        <v>8533.940000000001</v>
      </c>
      <c r="K529" s="53" t="n">
        <v>6</v>
      </c>
      <c r="L529" s="53" t="n">
        <v>6</v>
      </c>
      <c r="M529" s="53" t="n">
        <v>0</v>
      </c>
      <c r="N529" s="53" t="n">
        <v>0</v>
      </c>
      <c r="O529" s="53" t="n">
        <v>0</v>
      </c>
      <c r="P529" s="53" t="n">
        <v>0</v>
      </c>
    </row>
    <row r="530">
      <c r="A530" s="58" t="inlineStr">
        <is>
          <t>Mike Ast</t>
        </is>
      </c>
      <c r="B530" s="58" t="inlineStr">
        <is>
          <t>Amplify</t>
        </is>
      </c>
      <c r="C530" s="58" t="inlineStr">
        <is>
          <t>Bell's</t>
        </is>
      </c>
      <c r="D530" s="58" t="inlineStr">
        <is>
          <t>Bell's</t>
        </is>
      </c>
      <c r="E530" s="53" t="n">
        <v>34</v>
      </c>
      <c r="F530" s="53" t="n">
        <v>28</v>
      </c>
      <c r="G530" s="55" t="n">
        <v>1199.3</v>
      </c>
      <c r="H530" s="55" t="n">
        <v>985.5999999999999</v>
      </c>
      <c r="I530" s="55" t="n">
        <v>387.9</v>
      </c>
      <c r="J530" s="55" t="n">
        <v>321.52</v>
      </c>
      <c r="K530" s="53" t="n">
        <v>5</v>
      </c>
      <c r="L530" s="53" t="n">
        <v>6</v>
      </c>
      <c r="M530" s="53" t="n">
        <v>1</v>
      </c>
      <c r="N530" s="53" t="n">
        <v>1</v>
      </c>
      <c r="O530" s="53" t="n">
        <v>0</v>
      </c>
      <c r="P530" s="53" t="n">
        <v>0</v>
      </c>
    </row>
    <row r="531">
      <c r="A531" s="58" t="inlineStr">
        <is>
          <t>Mike Ast</t>
        </is>
      </c>
      <c r="B531" s="58" t="inlineStr">
        <is>
          <t>Amplify</t>
        </is>
      </c>
      <c r="C531" s="58" t="inlineStr">
        <is>
          <t>Boston Beer Company</t>
        </is>
      </c>
      <c r="D531" s="58" t="inlineStr">
        <is>
          <t>Dogfish Head Beer</t>
        </is>
      </c>
      <c r="E531" s="53" t="n">
        <v>848</v>
      </c>
      <c r="F531" s="53" t="n">
        <v>953</v>
      </c>
      <c r="G531" s="55" t="n">
        <v>29328.8</v>
      </c>
      <c r="H531" s="55" t="n">
        <v>32190.8</v>
      </c>
      <c r="I531" s="55" t="n">
        <v>7438.729999999999</v>
      </c>
      <c r="J531" s="55" t="n">
        <v>7687.139999999999</v>
      </c>
      <c r="K531" s="53" t="n">
        <v>32</v>
      </c>
      <c r="L531" s="53" t="n">
        <v>29</v>
      </c>
      <c r="M531" s="53" t="n">
        <v>0</v>
      </c>
      <c r="N531" s="53" t="n">
        <v>0</v>
      </c>
      <c r="O531" s="53" t="n">
        <v>3</v>
      </c>
      <c r="P531" s="53" t="n">
        <v>11</v>
      </c>
    </row>
    <row r="532">
      <c r="A532" s="58" t="inlineStr">
        <is>
          <t>Mike Ast</t>
        </is>
      </c>
      <c r="B532" s="58" t="inlineStr">
        <is>
          <t>Amplify</t>
        </is>
      </c>
      <c r="C532" s="58" t="inlineStr">
        <is>
          <t>Boston Beer Company</t>
        </is>
      </c>
      <c r="D532" s="58" t="inlineStr">
        <is>
          <t>Dogfish Head Spirits</t>
        </is>
      </c>
      <c r="E532" s="53" t="n">
        <v>257</v>
      </c>
      <c r="F532" s="53" t="n">
        <v>183</v>
      </c>
      <c r="G532" s="55" t="n">
        <v>13011.8</v>
      </c>
      <c r="H532" s="55" t="n">
        <v>8970.700000000001</v>
      </c>
      <c r="I532" s="55" t="n">
        <v>4640.67</v>
      </c>
      <c r="J532" s="55" t="n">
        <v>2951.89</v>
      </c>
      <c r="K532" s="53" t="n">
        <v>11</v>
      </c>
      <c r="L532" s="53" t="n">
        <v>9</v>
      </c>
      <c r="M532" s="53" t="n">
        <v>1</v>
      </c>
      <c r="N532" s="53" t="n">
        <v>1</v>
      </c>
      <c r="O532" s="53" t="n">
        <v>3</v>
      </c>
      <c r="P532" s="53" t="n">
        <v>37</v>
      </c>
    </row>
    <row r="533">
      <c r="A533" s="58" t="inlineStr">
        <is>
          <t>Mike Ast</t>
        </is>
      </c>
      <c r="B533" s="58" t="inlineStr">
        <is>
          <t>Amplify</t>
        </is>
      </c>
      <c r="C533" s="58" t="inlineStr">
        <is>
          <t>Cape May</t>
        </is>
      </c>
      <c r="D533" s="58" t="inlineStr">
        <is>
          <t>Cape May</t>
        </is>
      </c>
      <c r="E533" s="53" t="n">
        <v>1033</v>
      </c>
      <c r="F533" s="53" t="n">
        <v>1031</v>
      </c>
      <c r="G533" s="55" t="n">
        <v>41896.2</v>
      </c>
      <c r="H533" s="55" t="n">
        <v>41044</v>
      </c>
      <c r="I533" s="55" t="n">
        <v>12298.38</v>
      </c>
      <c r="J533" s="55" t="n">
        <v>12074.85</v>
      </c>
      <c r="K533" s="53" t="n">
        <v>27</v>
      </c>
      <c r="L533" s="53" t="n">
        <v>26</v>
      </c>
      <c r="M533" s="53" t="n">
        <v>3</v>
      </c>
      <c r="N533" s="53" t="n">
        <v>20</v>
      </c>
      <c r="O533" s="53" t="n">
        <v>4</v>
      </c>
      <c r="P533" s="53" t="n">
        <v>56</v>
      </c>
    </row>
    <row r="534">
      <c r="A534" s="58" t="inlineStr">
        <is>
          <t>Mike Ast</t>
        </is>
      </c>
      <c r="B534" s="58" t="inlineStr">
        <is>
          <t>Amplify</t>
        </is>
      </c>
      <c r="C534" s="58" t="inlineStr">
        <is>
          <t>Constellation Brands</t>
        </is>
      </c>
      <c r="D534" s="58" t="inlineStr">
        <is>
          <t>Corona Premier</t>
        </is>
      </c>
      <c r="E534" s="53" t="n">
        <v>832</v>
      </c>
      <c r="F534" s="53" t="n">
        <v>799</v>
      </c>
      <c r="G534" s="55" t="n">
        <v>26029.45</v>
      </c>
      <c r="H534" s="55" t="n">
        <v>21879.2</v>
      </c>
      <c r="I534" s="55" t="n">
        <v>5467.339999999999</v>
      </c>
      <c r="J534" s="55" t="n">
        <v>5588.22</v>
      </c>
      <c r="K534" s="53" t="n">
        <v>26</v>
      </c>
      <c r="L534" s="53" t="n">
        <v>26</v>
      </c>
      <c r="M534" s="53" t="n">
        <v>2</v>
      </c>
      <c r="N534" s="53" t="n">
        <v>10</v>
      </c>
      <c r="O534" s="53" t="n">
        <v>2</v>
      </c>
      <c r="P534" s="53" t="n">
        <v>5</v>
      </c>
    </row>
    <row r="535">
      <c r="A535" s="58" t="inlineStr">
        <is>
          <t>Mike Ast</t>
        </is>
      </c>
      <c r="B535" s="58" t="inlineStr">
        <is>
          <t>Amplify</t>
        </is>
      </c>
      <c r="C535" s="58" t="inlineStr">
        <is>
          <t>Constellation Brands</t>
        </is>
      </c>
      <c r="D535" s="58" t="inlineStr">
        <is>
          <t>Modelo Chelada</t>
        </is>
      </c>
      <c r="E535" s="53" t="n">
        <v>783</v>
      </c>
      <c r="F535" s="53" t="n">
        <v>1204</v>
      </c>
      <c r="G535" s="55" t="n">
        <v>24365.69999999999</v>
      </c>
      <c r="H535" s="55" t="n">
        <v>37359.05</v>
      </c>
      <c r="I535" s="55" t="n">
        <v>6387.109999999999</v>
      </c>
      <c r="J535" s="55" t="n">
        <v>9616.649999999998</v>
      </c>
      <c r="K535" s="53" t="n">
        <v>23</v>
      </c>
      <c r="L535" s="53" t="n">
        <v>23</v>
      </c>
      <c r="M535" s="53" t="n">
        <v>0</v>
      </c>
      <c r="N535" s="53" t="n">
        <v>0</v>
      </c>
      <c r="O535" s="53" t="n">
        <v>0</v>
      </c>
      <c r="P535" s="53" t="n">
        <v>0</v>
      </c>
    </row>
    <row r="536">
      <c r="A536" s="58" t="inlineStr">
        <is>
          <t>Mike Ast</t>
        </is>
      </c>
      <c r="B536" s="58" t="inlineStr">
        <is>
          <t>Amplify</t>
        </is>
      </c>
      <c r="C536" s="58" t="inlineStr">
        <is>
          <t>Constellation Brands</t>
        </is>
      </c>
      <c r="D536" s="58" t="inlineStr">
        <is>
          <t>Pacifico</t>
        </is>
      </c>
      <c r="E536" s="53" t="n">
        <v>590</v>
      </c>
      <c r="F536" s="53" t="n">
        <v>817</v>
      </c>
      <c r="G536" s="55" t="n">
        <v>17898</v>
      </c>
      <c r="H536" s="55" t="n">
        <v>25020.55</v>
      </c>
      <c r="I536" s="55" t="n">
        <v>4156.01</v>
      </c>
      <c r="J536" s="55" t="n">
        <v>5817.780000000001</v>
      </c>
      <c r="K536" s="53" t="n">
        <v>24</v>
      </c>
      <c r="L536" s="53" t="n">
        <v>24</v>
      </c>
      <c r="M536" s="53" t="n">
        <v>0</v>
      </c>
      <c r="N536" s="53" t="n">
        <v>0</v>
      </c>
      <c r="O536" s="53" t="n">
        <v>0</v>
      </c>
      <c r="P536" s="53" t="n">
        <v>0</v>
      </c>
    </row>
    <row r="537">
      <c r="A537" s="58" t="inlineStr">
        <is>
          <t>Mike Ast</t>
        </is>
      </c>
      <c r="B537" s="58" t="inlineStr">
        <is>
          <t>Amplify</t>
        </is>
      </c>
      <c r="C537" s="58" t="inlineStr">
        <is>
          <t>Constellation Brands</t>
        </is>
      </c>
      <c r="D537" s="58" t="inlineStr">
        <is>
          <t>Victoria</t>
        </is>
      </c>
      <c r="E537" s="53" t="n">
        <v>292</v>
      </c>
      <c r="F537" s="53" t="n">
        <v>334</v>
      </c>
      <c r="G537" s="55" t="n">
        <v>8808.499999999998</v>
      </c>
      <c r="H537" s="55" t="n">
        <v>10120.5</v>
      </c>
      <c r="I537" s="55" t="n">
        <v>2155.42</v>
      </c>
      <c r="J537" s="55" t="n">
        <v>2437.300000000001</v>
      </c>
      <c r="K537" s="53" t="n">
        <v>14</v>
      </c>
      <c r="L537" s="53" t="n">
        <v>13</v>
      </c>
      <c r="M537" s="53" t="n">
        <v>1</v>
      </c>
      <c r="N537" s="53" t="n">
        <v>4</v>
      </c>
      <c r="O537" s="53" t="n">
        <v>2</v>
      </c>
      <c r="P537" s="53" t="n">
        <v>9</v>
      </c>
    </row>
    <row r="538">
      <c r="A538" s="58" t="inlineStr">
        <is>
          <t>Mike Ast</t>
        </is>
      </c>
      <c r="B538" s="58" t="inlineStr">
        <is>
          <t>Amplify</t>
        </is>
      </c>
      <c r="C538" s="58" t="inlineStr">
        <is>
          <t>DG Yuengling Inc</t>
        </is>
      </c>
      <c r="D538" s="58" t="inlineStr">
        <is>
          <t>Yuengling Flight</t>
        </is>
      </c>
      <c r="E538" s="53" t="n">
        <v>160</v>
      </c>
      <c r="F538" s="53" t="n">
        <v>111</v>
      </c>
      <c r="G538" s="55" t="n">
        <v>3882.85</v>
      </c>
      <c r="H538" s="55" t="n">
        <v>2853.9</v>
      </c>
      <c r="I538" s="55" t="n">
        <v>1099.47</v>
      </c>
      <c r="J538" s="55" t="n">
        <v>860.8699999999999</v>
      </c>
      <c r="K538" s="53" t="n">
        <v>13</v>
      </c>
      <c r="L538" s="53" t="n">
        <v>14</v>
      </c>
      <c r="M538" s="53" t="n">
        <v>3</v>
      </c>
      <c r="N538" s="53" t="n">
        <v>4</v>
      </c>
      <c r="O538" s="53" t="n">
        <v>2</v>
      </c>
      <c r="P538" s="53" t="n">
        <v>3</v>
      </c>
    </row>
    <row r="539">
      <c r="A539" s="58" t="inlineStr">
        <is>
          <t>Mike Ast</t>
        </is>
      </c>
      <c r="B539" s="58" t="inlineStr">
        <is>
          <t>Amplify</t>
        </is>
      </c>
      <c r="C539" s="58" t="inlineStr">
        <is>
          <t>DG Yuengling Inc</t>
        </is>
      </c>
      <c r="D539" s="58" t="inlineStr">
        <is>
          <t>Yuengling Light Lager</t>
        </is>
      </c>
      <c r="E539" s="53" t="n">
        <v>143</v>
      </c>
      <c r="F539" s="53" t="n">
        <v>124</v>
      </c>
      <c r="G539" s="55" t="n">
        <v>3612.9</v>
      </c>
      <c r="H539" s="55" t="n">
        <v>3136.199999999999</v>
      </c>
      <c r="I539" s="55" t="n">
        <v>1075.57</v>
      </c>
      <c r="J539" s="55" t="n">
        <v>918.3700000000001</v>
      </c>
      <c r="K539" s="53" t="n">
        <v>18</v>
      </c>
      <c r="L539" s="53" t="n">
        <v>17</v>
      </c>
      <c r="M539" s="53" t="n">
        <v>1</v>
      </c>
      <c r="N539" s="53" t="n">
        <v>2</v>
      </c>
      <c r="O539" s="53" t="n">
        <v>2</v>
      </c>
      <c r="P539" s="53" t="n">
        <v>6</v>
      </c>
    </row>
    <row r="540">
      <c r="A540" s="58" t="inlineStr">
        <is>
          <t>Mike Ast</t>
        </is>
      </c>
      <c r="B540" s="58" t="inlineStr">
        <is>
          <t>Amplify</t>
        </is>
      </c>
      <c r="C540" s="58" t="inlineStr">
        <is>
          <t>Heineken USA</t>
        </is>
      </c>
      <c r="D540" s="58" t="inlineStr">
        <is>
          <t>Heineken 0.0</t>
        </is>
      </c>
      <c r="E540" s="53" t="n">
        <v>661</v>
      </c>
      <c r="F540" s="53" t="n">
        <v>614</v>
      </c>
      <c r="G540" s="55" t="n">
        <v>22362.90000000001</v>
      </c>
      <c r="H540" s="55" t="n">
        <v>20673.1</v>
      </c>
      <c r="I540" s="55" t="n">
        <v>5915.219999999999</v>
      </c>
      <c r="J540" s="55" t="n">
        <v>5448.170000000002</v>
      </c>
      <c r="K540" s="53" t="n">
        <v>33</v>
      </c>
      <c r="L540" s="53" t="n">
        <v>33</v>
      </c>
      <c r="M540" s="53" t="n">
        <v>2</v>
      </c>
      <c r="N540" s="53" t="n">
        <v>4</v>
      </c>
      <c r="O540" s="53" t="n">
        <v>2</v>
      </c>
      <c r="P540" s="53" t="n">
        <v>14</v>
      </c>
    </row>
    <row r="541">
      <c r="A541" s="58" t="inlineStr">
        <is>
          <t>Mike Ast</t>
        </is>
      </c>
      <c r="B541" s="58" t="inlineStr">
        <is>
          <t>Amplify</t>
        </is>
      </c>
      <c r="C541" s="58" t="inlineStr">
        <is>
          <t>Heineken USA</t>
        </is>
      </c>
      <c r="D541" s="58" t="inlineStr">
        <is>
          <t>Heineken Light</t>
        </is>
      </c>
      <c r="E541" s="53" t="n">
        <v>850</v>
      </c>
      <c r="F541" s="53" t="n">
        <v>619</v>
      </c>
      <c r="G541" s="55" t="n">
        <v>26781.15</v>
      </c>
      <c r="H541" s="55" t="n">
        <v>19307.15</v>
      </c>
      <c r="I541" s="55" t="n">
        <v>6573.65</v>
      </c>
      <c r="J541" s="55" t="n">
        <v>4589.99</v>
      </c>
      <c r="K541" s="53" t="n">
        <v>27</v>
      </c>
      <c r="L541" s="53" t="n">
        <v>25</v>
      </c>
      <c r="M541" s="53" t="n">
        <v>3</v>
      </c>
      <c r="N541" s="53" t="n">
        <v>9</v>
      </c>
      <c r="O541" s="53" t="n">
        <v>5</v>
      </c>
      <c r="P541" s="53" t="n">
        <v>43</v>
      </c>
    </row>
    <row r="542">
      <c r="A542" s="58" t="inlineStr">
        <is>
          <t>Mike Ast</t>
        </is>
      </c>
      <c r="B542" s="58" t="inlineStr">
        <is>
          <t>Amplify</t>
        </is>
      </c>
      <c r="C542" s="58" t="inlineStr">
        <is>
          <t>Mark Anthony</t>
        </is>
      </c>
      <c r="D542" s="58" t="inlineStr">
        <is>
          <t>Cayman Jack</t>
        </is>
      </c>
      <c r="E542" s="53" t="n">
        <v>568</v>
      </c>
      <c r="F542" s="53" t="n">
        <v>555</v>
      </c>
      <c r="G542" s="55" t="n">
        <v>17920</v>
      </c>
      <c r="H542" s="55" t="n">
        <v>17320.25</v>
      </c>
      <c r="I542" s="55" t="n">
        <v>4182.46</v>
      </c>
      <c r="J542" s="55" t="n">
        <v>3895.829999999999</v>
      </c>
      <c r="K542" s="53" t="n">
        <v>15</v>
      </c>
      <c r="L542" s="53" t="n">
        <v>15</v>
      </c>
      <c r="M542" s="53" t="n">
        <v>0</v>
      </c>
      <c r="N542" s="53" t="n">
        <v>0</v>
      </c>
      <c r="O542" s="53" t="n">
        <v>0</v>
      </c>
      <c r="P542" s="53" t="n">
        <v>0</v>
      </c>
    </row>
    <row r="543">
      <c r="A543" s="58" t="inlineStr">
        <is>
          <t>Mike Ast</t>
        </is>
      </c>
      <c r="B543" s="58" t="inlineStr">
        <is>
          <t>Amplify</t>
        </is>
      </c>
      <c r="C543" s="58" t="inlineStr">
        <is>
          <t>Mark Anthony</t>
        </is>
      </c>
      <c r="D543" s="58" t="inlineStr">
        <is>
          <t>Mike's Harder</t>
        </is>
      </c>
      <c r="E543" s="53" t="n">
        <v>149</v>
      </c>
      <c r="F543" s="53" t="n">
        <v>134</v>
      </c>
      <c r="G543" s="55" t="n">
        <v>4109</v>
      </c>
      <c r="H543" s="55" t="n">
        <v>3910</v>
      </c>
      <c r="I543" s="55" t="n">
        <v>894.16</v>
      </c>
      <c r="J543" s="55" t="n">
        <v>846.2100000000002</v>
      </c>
      <c r="K543" s="53" t="n">
        <v>11</v>
      </c>
      <c r="L543" s="53" t="n">
        <v>10</v>
      </c>
      <c r="M543" s="53" t="n">
        <v>0</v>
      </c>
      <c r="N543" s="53" t="n">
        <v>0</v>
      </c>
      <c r="O543" s="53" t="n">
        <v>1</v>
      </c>
      <c r="P543" s="53" t="n">
        <v>3</v>
      </c>
    </row>
    <row r="544">
      <c r="A544" s="58" t="inlineStr">
        <is>
          <t>Mike Ast</t>
        </is>
      </c>
      <c r="B544" s="58" t="inlineStr">
        <is>
          <t>Amplify</t>
        </is>
      </c>
      <c r="C544" s="58" t="inlineStr">
        <is>
          <t>Mark Anthony</t>
        </is>
      </c>
      <c r="D544" s="58" t="inlineStr">
        <is>
          <t>Mxd Cocktails</t>
        </is>
      </c>
      <c r="E544" s="53" t="n">
        <v>17</v>
      </c>
      <c r="F544" s="53" t="n">
        <v>4</v>
      </c>
      <c r="G544" s="55" t="n">
        <v>416</v>
      </c>
      <c r="H544" s="55" t="n">
        <v>96</v>
      </c>
      <c r="I544" s="55" t="n">
        <v>78.22</v>
      </c>
      <c r="J544" s="55" t="n">
        <v>18.03</v>
      </c>
      <c r="K544" s="53" t="n">
        <v>1</v>
      </c>
      <c r="L544" s="53" t="n">
        <v>1</v>
      </c>
      <c r="M544" s="53" t="n">
        <v>0</v>
      </c>
      <c r="N544" s="53" t="n">
        <v>0</v>
      </c>
      <c r="O544" s="53" t="n">
        <v>0</v>
      </c>
      <c r="P544" s="53" t="n">
        <v>0</v>
      </c>
    </row>
    <row r="545">
      <c r="A545" s="58" t="inlineStr">
        <is>
          <t>Mike Ast</t>
        </is>
      </c>
      <c r="B545" s="58" t="inlineStr">
        <is>
          <t>Amplify</t>
        </is>
      </c>
      <c r="C545" s="58" t="inlineStr">
        <is>
          <t>MolsonCoors Beverage Company</t>
        </is>
      </c>
      <c r="D545" s="58" t="inlineStr">
        <is>
          <t>Coors</t>
        </is>
      </c>
      <c r="E545" s="53" t="n">
        <v>2062</v>
      </c>
      <c r="F545" s="53" t="n">
        <v>2009</v>
      </c>
      <c r="G545" s="55" t="n">
        <v>45193.4</v>
      </c>
      <c r="H545" s="55" t="n">
        <v>45918.6</v>
      </c>
      <c r="I545" s="55" t="n">
        <v>11806.12</v>
      </c>
      <c r="J545" s="55" t="n">
        <v>12446.93</v>
      </c>
      <c r="K545" s="53" t="n">
        <v>29</v>
      </c>
      <c r="L545" s="53" t="n">
        <v>29</v>
      </c>
      <c r="M545" s="53" t="n">
        <v>1</v>
      </c>
      <c r="N545" s="53" t="n">
        <v>2</v>
      </c>
      <c r="O545" s="53" t="n">
        <v>1</v>
      </c>
      <c r="P545" s="53" t="n">
        <v>6</v>
      </c>
    </row>
    <row r="546">
      <c r="A546" s="58" t="inlineStr">
        <is>
          <t>Mike Ast</t>
        </is>
      </c>
      <c r="B546" s="58" t="inlineStr">
        <is>
          <t>Amplify</t>
        </is>
      </c>
      <c r="C546" s="58" t="inlineStr">
        <is>
          <t>MolsonCoors Beverage Company</t>
        </is>
      </c>
      <c r="D546" s="58" t="inlineStr">
        <is>
          <t>Fever Tree</t>
        </is>
      </c>
      <c r="E546" s="53" t="n">
        <v>130</v>
      </c>
      <c r="F546" s="53" t="n">
        <v>197</v>
      </c>
      <c r="G546" s="55" t="n">
        <v>5601.96</v>
      </c>
      <c r="H546" s="55" t="n">
        <v>8906.959999999999</v>
      </c>
      <c r="I546" s="55" t="n">
        <v>1661.33</v>
      </c>
      <c r="J546" s="55" t="n">
        <v>2840.73</v>
      </c>
      <c r="K546" s="53" t="n">
        <v>19</v>
      </c>
      <c r="L546" s="53" t="n">
        <v>16</v>
      </c>
      <c r="M546" s="53" t="n">
        <v>4</v>
      </c>
      <c r="N546" s="53" t="n">
        <v>17</v>
      </c>
      <c r="O546" s="53" t="n">
        <v>7</v>
      </c>
      <c r="P546" s="53" t="n">
        <v>33</v>
      </c>
    </row>
    <row r="547">
      <c r="A547" s="58" t="inlineStr">
        <is>
          <t>Mike Ast</t>
        </is>
      </c>
      <c r="B547" s="58" t="inlineStr">
        <is>
          <t>Amplify</t>
        </is>
      </c>
      <c r="C547" s="58" t="inlineStr">
        <is>
          <t>MolsonCoors Beverage Company</t>
        </is>
      </c>
      <c r="D547" s="58" t="inlineStr">
        <is>
          <t>Peroni</t>
        </is>
      </c>
      <c r="E547" s="53" t="n">
        <v>1310</v>
      </c>
      <c r="F547" s="53" t="n">
        <v>1476</v>
      </c>
      <c r="G547" s="55" t="n">
        <v>44805.59999999999</v>
      </c>
      <c r="H547" s="55" t="n">
        <v>49701.29999999999</v>
      </c>
      <c r="I547" s="55" t="n">
        <v>9125.629999999996</v>
      </c>
      <c r="J547" s="55" t="n">
        <v>9585.32</v>
      </c>
      <c r="K547" s="53" t="n">
        <v>39</v>
      </c>
      <c r="L547" s="53" t="n">
        <v>39</v>
      </c>
      <c r="M547" s="53" t="n">
        <v>1</v>
      </c>
      <c r="N547" s="53" t="n">
        <v>24</v>
      </c>
      <c r="O547" s="53" t="n">
        <v>1</v>
      </c>
      <c r="P547" s="53" t="n">
        <v>21</v>
      </c>
    </row>
    <row r="548">
      <c r="A548" s="58" t="inlineStr">
        <is>
          <t>Mike Ast</t>
        </is>
      </c>
      <c r="B548" s="58" t="inlineStr">
        <is>
          <t>Amplify</t>
        </is>
      </c>
      <c r="C548" s="58" t="inlineStr">
        <is>
          <t>New Belgium Brewing Company</t>
        </is>
      </c>
      <c r="D548" s="58" t="inlineStr">
        <is>
          <t>Fat Tire Family</t>
        </is>
      </c>
      <c r="E548" s="53" t="n">
        <v>136</v>
      </c>
      <c r="F548" s="53" t="n">
        <v>99</v>
      </c>
      <c r="G548" s="55" t="n">
        <v>4594.7</v>
      </c>
      <c r="H548" s="55" t="n">
        <v>3103</v>
      </c>
      <c r="I548" s="55" t="n">
        <v>1125.69</v>
      </c>
      <c r="J548" s="55" t="n">
        <v>738.1999999999999</v>
      </c>
      <c r="K548" s="53" t="n">
        <v>23</v>
      </c>
      <c r="L548" s="53" t="n">
        <v>19</v>
      </c>
      <c r="M548" s="53" t="n">
        <v>1</v>
      </c>
      <c r="N548" s="53" t="n">
        <v>2</v>
      </c>
      <c r="O548" s="53" t="n">
        <v>5</v>
      </c>
      <c r="P548" s="53" t="n">
        <v>12</v>
      </c>
    </row>
    <row r="549">
      <c r="A549" s="58" t="inlineStr">
        <is>
          <t>Mike Ast</t>
        </is>
      </c>
      <c r="B549" s="58" t="inlineStr">
        <is>
          <t>Amplify</t>
        </is>
      </c>
      <c r="C549" s="58" t="inlineStr">
        <is>
          <t>New Belgium Brewing Company</t>
        </is>
      </c>
      <c r="D549" s="58" t="inlineStr">
        <is>
          <t>Kirin Ichiban</t>
        </is>
      </c>
      <c r="E549" s="53" t="n">
        <v>2</v>
      </c>
      <c r="F549" s="53" t="n">
        <v>21</v>
      </c>
      <c r="G549" s="55" t="n">
        <v>72</v>
      </c>
      <c r="H549" s="55" t="n">
        <v>625.5</v>
      </c>
      <c r="I549" s="55" t="n">
        <v>23.64</v>
      </c>
      <c r="J549" s="55" t="n">
        <v>165.6</v>
      </c>
      <c r="K549" s="53" t="n">
        <v>1</v>
      </c>
      <c r="L549" s="53" t="n">
        <v>3</v>
      </c>
      <c r="M549" s="53" t="n">
        <v>2</v>
      </c>
      <c r="N549" s="53" t="n">
        <v>18</v>
      </c>
      <c r="O549" s="53" t="n">
        <v>0</v>
      </c>
      <c r="P549" s="53" t="n">
        <v>0</v>
      </c>
    </row>
    <row r="550">
      <c r="A550" s="58" t="inlineStr">
        <is>
          <t>Mike Ast</t>
        </is>
      </c>
      <c r="B550" s="58" t="inlineStr">
        <is>
          <t>Amplify</t>
        </is>
      </c>
      <c r="C550" s="58" t="inlineStr">
        <is>
          <t>New Belgium Brewing Company</t>
        </is>
      </c>
      <c r="D550" s="58" t="inlineStr">
        <is>
          <t>Voodoo Family</t>
        </is>
      </c>
      <c r="E550" s="53" t="n">
        <v>669</v>
      </c>
      <c r="F550" s="53" t="n">
        <v>720</v>
      </c>
      <c r="G550" s="55" t="n">
        <v>23932.4</v>
      </c>
      <c r="H550" s="55" t="n">
        <v>25767.7</v>
      </c>
      <c r="I550" s="55" t="n">
        <v>5974.119999999999</v>
      </c>
      <c r="J550" s="55" t="n">
        <v>6420.820000000002</v>
      </c>
      <c r="K550" s="53" t="n">
        <v>23</v>
      </c>
      <c r="L550" s="53" t="n">
        <v>26</v>
      </c>
      <c r="M550" s="53" t="n">
        <v>4</v>
      </c>
      <c r="N550" s="53" t="n">
        <v>26</v>
      </c>
      <c r="O550" s="53" t="n">
        <v>1</v>
      </c>
      <c r="P550" s="53" t="n">
        <v>5</v>
      </c>
    </row>
    <row r="551">
      <c r="A551" s="58" t="inlineStr">
        <is>
          <t>Mike Ast</t>
        </is>
      </c>
      <c r="B551" s="58" t="inlineStr">
        <is>
          <t>Amplify</t>
        </is>
      </c>
      <c r="C551" s="58" t="inlineStr">
        <is>
          <t>Sapporo</t>
        </is>
      </c>
      <c r="D551" s="58" t="inlineStr">
        <is>
          <t>Sapporo</t>
        </is>
      </c>
      <c r="E551" s="53" t="n">
        <v>454</v>
      </c>
      <c r="F551" s="53" t="n">
        <v>468</v>
      </c>
      <c r="G551" s="55" t="n">
        <v>13429.5</v>
      </c>
      <c r="H551" s="55" t="n">
        <v>13891</v>
      </c>
      <c r="I551" s="55" t="n">
        <v>3563.02</v>
      </c>
      <c r="J551" s="55" t="n">
        <v>3638.900000000001</v>
      </c>
      <c r="K551" s="53" t="n">
        <v>26</v>
      </c>
      <c r="L551" s="53" t="n">
        <v>27</v>
      </c>
      <c r="M551" s="53" t="n">
        <v>4</v>
      </c>
      <c r="N551" s="53" t="n">
        <v>13</v>
      </c>
      <c r="O551" s="53" t="n">
        <v>3</v>
      </c>
      <c r="P551" s="53" t="n">
        <v>45</v>
      </c>
    </row>
    <row r="552">
      <c r="A552" s="58" t="inlineStr">
        <is>
          <t>Mike Ast</t>
        </is>
      </c>
      <c r="B552" s="58" t="inlineStr">
        <is>
          <t>Qualifier</t>
        </is>
      </c>
      <c r="C552" s="58" t="inlineStr">
        <is>
          <t>Boston Beer Company</t>
        </is>
      </c>
      <c r="D552" s="58" t="inlineStr">
        <is>
          <t>Truly</t>
        </is>
      </c>
      <c r="E552" s="53" t="n">
        <v>668</v>
      </c>
      <c r="F552" s="53" t="n">
        <v>339</v>
      </c>
      <c r="G552" s="55" t="n">
        <v>18993.8</v>
      </c>
      <c r="H552" s="55" t="n">
        <v>9804.599999999997</v>
      </c>
      <c r="I552" s="55" t="n">
        <v>3845.18</v>
      </c>
      <c r="J552" s="55" t="n">
        <v>2106.200000000001</v>
      </c>
      <c r="K552" s="53" t="n">
        <v>15</v>
      </c>
      <c r="L552" s="53" t="n">
        <v>17</v>
      </c>
      <c r="M552" s="53" t="n">
        <v>6</v>
      </c>
      <c r="N552" s="53" t="n">
        <v>12</v>
      </c>
      <c r="O552" s="53" t="n">
        <v>4</v>
      </c>
      <c r="P552" s="53" t="n">
        <v>66</v>
      </c>
    </row>
    <row r="553">
      <c r="A553" s="58" t="inlineStr">
        <is>
          <t>Mike Ast</t>
        </is>
      </c>
      <c r="B553" s="58" t="inlineStr">
        <is>
          <t>Qualifier</t>
        </is>
      </c>
      <c r="C553" s="58" t="inlineStr">
        <is>
          <t>Boston Beer Company</t>
        </is>
      </c>
      <c r="D553" s="58" t="inlineStr">
        <is>
          <t>Twisted Tea</t>
        </is>
      </c>
      <c r="E553" s="53" t="n">
        <v>2087</v>
      </c>
      <c r="F553" s="53" t="n">
        <v>1476</v>
      </c>
      <c r="G553" s="55" t="n">
        <v>61193.25</v>
      </c>
      <c r="H553" s="55" t="n">
        <v>43144.25</v>
      </c>
      <c r="I553" s="55" t="n">
        <v>15329.84</v>
      </c>
      <c r="J553" s="55" t="n">
        <v>10764.67</v>
      </c>
      <c r="K553" s="53" t="n">
        <v>27</v>
      </c>
      <c r="L553" s="53" t="n">
        <v>25</v>
      </c>
      <c r="M553" s="53" t="n">
        <v>0</v>
      </c>
      <c r="N553" s="53" t="n">
        <v>0</v>
      </c>
      <c r="O553" s="53" t="n">
        <v>2</v>
      </c>
      <c r="P553" s="53" t="n">
        <v>12</v>
      </c>
    </row>
    <row r="554">
      <c r="A554" s="58" t="inlineStr">
        <is>
          <t>Mike Ast</t>
        </is>
      </c>
      <c r="B554" s="58" t="inlineStr">
        <is>
          <t>Qualifier</t>
        </is>
      </c>
      <c r="C554" s="58" t="inlineStr">
        <is>
          <t>Constellation Brands</t>
        </is>
      </c>
      <c r="D554" s="58" t="inlineStr">
        <is>
          <t>Corona Extra</t>
        </is>
      </c>
      <c r="E554" s="53" t="n">
        <v>13632</v>
      </c>
      <c r="F554" s="53" t="n">
        <v>12997</v>
      </c>
      <c r="G554" s="55" t="n">
        <v>438672.1500000001</v>
      </c>
      <c r="H554" s="55" t="n">
        <v>421971.6499999999</v>
      </c>
      <c r="I554" s="55" t="n">
        <v>103334.75</v>
      </c>
      <c r="J554" s="55" t="n">
        <v>102241.98</v>
      </c>
      <c r="K554" s="53" t="n">
        <v>42</v>
      </c>
      <c r="L554" s="53" t="n">
        <v>42</v>
      </c>
      <c r="M554" s="53" t="n">
        <v>0</v>
      </c>
      <c r="N554" s="53" t="n">
        <v>0</v>
      </c>
      <c r="O554" s="53" t="n">
        <v>0</v>
      </c>
      <c r="P554" s="53" t="n">
        <v>0</v>
      </c>
    </row>
    <row r="555">
      <c r="A555" s="58" t="inlineStr">
        <is>
          <t>Mike Ast</t>
        </is>
      </c>
      <c r="B555" s="58" t="inlineStr">
        <is>
          <t>Qualifier</t>
        </is>
      </c>
      <c r="C555" s="58" t="inlineStr">
        <is>
          <t>Constellation Brands</t>
        </is>
      </c>
      <c r="D555" s="58" t="inlineStr">
        <is>
          <t>Modelo Especial</t>
        </is>
      </c>
      <c r="E555" s="53" t="n">
        <v>10958</v>
      </c>
      <c r="F555" s="53" t="n">
        <v>11816</v>
      </c>
      <c r="G555" s="55" t="n">
        <v>336352.75</v>
      </c>
      <c r="H555" s="55" t="n">
        <v>362886.5500000001</v>
      </c>
      <c r="I555" s="55" t="n">
        <v>74377.52999999998</v>
      </c>
      <c r="J555" s="55" t="n">
        <v>83549.57000000001</v>
      </c>
      <c r="K555" s="53" t="n">
        <v>35</v>
      </c>
      <c r="L555" s="53" t="n">
        <v>34</v>
      </c>
      <c r="M555" s="53" t="n">
        <v>0</v>
      </c>
      <c r="N555" s="53" t="n">
        <v>0</v>
      </c>
      <c r="O555" s="53" t="n">
        <v>1</v>
      </c>
      <c r="P555" s="53" t="n">
        <v>3</v>
      </c>
    </row>
    <row r="556">
      <c r="A556" s="58" t="inlineStr">
        <is>
          <t>Mike Ast</t>
        </is>
      </c>
      <c r="B556" s="58" t="inlineStr">
        <is>
          <t>Qualifier</t>
        </is>
      </c>
      <c r="C556" s="58" t="inlineStr">
        <is>
          <t>DG Yuengling Inc</t>
        </is>
      </c>
      <c r="D556" s="58" t="inlineStr">
        <is>
          <t>Yuengling Lager</t>
        </is>
      </c>
      <c r="E556" s="53" t="n">
        <v>3179</v>
      </c>
      <c r="F556" s="53" t="n">
        <v>3176</v>
      </c>
      <c r="G556" s="55" t="n">
        <v>71146.79999999999</v>
      </c>
      <c r="H556" s="55" t="n">
        <v>70086.55</v>
      </c>
      <c r="I556" s="55" t="n">
        <v>19599.31</v>
      </c>
      <c r="J556" s="55" t="n">
        <v>18788.9</v>
      </c>
      <c r="K556" s="53" t="n">
        <v>37</v>
      </c>
      <c r="L556" s="53" t="n">
        <v>36</v>
      </c>
      <c r="M556" s="53" t="n">
        <v>0</v>
      </c>
      <c r="N556" s="53" t="n">
        <v>0</v>
      </c>
      <c r="O556" s="53" t="n">
        <v>1</v>
      </c>
      <c r="P556" s="53" t="n">
        <v>21</v>
      </c>
    </row>
    <row r="557">
      <c r="A557" s="58" t="inlineStr">
        <is>
          <t>Mike Ast</t>
        </is>
      </c>
      <c r="B557" s="58" t="inlineStr">
        <is>
          <t>Qualifier</t>
        </is>
      </c>
      <c r="C557" s="58" t="inlineStr">
        <is>
          <t>Heineken USA</t>
        </is>
      </c>
      <c r="D557" s="58" t="inlineStr">
        <is>
          <t>Heineken USA</t>
        </is>
      </c>
      <c r="E557" s="53" t="n">
        <v>4997</v>
      </c>
      <c r="F557" s="53" t="n">
        <v>4835</v>
      </c>
      <c r="G557" s="55" t="n">
        <v>156616.3</v>
      </c>
      <c r="H557" s="55" t="n">
        <v>149758</v>
      </c>
      <c r="I557" s="55" t="n">
        <v>38457.27999999999</v>
      </c>
      <c r="J557" s="55" t="n">
        <v>35483.34</v>
      </c>
      <c r="K557" s="53" t="n">
        <v>38</v>
      </c>
      <c r="L557" s="53" t="n">
        <v>41</v>
      </c>
      <c r="M557" s="53" t="n">
        <v>4</v>
      </c>
      <c r="N557" s="53" t="n">
        <v>12</v>
      </c>
      <c r="O557" s="53" t="n">
        <v>1</v>
      </c>
      <c r="P557" s="53" t="n">
        <v>3</v>
      </c>
    </row>
    <row r="558">
      <c r="A558" s="58" t="inlineStr">
        <is>
          <t>Mike Ast</t>
        </is>
      </c>
      <c r="B558" s="58" t="inlineStr">
        <is>
          <t>Qualifier</t>
        </is>
      </c>
      <c r="C558" s="58" t="inlineStr">
        <is>
          <t>Mark Anthony</t>
        </is>
      </c>
      <c r="D558" s="58" t="inlineStr">
        <is>
          <t>White Claw</t>
        </is>
      </c>
      <c r="E558" s="53" t="n">
        <v>6284</v>
      </c>
      <c r="F558" s="53" t="n">
        <v>6248</v>
      </c>
      <c r="G558" s="55" t="n">
        <v>195485.8</v>
      </c>
      <c r="H558" s="55" t="n">
        <v>194601.3</v>
      </c>
      <c r="I558" s="55" t="n">
        <v>39557.68999999999</v>
      </c>
      <c r="J558" s="55" t="n">
        <v>37280.3</v>
      </c>
      <c r="K558" s="53" t="n">
        <v>34</v>
      </c>
      <c r="L558" s="53" t="n">
        <v>31</v>
      </c>
      <c r="M558" s="53" t="n">
        <v>0</v>
      </c>
      <c r="N558" s="53" t="n">
        <v>0</v>
      </c>
      <c r="O558" s="53" t="n">
        <v>3</v>
      </c>
      <c r="P558" s="53" t="n">
        <v>7</v>
      </c>
    </row>
    <row r="559">
      <c r="A559" s="58" t="inlineStr">
        <is>
          <t>Mike Ast</t>
        </is>
      </c>
      <c r="B559" s="58" t="inlineStr">
        <is>
          <t>Qualifier</t>
        </is>
      </c>
      <c r="C559" s="58" t="inlineStr">
        <is>
          <t>MolsonCoors Beverage Company</t>
        </is>
      </c>
      <c r="D559" s="58" t="inlineStr">
        <is>
          <t>Blue Moon</t>
        </is>
      </c>
      <c r="E559" s="53" t="n">
        <v>1938</v>
      </c>
      <c r="F559" s="53" t="n">
        <v>1803</v>
      </c>
      <c r="G559" s="55" t="n">
        <v>62077.8</v>
      </c>
      <c r="H559" s="55" t="n">
        <v>57592.64999999999</v>
      </c>
      <c r="I559" s="55" t="n">
        <v>14155.25</v>
      </c>
      <c r="J559" s="55" t="n">
        <v>13256.12</v>
      </c>
      <c r="K559" s="53" t="n">
        <v>38</v>
      </c>
      <c r="L559" s="53" t="n">
        <v>37</v>
      </c>
      <c r="M559" s="53" t="n">
        <v>2</v>
      </c>
      <c r="N559" s="53" t="n">
        <v>11</v>
      </c>
      <c r="O559" s="53" t="n">
        <v>3</v>
      </c>
      <c r="P559" s="53" t="n">
        <v>17</v>
      </c>
    </row>
    <row r="560">
      <c r="A560" s="58" t="inlineStr">
        <is>
          <t>Mike Ast</t>
        </is>
      </c>
      <c r="B560" s="58" t="inlineStr">
        <is>
          <t>Qualifier</t>
        </is>
      </c>
      <c r="C560" s="58" t="inlineStr">
        <is>
          <t>MolsonCoors Beverage Company</t>
        </is>
      </c>
      <c r="D560" s="58" t="inlineStr">
        <is>
          <t>Coors Light</t>
        </is>
      </c>
      <c r="E560" s="53" t="n">
        <v>12577</v>
      </c>
      <c r="F560" s="53" t="n">
        <v>11972</v>
      </c>
      <c r="G560" s="55" t="n">
        <v>266896.5</v>
      </c>
      <c r="H560" s="55" t="n">
        <v>261424.35</v>
      </c>
      <c r="I560" s="55" t="n">
        <v>67893.08000000002</v>
      </c>
      <c r="J560" s="55" t="n">
        <v>68053.25000000001</v>
      </c>
      <c r="K560" s="53" t="n">
        <v>42</v>
      </c>
      <c r="L560" s="53" t="n">
        <v>40</v>
      </c>
      <c r="M560" s="53" t="n">
        <v>0</v>
      </c>
      <c r="N560" s="53" t="n">
        <v>0</v>
      </c>
      <c r="O560" s="53" t="n">
        <v>2</v>
      </c>
      <c r="P560" s="53" t="n">
        <v>2</v>
      </c>
    </row>
    <row r="561">
      <c r="A561" s="58" t="inlineStr">
        <is>
          <t>Mike Ast</t>
        </is>
      </c>
      <c r="B561" s="58" t="inlineStr">
        <is>
          <t>Qualifier</t>
        </is>
      </c>
      <c r="C561" s="58" t="inlineStr">
        <is>
          <t>MolsonCoors Beverage Company</t>
        </is>
      </c>
      <c r="D561" s="58" t="inlineStr">
        <is>
          <t>Lite</t>
        </is>
      </c>
      <c r="E561" s="53" t="n">
        <v>10816</v>
      </c>
      <c r="F561" s="53" t="n">
        <v>10821</v>
      </c>
      <c r="G561" s="55" t="n">
        <v>233293.8</v>
      </c>
      <c r="H561" s="55" t="n">
        <v>237275.2499999999</v>
      </c>
      <c r="I561" s="55" t="n">
        <v>54086.10000000001</v>
      </c>
      <c r="J561" s="55" t="n">
        <v>55410.22</v>
      </c>
      <c r="K561" s="53" t="n">
        <v>34</v>
      </c>
      <c r="L561" s="53" t="n">
        <v>35</v>
      </c>
      <c r="M561" s="53" t="n">
        <v>1</v>
      </c>
      <c r="N561" s="53" t="n">
        <v>5</v>
      </c>
      <c r="O561" s="53" t="n">
        <v>0</v>
      </c>
      <c r="P561" s="53" t="n">
        <v>0</v>
      </c>
    </row>
    <row r="562">
      <c r="A562" s="58" t="inlineStr">
        <is>
          <t>Nick Melissari</t>
        </is>
      </c>
      <c r="B562" s="58" t="inlineStr">
        <is>
          <t>Amplify</t>
        </is>
      </c>
      <c r="C562" s="58" t="inlineStr">
        <is>
          <t>Boston Beer Company</t>
        </is>
      </c>
      <c r="D562" s="58" t="inlineStr">
        <is>
          <t>Dogfish Head Beer</t>
        </is>
      </c>
      <c r="E562" s="53" t="n">
        <v>641</v>
      </c>
      <c r="F562" s="53" t="n">
        <v>604</v>
      </c>
      <c r="G562" s="55" t="n">
        <v>21593</v>
      </c>
      <c r="H562" s="55" t="n">
        <v>20978.59999999999</v>
      </c>
      <c r="I562" s="55" t="n">
        <v>5910.68</v>
      </c>
      <c r="J562" s="55" t="n">
        <v>5767.920000000001</v>
      </c>
      <c r="K562" s="53" t="n">
        <v>46</v>
      </c>
      <c r="L562" s="53" t="n">
        <v>52</v>
      </c>
      <c r="M562" s="53" t="n">
        <v>19</v>
      </c>
      <c r="N562" s="53" t="n">
        <v>90</v>
      </c>
      <c r="O562" s="53" t="n">
        <v>13</v>
      </c>
      <c r="P562" s="53" t="n">
        <v>72</v>
      </c>
    </row>
    <row r="563">
      <c r="A563" s="58" t="inlineStr">
        <is>
          <t>Nick Melissari</t>
        </is>
      </c>
      <c r="B563" s="58" t="inlineStr">
        <is>
          <t>Amplify</t>
        </is>
      </c>
      <c r="C563" s="58" t="inlineStr">
        <is>
          <t>Boston Beer Company</t>
        </is>
      </c>
      <c r="D563" s="58" t="inlineStr">
        <is>
          <t>Dogfish Head Spirits</t>
        </is>
      </c>
      <c r="E563" s="53" t="n">
        <v>40</v>
      </c>
      <c r="F563" s="53" t="n">
        <v>155</v>
      </c>
      <c r="G563" s="55" t="n">
        <v>2150</v>
      </c>
      <c r="H563" s="55" t="n">
        <v>6943</v>
      </c>
      <c r="I563" s="55" t="n">
        <v>834.1999999999999</v>
      </c>
      <c r="J563" s="55" t="n">
        <v>2271.7</v>
      </c>
      <c r="K563" s="53" t="n">
        <v>2</v>
      </c>
      <c r="L563" s="53" t="n">
        <v>5</v>
      </c>
      <c r="M563" s="53" t="n">
        <v>3</v>
      </c>
      <c r="N563" s="53" t="n">
        <v>124</v>
      </c>
      <c r="O563" s="53" t="n">
        <v>0</v>
      </c>
      <c r="P563" s="53" t="n">
        <v>0</v>
      </c>
    </row>
    <row r="564">
      <c r="A564" s="58" t="inlineStr">
        <is>
          <t>Nick Melissari</t>
        </is>
      </c>
      <c r="B564" s="58" t="inlineStr">
        <is>
          <t>Amplify</t>
        </is>
      </c>
      <c r="C564" s="58" t="inlineStr">
        <is>
          <t>Cape May</t>
        </is>
      </c>
      <c r="D564" s="58" t="inlineStr">
        <is>
          <t>Cape May</t>
        </is>
      </c>
      <c r="E564" s="53" t="n">
        <v>240</v>
      </c>
      <c r="F564" s="53" t="n">
        <v>306</v>
      </c>
      <c r="G564" s="55" t="n">
        <v>8508.200000000001</v>
      </c>
      <c r="H564" s="55" t="n">
        <v>11198.7</v>
      </c>
      <c r="I564" s="55" t="n">
        <v>2278.13</v>
      </c>
      <c r="J564" s="55" t="n">
        <v>3275.67</v>
      </c>
      <c r="K564" s="53" t="n">
        <v>19</v>
      </c>
      <c r="L564" s="53" t="n">
        <v>24</v>
      </c>
      <c r="M564" s="53" t="n">
        <v>8</v>
      </c>
      <c r="N564" s="53" t="n">
        <v>73</v>
      </c>
      <c r="O564" s="53" t="n">
        <v>3</v>
      </c>
      <c r="P564" s="53" t="n">
        <v>20</v>
      </c>
    </row>
    <row r="565">
      <c r="A565" s="58" t="inlineStr">
        <is>
          <t>Nick Melissari</t>
        </is>
      </c>
      <c r="B565" s="58" t="inlineStr">
        <is>
          <t>Amplify</t>
        </is>
      </c>
      <c r="C565" s="58" t="inlineStr">
        <is>
          <t>Constellation Brands</t>
        </is>
      </c>
      <c r="D565" s="58" t="inlineStr">
        <is>
          <t>Corona Premier</t>
        </is>
      </c>
      <c r="E565" s="53" t="n">
        <v>201</v>
      </c>
      <c r="F565" s="53" t="n">
        <v>209</v>
      </c>
      <c r="G565" s="55" t="n">
        <v>5789.7</v>
      </c>
      <c r="H565" s="55" t="n">
        <v>5833.150000000001</v>
      </c>
      <c r="I565" s="55" t="n">
        <v>1511</v>
      </c>
      <c r="J565" s="55" t="n">
        <v>1534.01</v>
      </c>
      <c r="K565" s="53" t="n">
        <v>15</v>
      </c>
      <c r="L565" s="53" t="n">
        <v>12</v>
      </c>
      <c r="M565" s="53" t="n">
        <v>2</v>
      </c>
      <c r="N565" s="53" t="n">
        <v>8</v>
      </c>
      <c r="O565" s="53" t="n">
        <v>5</v>
      </c>
      <c r="P565" s="53" t="n">
        <v>12</v>
      </c>
    </row>
    <row r="566">
      <c r="A566" s="58" t="inlineStr">
        <is>
          <t>Nick Melissari</t>
        </is>
      </c>
      <c r="B566" s="58" t="inlineStr">
        <is>
          <t>Amplify</t>
        </is>
      </c>
      <c r="C566" s="58" t="inlineStr">
        <is>
          <t>Constellation Brands</t>
        </is>
      </c>
      <c r="D566" s="58" t="inlineStr">
        <is>
          <t>Modelo Chelada</t>
        </is>
      </c>
      <c r="E566" s="53" t="n">
        <v>24</v>
      </c>
      <c r="F566" s="53" t="n">
        <v>22</v>
      </c>
      <c r="G566" s="55" t="n">
        <v>758.3</v>
      </c>
      <c r="H566" s="55" t="n">
        <v>700.15</v>
      </c>
      <c r="I566" s="55" t="n">
        <v>213.51</v>
      </c>
      <c r="J566" s="55" t="n">
        <v>200.11</v>
      </c>
      <c r="K566" s="53" t="n">
        <v>2</v>
      </c>
      <c r="L566" s="53" t="n">
        <v>4</v>
      </c>
      <c r="M566" s="53" t="n">
        <v>2</v>
      </c>
      <c r="N566" s="53" t="n">
        <v>2</v>
      </c>
      <c r="O566" s="53" t="n">
        <v>0</v>
      </c>
      <c r="P566" s="53" t="n">
        <v>0</v>
      </c>
    </row>
    <row r="567">
      <c r="A567" s="58" t="inlineStr">
        <is>
          <t>Nick Melissari</t>
        </is>
      </c>
      <c r="B567" s="58" t="inlineStr">
        <is>
          <t>Amplify</t>
        </is>
      </c>
      <c r="C567" s="58" t="inlineStr">
        <is>
          <t>Constellation Brands</t>
        </is>
      </c>
      <c r="D567" s="58" t="inlineStr">
        <is>
          <t>Pacifico</t>
        </is>
      </c>
      <c r="E567" s="53" t="n">
        <v>211</v>
      </c>
      <c r="F567" s="53" t="n">
        <v>410</v>
      </c>
      <c r="G567" s="55" t="n">
        <v>6731.8</v>
      </c>
      <c r="H567" s="55" t="n">
        <v>12330.75</v>
      </c>
      <c r="I567" s="55" t="n">
        <v>1757.74</v>
      </c>
      <c r="J567" s="55" t="n">
        <v>3218.150000000001</v>
      </c>
      <c r="K567" s="53" t="n">
        <v>17</v>
      </c>
      <c r="L567" s="53" t="n">
        <v>24</v>
      </c>
      <c r="M567" s="53" t="n">
        <v>8</v>
      </c>
      <c r="N567" s="53" t="n">
        <v>122</v>
      </c>
      <c r="O567" s="53" t="n">
        <v>1</v>
      </c>
      <c r="P567" s="53" t="n">
        <v>3</v>
      </c>
    </row>
    <row r="568">
      <c r="A568" s="58" t="inlineStr">
        <is>
          <t>Nick Melissari</t>
        </is>
      </c>
      <c r="B568" s="58" t="inlineStr">
        <is>
          <t>Amplify</t>
        </is>
      </c>
      <c r="C568" s="58" t="inlineStr">
        <is>
          <t>Constellation Brands</t>
        </is>
      </c>
      <c r="D568" s="58" t="inlineStr">
        <is>
          <t>Victoria</t>
        </is>
      </c>
      <c r="E568" s="53" t="n">
        <v>56</v>
      </c>
      <c r="F568" s="53" t="n">
        <v>76</v>
      </c>
      <c r="G568" s="55" t="n">
        <v>1768.85</v>
      </c>
      <c r="H568" s="55" t="n">
        <v>2395.95</v>
      </c>
      <c r="I568" s="55" t="n">
        <v>410.5700000000001</v>
      </c>
      <c r="J568" s="55" t="n">
        <v>572.23</v>
      </c>
      <c r="K568" s="53" t="n">
        <v>8</v>
      </c>
      <c r="L568" s="53" t="n">
        <v>10</v>
      </c>
      <c r="M568" s="53" t="n">
        <v>2</v>
      </c>
      <c r="N568" s="53" t="n">
        <v>10</v>
      </c>
      <c r="O568" s="53" t="n">
        <v>0</v>
      </c>
      <c r="P568" s="53" t="n">
        <v>0</v>
      </c>
    </row>
    <row r="569">
      <c r="A569" s="58" t="inlineStr">
        <is>
          <t>Nick Melissari</t>
        </is>
      </c>
      <c r="B569" s="58" t="inlineStr">
        <is>
          <t>Amplify</t>
        </is>
      </c>
      <c r="C569" s="58" t="inlineStr">
        <is>
          <t>DG Yuengling Inc</t>
        </is>
      </c>
      <c r="D569" s="58" t="inlineStr">
        <is>
          <t>Yuengling Flight</t>
        </is>
      </c>
      <c r="E569" s="53" t="n">
        <v>15</v>
      </c>
      <c r="F569" s="53" t="n">
        <v>11</v>
      </c>
      <c r="G569" s="55" t="n">
        <v>282.5</v>
      </c>
      <c r="H569" s="55" t="n">
        <v>157</v>
      </c>
      <c r="I569" s="55" t="n">
        <v>91.2</v>
      </c>
      <c r="J569" s="55" t="n">
        <v>49.61000000000001</v>
      </c>
      <c r="K569" s="53" t="n">
        <v>3</v>
      </c>
      <c r="L569" s="53" t="n">
        <v>1</v>
      </c>
      <c r="M569" s="53" t="n">
        <v>1</v>
      </c>
      <c r="N569" s="53" t="n">
        <v>14</v>
      </c>
      <c r="O569" s="53" t="n">
        <v>3</v>
      </c>
      <c r="P569" s="53" t="n">
        <v>15</v>
      </c>
    </row>
    <row r="570">
      <c r="A570" s="58" t="inlineStr">
        <is>
          <t>Nick Melissari</t>
        </is>
      </c>
      <c r="B570" s="58" t="inlineStr">
        <is>
          <t>Amplify</t>
        </is>
      </c>
      <c r="C570" s="58" t="inlineStr">
        <is>
          <t>DG Yuengling Inc</t>
        </is>
      </c>
      <c r="D570" s="58" t="inlineStr">
        <is>
          <t>Yuengling Light Lager</t>
        </is>
      </c>
      <c r="E570" s="53" t="n">
        <v>1</v>
      </c>
      <c r="F570" s="53" t="n">
        <v>2</v>
      </c>
      <c r="G570" s="55" t="n">
        <v>28</v>
      </c>
      <c r="H570" s="55" t="n">
        <v>54</v>
      </c>
      <c r="I570" s="55" t="n">
        <v>8.859999999999999</v>
      </c>
      <c r="J570" s="55" t="n">
        <v>15.71</v>
      </c>
      <c r="K570" s="53" t="n">
        <v>1</v>
      </c>
      <c r="L570" s="53" t="n">
        <v>1</v>
      </c>
      <c r="M570" s="53" t="n">
        <v>1</v>
      </c>
      <c r="N570" s="53" t="n">
        <v>2</v>
      </c>
      <c r="O570" s="53" t="n">
        <v>1</v>
      </c>
      <c r="P570" s="53" t="n">
        <v>1</v>
      </c>
    </row>
    <row r="571">
      <c r="A571" s="58" t="inlineStr">
        <is>
          <t>Nick Melissari</t>
        </is>
      </c>
      <c r="B571" s="58" t="inlineStr">
        <is>
          <t>Amplify</t>
        </is>
      </c>
      <c r="C571" s="58" t="inlineStr">
        <is>
          <t>Heineken USA</t>
        </is>
      </c>
      <c r="D571" s="58" t="inlineStr">
        <is>
          <t>Heineken 0.0</t>
        </is>
      </c>
      <c r="E571" s="53" t="n">
        <v>302</v>
      </c>
      <c r="F571" s="53" t="n">
        <v>339</v>
      </c>
      <c r="G571" s="55" t="n">
        <v>10417.25</v>
      </c>
      <c r="H571" s="55" t="n">
        <v>11844.95</v>
      </c>
      <c r="I571" s="55" t="n">
        <v>3271.39</v>
      </c>
      <c r="J571" s="55" t="n">
        <v>3592.18</v>
      </c>
      <c r="K571" s="53" t="n">
        <v>87</v>
      </c>
      <c r="L571" s="53" t="n">
        <v>78</v>
      </c>
      <c r="M571" s="53" t="n">
        <v>15</v>
      </c>
      <c r="N571" s="53" t="n">
        <v>29</v>
      </c>
      <c r="O571" s="53" t="n">
        <v>24</v>
      </c>
      <c r="P571" s="53" t="n">
        <v>58</v>
      </c>
    </row>
    <row r="572">
      <c r="A572" s="58" t="inlineStr">
        <is>
          <t>Nick Melissari</t>
        </is>
      </c>
      <c r="B572" s="58" t="inlineStr">
        <is>
          <t>Amplify</t>
        </is>
      </c>
      <c r="C572" s="58" t="inlineStr">
        <is>
          <t>Heineken USA</t>
        </is>
      </c>
      <c r="D572" s="58" t="inlineStr">
        <is>
          <t>Heineken Light</t>
        </is>
      </c>
      <c r="E572" s="53" t="n">
        <v>99</v>
      </c>
      <c r="F572" s="53" t="n">
        <v>120</v>
      </c>
      <c r="G572" s="55" t="n">
        <v>3247.100000000001</v>
      </c>
      <c r="H572" s="55" t="n">
        <v>3990.300000000001</v>
      </c>
      <c r="I572" s="55" t="n">
        <v>890.9600000000002</v>
      </c>
      <c r="J572" s="55" t="n">
        <v>1134.75</v>
      </c>
      <c r="K572" s="53" t="n">
        <v>29</v>
      </c>
      <c r="L572" s="53" t="n">
        <v>32</v>
      </c>
      <c r="M572" s="53" t="n">
        <v>13</v>
      </c>
      <c r="N572" s="53" t="n">
        <v>40</v>
      </c>
      <c r="O572" s="53" t="n">
        <v>10</v>
      </c>
      <c r="P572" s="53" t="n">
        <v>32</v>
      </c>
    </row>
    <row r="573">
      <c r="A573" s="58" t="inlineStr">
        <is>
          <t>Nick Melissari</t>
        </is>
      </c>
      <c r="B573" s="58" t="inlineStr">
        <is>
          <t>Amplify</t>
        </is>
      </c>
      <c r="C573" s="58" t="inlineStr">
        <is>
          <t>Mark Anthony</t>
        </is>
      </c>
      <c r="D573" s="58" t="inlineStr">
        <is>
          <t>Cayman Jack</t>
        </is>
      </c>
      <c r="E573" s="53" t="n">
        <v>3</v>
      </c>
      <c r="F573" s="53" t="n">
        <v>4</v>
      </c>
      <c r="G573" s="55" t="n">
        <v>83.5</v>
      </c>
      <c r="H573" s="55" t="n">
        <v>146</v>
      </c>
      <c r="I573" s="55" t="n">
        <v>20.05</v>
      </c>
      <c r="J573" s="55" t="n">
        <v>31.51</v>
      </c>
      <c r="K573" s="53" t="n">
        <v>1</v>
      </c>
      <c r="L573" s="53" t="n">
        <v>1</v>
      </c>
      <c r="M573" s="53" t="n">
        <v>0</v>
      </c>
      <c r="N573" s="53" t="n">
        <v>0</v>
      </c>
      <c r="O573" s="53" t="n">
        <v>0</v>
      </c>
      <c r="P573" s="53" t="n">
        <v>0</v>
      </c>
    </row>
    <row r="574">
      <c r="A574" s="58" t="inlineStr">
        <is>
          <t>Nick Melissari</t>
        </is>
      </c>
      <c r="B574" s="58" t="inlineStr">
        <is>
          <t>Amplify</t>
        </is>
      </c>
      <c r="C574" s="58" t="inlineStr">
        <is>
          <t>Mark Anthony</t>
        </is>
      </c>
      <c r="D574" s="58" t="inlineStr">
        <is>
          <t>Mike's Harder</t>
        </is>
      </c>
      <c r="E574" s="53" t="n">
        <v>7</v>
      </c>
      <c r="F574" s="53" t="n">
        <v>0</v>
      </c>
      <c r="G574" s="55" t="n">
        <v>194</v>
      </c>
      <c r="H574" s="55" t="n">
        <v>0</v>
      </c>
      <c r="I574" s="55" t="n">
        <v>45.92</v>
      </c>
      <c r="J574" s="55" t="n">
        <v>0</v>
      </c>
      <c r="K574" s="53" t="n">
        <v>1</v>
      </c>
      <c r="L574" s="53" t="n">
        <v>0</v>
      </c>
      <c r="M574" s="53" t="n">
        <v>0</v>
      </c>
      <c r="N574" s="53" t="n">
        <v>0</v>
      </c>
      <c r="O574" s="53" t="n">
        <v>1</v>
      </c>
      <c r="P574" s="53" t="n">
        <v>7</v>
      </c>
    </row>
    <row r="575">
      <c r="A575" s="58" t="inlineStr">
        <is>
          <t>Nick Melissari</t>
        </is>
      </c>
      <c r="B575" s="58" t="inlineStr">
        <is>
          <t>Amplify</t>
        </is>
      </c>
      <c r="C575" s="58" t="inlineStr">
        <is>
          <t>Mark Anthony</t>
        </is>
      </c>
      <c r="D575" s="58" t="inlineStr">
        <is>
          <t>Mxd Cocktails</t>
        </is>
      </c>
      <c r="E575" s="53" t="n">
        <v>4</v>
      </c>
      <c r="F575" s="53" t="n">
        <v>3</v>
      </c>
      <c r="G575" s="55" t="n">
        <v>99.90000000000001</v>
      </c>
      <c r="H575" s="55" t="n">
        <v>67.90000000000001</v>
      </c>
      <c r="I575" s="55" t="n">
        <v>21.93</v>
      </c>
      <c r="J575" s="55" t="n">
        <v>15.92</v>
      </c>
      <c r="K575" s="53" t="n">
        <v>1</v>
      </c>
      <c r="L575" s="53" t="n">
        <v>1</v>
      </c>
      <c r="M575" s="53" t="n">
        <v>0</v>
      </c>
      <c r="N575" s="53" t="n">
        <v>0</v>
      </c>
      <c r="O575" s="53" t="n">
        <v>0</v>
      </c>
      <c r="P575" s="53" t="n">
        <v>0</v>
      </c>
    </row>
    <row r="576">
      <c r="A576" s="58" t="inlineStr">
        <is>
          <t>Nick Melissari</t>
        </is>
      </c>
      <c r="B576" s="58" t="inlineStr">
        <is>
          <t>Amplify</t>
        </is>
      </c>
      <c r="C576" s="58" t="inlineStr">
        <is>
          <t>MolsonCoors Beverage Company</t>
        </is>
      </c>
      <c r="D576" s="58" t="inlineStr">
        <is>
          <t>Coors</t>
        </is>
      </c>
      <c r="E576" s="53" t="n">
        <v>143</v>
      </c>
      <c r="F576" s="53" t="n">
        <v>159</v>
      </c>
      <c r="G576" s="55" t="n">
        <v>2613.25</v>
      </c>
      <c r="H576" s="55" t="n">
        <v>3294.4</v>
      </c>
      <c r="I576" s="55" t="n">
        <v>554.8000000000001</v>
      </c>
      <c r="J576" s="55" t="n">
        <v>803.1999999999999</v>
      </c>
      <c r="K576" s="53" t="n">
        <v>13</v>
      </c>
      <c r="L576" s="53" t="n">
        <v>9</v>
      </c>
      <c r="M576" s="53" t="n">
        <v>3</v>
      </c>
      <c r="N576" s="53" t="n">
        <v>7</v>
      </c>
      <c r="O576" s="53" t="n">
        <v>7</v>
      </c>
      <c r="P576" s="53" t="n">
        <v>7</v>
      </c>
    </row>
    <row r="577">
      <c r="A577" s="58" t="inlineStr">
        <is>
          <t>Nick Melissari</t>
        </is>
      </c>
      <c r="B577" s="58" t="inlineStr">
        <is>
          <t>Amplify</t>
        </is>
      </c>
      <c r="C577" s="58" t="inlineStr">
        <is>
          <t>MolsonCoors Beverage Company</t>
        </is>
      </c>
      <c r="D577" s="58" t="inlineStr">
        <is>
          <t>Fever Tree</t>
        </is>
      </c>
      <c r="E577" s="53" t="n">
        <v>110</v>
      </c>
      <c r="F577" s="53" t="n">
        <v>172</v>
      </c>
      <c r="G577" s="55" t="n">
        <v>4526.5</v>
      </c>
      <c r="H577" s="55" t="n">
        <v>7063.9</v>
      </c>
      <c r="I577" s="55" t="n">
        <v>1273.12</v>
      </c>
      <c r="J577" s="55" t="n">
        <v>1966.62</v>
      </c>
      <c r="K577" s="53" t="n">
        <v>16</v>
      </c>
      <c r="L577" s="53" t="n">
        <v>19</v>
      </c>
      <c r="M577" s="53" t="n">
        <v>6</v>
      </c>
      <c r="N577" s="53" t="n">
        <v>10</v>
      </c>
      <c r="O577" s="53" t="n">
        <v>3</v>
      </c>
      <c r="P577" s="53" t="n">
        <v>26</v>
      </c>
    </row>
    <row r="578">
      <c r="A578" s="58" t="inlineStr">
        <is>
          <t>Nick Melissari</t>
        </is>
      </c>
      <c r="B578" s="58" t="inlineStr">
        <is>
          <t>Amplify</t>
        </is>
      </c>
      <c r="C578" s="58" t="inlineStr">
        <is>
          <t>MolsonCoors Beverage Company</t>
        </is>
      </c>
      <c r="D578" s="58" t="inlineStr">
        <is>
          <t>Peroni</t>
        </is>
      </c>
      <c r="E578" s="53" t="n">
        <v>767</v>
      </c>
      <c r="F578" s="53" t="n">
        <v>1192</v>
      </c>
      <c r="G578" s="55" t="n">
        <v>27500.25</v>
      </c>
      <c r="H578" s="55" t="n">
        <v>39713.25</v>
      </c>
      <c r="I578" s="55" t="n">
        <v>6544.5</v>
      </c>
      <c r="J578" s="55" t="n">
        <v>9522.26</v>
      </c>
      <c r="K578" s="53" t="n">
        <v>56</v>
      </c>
      <c r="L578" s="53" t="n">
        <v>59</v>
      </c>
      <c r="M578" s="53" t="n">
        <v>11</v>
      </c>
      <c r="N578" s="53" t="n">
        <v>384</v>
      </c>
      <c r="O578" s="53" t="n">
        <v>8</v>
      </c>
      <c r="P578" s="53" t="n">
        <v>56</v>
      </c>
    </row>
    <row r="579">
      <c r="A579" s="58" t="inlineStr">
        <is>
          <t>Nick Melissari</t>
        </is>
      </c>
      <c r="B579" s="58" t="inlineStr">
        <is>
          <t>Amplify</t>
        </is>
      </c>
      <c r="C579" s="58" t="inlineStr">
        <is>
          <t>New Belgium Brewing Company</t>
        </is>
      </c>
      <c r="D579" s="58" t="inlineStr">
        <is>
          <t>Fat Tire Family</t>
        </is>
      </c>
      <c r="E579" s="53" t="n">
        <v>160</v>
      </c>
      <c r="F579" s="53" t="n">
        <v>141</v>
      </c>
      <c r="G579" s="55" t="n">
        <v>5434.25</v>
      </c>
      <c r="H579" s="55" t="n">
        <v>4039</v>
      </c>
      <c r="I579" s="55" t="n">
        <v>1463.63</v>
      </c>
      <c r="J579" s="55" t="n">
        <v>1179.37</v>
      </c>
      <c r="K579" s="53" t="n">
        <v>21</v>
      </c>
      <c r="L579" s="53" t="n">
        <v>18</v>
      </c>
      <c r="M579" s="53" t="n">
        <v>5</v>
      </c>
      <c r="N579" s="53" t="n">
        <v>28</v>
      </c>
      <c r="O579" s="53" t="n">
        <v>8</v>
      </c>
      <c r="P579" s="53" t="n">
        <v>32</v>
      </c>
    </row>
    <row r="580">
      <c r="A580" s="58" t="inlineStr">
        <is>
          <t>Nick Melissari</t>
        </is>
      </c>
      <c r="B580" s="58" t="inlineStr">
        <is>
          <t>Amplify</t>
        </is>
      </c>
      <c r="C580" s="58" t="inlineStr">
        <is>
          <t>New Belgium Brewing Company</t>
        </is>
      </c>
      <c r="D580" s="58" t="inlineStr">
        <is>
          <t>Kirin Ichiban</t>
        </is>
      </c>
      <c r="E580" s="53" t="n">
        <v>54</v>
      </c>
      <c r="F580" s="53" t="n">
        <v>38</v>
      </c>
      <c r="G580" s="55" t="n">
        <v>1503</v>
      </c>
      <c r="H580" s="55" t="n">
        <v>1029</v>
      </c>
      <c r="I580" s="55" t="n">
        <v>397.26</v>
      </c>
      <c r="J580" s="55" t="n">
        <v>264.54</v>
      </c>
      <c r="K580" s="53" t="n">
        <v>4</v>
      </c>
      <c r="L580" s="53" t="n">
        <v>4</v>
      </c>
      <c r="M580" s="53" t="n">
        <v>1</v>
      </c>
      <c r="N580" s="53" t="n">
        <v>7</v>
      </c>
      <c r="O580" s="53" t="n">
        <v>1</v>
      </c>
      <c r="P580" s="53" t="n">
        <v>10</v>
      </c>
    </row>
    <row r="581">
      <c r="A581" s="58" t="inlineStr">
        <is>
          <t>Nick Melissari</t>
        </is>
      </c>
      <c r="B581" s="58" t="inlineStr">
        <is>
          <t>Amplify</t>
        </is>
      </c>
      <c r="C581" s="58" t="inlineStr">
        <is>
          <t>New Belgium Brewing Company</t>
        </is>
      </c>
      <c r="D581" s="58" t="inlineStr">
        <is>
          <t>Voodoo Family</t>
        </is>
      </c>
      <c r="E581" s="53" t="n">
        <v>310</v>
      </c>
      <c r="F581" s="53" t="n">
        <v>571</v>
      </c>
      <c r="G581" s="55" t="n">
        <v>10540.1</v>
      </c>
      <c r="H581" s="55" t="n">
        <v>19126.2</v>
      </c>
      <c r="I581" s="55" t="n">
        <v>2889.89</v>
      </c>
      <c r="J581" s="55" t="n">
        <v>5507.809999999999</v>
      </c>
      <c r="K581" s="53" t="n">
        <v>24</v>
      </c>
      <c r="L581" s="53" t="n">
        <v>32</v>
      </c>
      <c r="M581" s="53" t="n">
        <v>13</v>
      </c>
      <c r="N581" s="53" t="n">
        <v>194</v>
      </c>
      <c r="O581" s="53" t="n">
        <v>5</v>
      </c>
      <c r="P581" s="53" t="n">
        <v>18</v>
      </c>
    </row>
    <row r="582">
      <c r="A582" s="58" t="inlineStr">
        <is>
          <t>Nick Melissari</t>
        </is>
      </c>
      <c r="B582" s="58" t="inlineStr">
        <is>
          <t>Amplify</t>
        </is>
      </c>
      <c r="C582" s="58" t="inlineStr">
        <is>
          <t>Sapporo</t>
        </is>
      </c>
      <c r="D582" s="58" t="inlineStr">
        <is>
          <t>Sapporo</t>
        </is>
      </c>
      <c r="E582" s="53" t="n">
        <v>143</v>
      </c>
      <c r="F582" s="53" t="n">
        <v>259</v>
      </c>
      <c r="G582" s="55" t="n">
        <v>3748.5</v>
      </c>
      <c r="H582" s="55" t="n">
        <v>7369</v>
      </c>
      <c r="I582" s="55" t="n">
        <v>963.9399999999999</v>
      </c>
      <c r="J582" s="55" t="n">
        <v>1930.79</v>
      </c>
      <c r="K582" s="53" t="n">
        <v>7</v>
      </c>
      <c r="L582" s="53" t="n">
        <v>11</v>
      </c>
      <c r="M582" s="53" t="n">
        <v>5</v>
      </c>
      <c r="N582" s="53" t="n">
        <v>102</v>
      </c>
      <c r="O582" s="53" t="n">
        <v>1</v>
      </c>
      <c r="P582" s="53" t="n">
        <v>30</v>
      </c>
    </row>
    <row r="583">
      <c r="A583" s="58" t="inlineStr">
        <is>
          <t>Nick Melissari</t>
        </is>
      </c>
      <c r="B583" s="58" t="inlineStr">
        <is>
          <t>Qualifier</t>
        </is>
      </c>
      <c r="C583" s="58" t="inlineStr">
        <is>
          <t>Boston Beer Company</t>
        </is>
      </c>
      <c r="D583" s="58" t="inlineStr">
        <is>
          <t>Truly</t>
        </is>
      </c>
      <c r="E583" s="53" t="n">
        <v>45</v>
      </c>
      <c r="F583" s="53" t="n">
        <v>73</v>
      </c>
      <c r="G583" s="55" t="n">
        <v>1338.2</v>
      </c>
      <c r="H583" s="55" t="n">
        <v>2062.6</v>
      </c>
      <c r="I583" s="55" t="n">
        <v>377.2999999999999</v>
      </c>
      <c r="J583" s="55" t="n">
        <v>512.17</v>
      </c>
      <c r="K583" s="53" t="n">
        <v>8</v>
      </c>
      <c r="L583" s="53" t="n">
        <v>10</v>
      </c>
      <c r="M583" s="53" t="n">
        <v>5</v>
      </c>
      <c r="N583" s="53" t="n">
        <v>48</v>
      </c>
      <c r="O583" s="53" t="n">
        <v>3</v>
      </c>
      <c r="P583" s="53" t="n">
        <v>13</v>
      </c>
    </row>
    <row r="584">
      <c r="A584" s="58" t="inlineStr">
        <is>
          <t>Nick Melissari</t>
        </is>
      </c>
      <c r="B584" s="58" t="inlineStr">
        <is>
          <t>Qualifier</t>
        </is>
      </c>
      <c r="C584" s="58" t="inlineStr">
        <is>
          <t>Boston Beer Company</t>
        </is>
      </c>
      <c r="D584" s="58" t="inlineStr">
        <is>
          <t>Twisted Tea</t>
        </is>
      </c>
      <c r="E584" s="53" t="n">
        <v>192</v>
      </c>
      <c r="F584" s="53" t="n">
        <v>208</v>
      </c>
      <c r="G584" s="55" t="n">
        <v>6080.5</v>
      </c>
      <c r="H584" s="55" t="n">
        <v>6541</v>
      </c>
      <c r="I584" s="55" t="n">
        <v>1845.38</v>
      </c>
      <c r="J584" s="55" t="n">
        <v>1874.52</v>
      </c>
      <c r="K584" s="53" t="n">
        <v>28</v>
      </c>
      <c r="L584" s="53" t="n">
        <v>27</v>
      </c>
      <c r="M584" s="53" t="n">
        <v>5</v>
      </c>
      <c r="N584" s="53" t="n">
        <v>32</v>
      </c>
      <c r="O584" s="53" t="n">
        <v>6</v>
      </c>
      <c r="P584" s="53" t="n">
        <v>30</v>
      </c>
    </row>
    <row r="585">
      <c r="A585" s="58" t="inlineStr">
        <is>
          <t>Nick Melissari</t>
        </is>
      </c>
      <c r="B585" s="58" t="inlineStr">
        <is>
          <t>Qualifier</t>
        </is>
      </c>
      <c r="C585" s="58" t="inlineStr">
        <is>
          <t>Constellation Brands</t>
        </is>
      </c>
      <c r="D585" s="58" t="inlineStr">
        <is>
          <t>Corona Extra</t>
        </is>
      </c>
      <c r="E585" s="53" t="n">
        <v>4853</v>
      </c>
      <c r="F585" s="53" t="n">
        <v>5806</v>
      </c>
      <c r="G585" s="55" t="n">
        <v>163939.05</v>
      </c>
      <c r="H585" s="55" t="n">
        <v>190078.9</v>
      </c>
      <c r="I585" s="55" t="n">
        <v>46535.77999999998</v>
      </c>
      <c r="J585" s="55" t="n">
        <v>53092.88</v>
      </c>
      <c r="K585" s="53" t="n">
        <v>149</v>
      </c>
      <c r="L585" s="53" t="n">
        <v>144</v>
      </c>
      <c r="M585" s="53" t="n">
        <v>5</v>
      </c>
      <c r="N585" s="53" t="n">
        <v>84</v>
      </c>
      <c r="O585" s="53" t="n">
        <v>10</v>
      </c>
      <c r="P585" s="53" t="n">
        <v>92</v>
      </c>
    </row>
    <row r="586">
      <c r="A586" s="58" t="inlineStr">
        <is>
          <t>Nick Melissari</t>
        </is>
      </c>
      <c r="B586" s="58" t="inlineStr">
        <is>
          <t>Qualifier</t>
        </is>
      </c>
      <c r="C586" s="58" t="inlineStr">
        <is>
          <t>Constellation Brands</t>
        </is>
      </c>
      <c r="D586" s="58" t="inlineStr">
        <is>
          <t>Modelo Especial</t>
        </is>
      </c>
      <c r="E586" s="53" t="n">
        <v>2778</v>
      </c>
      <c r="F586" s="53" t="n">
        <v>3775</v>
      </c>
      <c r="G586" s="55" t="n">
        <v>83558.60000000001</v>
      </c>
      <c r="H586" s="55" t="n">
        <v>111901.25</v>
      </c>
      <c r="I586" s="55" t="n">
        <v>20811.35</v>
      </c>
      <c r="J586" s="55" t="n">
        <v>29422.68000000001</v>
      </c>
      <c r="K586" s="53" t="n">
        <v>109</v>
      </c>
      <c r="L586" s="53" t="n">
        <v>120</v>
      </c>
      <c r="M586" s="53" t="n">
        <v>17</v>
      </c>
      <c r="N586" s="53" t="n">
        <v>393</v>
      </c>
      <c r="O586" s="53" t="n">
        <v>6</v>
      </c>
      <c r="P586" s="53" t="n">
        <v>100</v>
      </c>
    </row>
    <row r="587">
      <c r="A587" s="58" t="inlineStr">
        <is>
          <t>Nick Melissari</t>
        </is>
      </c>
      <c r="B587" s="58" t="inlineStr">
        <is>
          <t>Qualifier</t>
        </is>
      </c>
      <c r="C587" s="58" t="inlineStr">
        <is>
          <t>DG Yuengling Inc</t>
        </is>
      </c>
      <c r="D587" s="58" t="inlineStr">
        <is>
          <t>Yuengling Lager</t>
        </is>
      </c>
      <c r="E587" s="53" t="n">
        <v>2607</v>
      </c>
      <c r="F587" s="53" t="n">
        <v>2766</v>
      </c>
      <c r="G587" s="55" t="n">
        <v>49813</v>
      </c>
      <c r="H587" s="55" t="n">
        <v>52634.55</v>
      </c>
      <c r="I587" s="55" t="n">
        <v>14407.74</v>
      </c>
      <c r="J587" s="55" t="n">
        <v>15531.78</v>
      </c>
      <c r="K587" s="53" t="n">
        <v>99</v>
      </c>
      <c r="L587" s="53" t="n">
        <v>97</v>
      </c>
      <c r="M587" s="53" t="n">
        <v>7</v>
      </c>
      <c r="N587" s="53" t="n">
        <v>101</v>
      </c>
      <c r="O587" s="53" t="n">
        <v>9</v>
      </c>
      <c r="P587" s="53" t="n">
        <v>75</v>
      </c>
    </row>
    <row r="588">
      <c r="A588" s="58" t="inlineStr">
        <is>
          <t>Nick Melissari</t>
        </is>
      </c>
      <c r="B588" s="58" t="inlineStr">
        <is>
          <t>Qualifier</t>
        </is>
      </c>
      <c r="C588" s="58" t="inlineStr">
        <is>
          <t>Heineken USA</t>
        </is>
      </c>
      <c r="D588" s="58" t="inlineStr">
        <is>
          <t>Heineken USA</t>
        </is>
      </c>
      <c r="E588" s="53" t="n">
        <v>2420</v>
      </c>
      <c r="F588" s="53" t="n">
        <v>2556</v>
      </c>
      <c r="G588" s="55" t="n">
        <v>80560.95</v>
      </c>
      <c r="H588" s="55" t="n">
        <v>84872.90000000001</v>
      </c>
      <c r="I588" s="55" t="n">
        <v>24365.78000000001</v>
      </c>
      <c r="J588" s="55" t="n">
        <v>25265.21000000001</v>
      </c>
      <c r="K588" s="53" t="n">
        <v>140</v>
      </c>
      <c r="L588" s="53" t="n">
        <v>142</v>
      </c>
      <c r="M588" s="53" t="n">
        <v>10</v>
      </c>
      <c r="N588" s="53" t="n">
        <v>73</v>
      </c>
      <c r="O588" s="53" t="n">
        <v>8</v>
      </c>
      <c r="P588" s="53" t="n">
        <v>34</v>
      </c>
    </row>
    <row r="589">
      <c r="A589" s="58" t="inlineStr">
        <is>
          <t>Nick Melissari</t>
        </is>
      </c>
      <c r="B589" s="58" t="inlineStr">
        <is>
          <t>Qualifier</t>
        </is>
      </c>
      <c r="C589" s="58" t="inlineStr">
        <is>
          <t>Mark Anthony</t>
        </is>
      </c>
      <c r="D589" s="58" t="inlineStr">
        <is>
          <t>White Claw</t>
        </is>
      </c>
      <c r="E589" s="53" t="n">
        <v>640</v>
      </c>
      <c r="F589" s="53" t="n">
        <v>497</v>
      </c>
      <c r="G589" s="55" t="n">
        <v>22260.34999999999</v>
      </c>
      <c r="H589" s="55" t="n">
        <v>17290.40000000001</v>
      </c>
      <c r="I589" s="55" t="n">
        <v>6152.179999999998</v>
      </c>
      <c r="J589" s="55" t="n">
        <v>4607.779999999998</v>
      </c>
      <c r="K589" s="53" t="n">
        <v>72</v>
      </c>
      <c r="L589" s="53" t="n">
        <v>50</v>
      </c>
      <c r="M589" s="53" t="n">
        <v>7</v>
      </c>
      <c r="N589" s="53" t="n">
        <v>43</v>
      </c>
      <c r="O589" s="53" t="n">
        <v>29</v>
      </c>
      <c r="P589" s="53" t="n">
        <v>119</v>
      </c>
    </row>
    <row r="590">
      <c r="A590" s="58" t="inlineStr">
        <is>
          <t>Nick Melissari</t>
        </is>
      </c>
      <c r="B590" s="58" t="inlineStr">
        <is>
          <t>Qualifier</t>
        </is>
      </c>
      <c r="C590" s="58" t="inlineStr">
        <is>
          <t>MolsonCoors Beverage Company</t>
        </is>
      </c>
      <c r="D590" s="58" t="inlineStr">
        <is>
          <t>Blue Moon</t>
        </is>
      </c>
      <c r="E590" s="53" t="n">
        <v>3298</v>
      </c>
      <c r="F590" s="53" t="n">
        <v>3253</v>
      </c>
      <c r="G590" s="55" t="n">
        <v>107483.75</v>
      </c>
      <c r="H590" s="55" t="n">
        <v>101799.35</v>
      </c>
      <c r="I590" s="55" t="n">
        <v>36847.48999999998</v>
      </c>
      <c r="J590" s="55" t="n">
        <v>34639.85999999998</v>
      </c>
      <c r="K590" s="53" t="n">
        <v>119</v>
      </c>
      <c r="L590" s="53" t="n">
        <v>119</v>
      </c>
      <c r="M590" s="53" t="n">
        <v>13</v>
      </c>
      <c r="N590" s="53" t="n">
        <v>100</v>
      </c>
      <c r="O590" s="53" t="n">
        <v>13</v>
      </c>
      <c r="P590" s="53" t="n">
        <v>96</v>
      </c>
    </row>
    <row r="591">
      <c r="A591" s="58" t="inlineStr">
        <is>
          <t>Nick Melissari</t>
        </is>
      </c>
      <c r="B591" s="58" t="inlineStr">
        <is>
          <t>Qualifier</t>
        </is>
      </c>
      <c r="C591" s="58" t="inlineStr">
        <is>
          <t>MolsonCoors Beverage Company</t>
        </is>
      </c>
      <c r="D591" s="58" t="inlineStr">
        <is>
          <t>Coors Light</t>
        </is>
      </c>
      <c r="E591" s="53" t="n">
        <v>4801</v>
      </c>
      <c r="F591" s="53" t="n">
        <v>4359</v>
      </c>
      <c r="G591" s="55" t="n">
        <v>99113.3</v>
      </c>
      <c r="H591" s="55" t="n">
        <v>92080.79999999994</v>
      </c>
      <c r="I591" s="55" t="n">
        <v>25914.39000000001</v>
      </c>
      <c r="J591" s="55" t="n">
        <v>23987.99999999999</v>
      </c>
      <c r="K591" s="53" t="n">
        <v>136</v>
      </c>
      <c r="L591" s="53" t="n">
        <v>132</v>
      </c>
      <c r="M591" s="53" t="n">
        <v>8</v>
      </c>
      <c r="N591" s="53" t="n">
        <v>41</v>
      </c>
      <c r="O591" s="53" t="n">
        <v>12</v>
      </c>
      <c r="P591" s="53" t="n">
        <v>193</v>
      </c>
    </row>
    <row r="592">
      <c r="A592" s="58" t="inlineStr">
        <is>
          <t>Nick Melissari</t>
        </is>
      </c>
      <c r="B592" s="58" t="inlineStr">
        <is>
          <t>Qualifier</t>
        </is>
      </c>
      <c r="C592" s="58" t="inlineStr">
        <is>
          <t>MolsonCoors Beverage Company</t>
        </is>
      </c>
      <c r="D592" s="58" t="inlineStr">
        <is>
          <t>Lite</t>
        </is>
      </c>
      <c r="E592" s="53" t="n">
        <v>5708</v>
      </c>
      <c r="F592" s="53" t="n">
        <v>5709</v>
      </c>
      <c r="G592" s="55" t="n">
        <v>117824.7</v>
      </c>
      <c r="H592" s="55" t="n">
        <v>120626.4</v>
      </c>
      <c r="I592" s="55" t="n">
        <v>26785.54000000001</v>
      </c>
      <c r="J592" s="55" t="n">
        <v>27274.27</v>
      </c>
      <c r="K592" s="53" t="n">
        <v>126</v>
      </c>
      <c r="L592" s="53" t="n">
        <v>131</v>
      </c>
      <c r="M592" s="53" t="n">
        <v>12</v>
      </c>
      <c r="N592" s="53" t="n">
        <v>82</v>
      </c>
      <c r="O592" s="53" t="n">
        <v>7</v>
      </c>
      <c r="P592" s="53" t="n">
        <v>156</v>
      </c>
    </row>
    <row r="593">
      <c r="A593" s="58" t="inlineStr">
        <is>
          <t>Pablo Lopez</t>
        </is>
      </c>
      <c r="B593" s="58" t="inlineStr">
        <is>
          <t>Amplify</t>
        </is>
      </c>
      <c r="C593" s="58" t="inlineStr">
        <is>
          <t>Boston Beer Company</t>
        </is>
      </c>
      <c r="D593" s="58" t="inlineStr">
        <is>
          <t>Dogfish Head Beer</t>
        </is>
      </c>
      <c r="E593" s="53" t="n">
        <v>17</v>
      </c>
      <c r="F593" s="53" t="n">
        <v>15</v>
      </c>
      <c r="G593" s="55" t="n">
        <v>688.5</v>
      </c>
      <c r="H593" s="55" t="n">
        <v>569.6</v>
      </c>
      <c r="I593" s="55" t="n">
        <v>194.56</v>
      </c>
      <c r="J593" s="55" t="n">
        <v>144.66</v>
      </c>
      <c r="K593" s="53" t="n">
        <v>4</v>
      </c>
      <c r="L593" s="53" t="n">
        <v>3</v>
      </c>
      <c r="M593" s="53" t="n">
        <v>2</v>
      </c>
      <c r="N593" s="53" t="n">
        <v>10</v>
      </c>
      <c r="O593" s="53" t="n">
        <v>3</v>
      </c>
      <c r="P593" s="53" t="n">
        <v>12</v>
      </c>
    </row>
    <row r="594">
      <c r="A594" s="58" t="inlineStr">
        <is>
          <t>Pablo Lopez</t>
        </is>
      </c>
      <c r="B594" s="58" t="inlineStr">
        <is>
          <t>Amplify</t>
        </is>
      </c>
      <c r="C594" s="58" t="inlineStr">
        <is>
          <t>Cape May</t>
        </is>
      </c>
      <c r="D594" s="58" t="inlineStr">
        <is>
          <t>Cape May</t>
        </is>
      </c>
      <c r="E594" s="53" t="n">
        <v>7</v>
      </c>
      <c r="F594" s="53" t="n">
        <v>0</v>
      </c>
      <c r="G594" s="55" t="n">
        <v>286</v>
      </c>
      <c r="H594" s="55" t="n">
        <v>0</v>
      </c>
      <c r="I594" s="55" t="n">
        <v>86</v>
      </c>
      <c r="J594" s="55" t="n">
        <v>0</v>
      </c>
      <c r="K594" s="53" t="n">
        <v>1</v>
      </c>
      <c r="L594" s="53" t="n">
        <v>0</v>
      </c>
      <c r="M594" s="53" t="n">
        <v>0</v>
      </c>
      <c r="N594" s="53" t="n">
        <v>0</v>
      </c>
      <c r="O594" s="53" t="n">
        <v>1</v>
      </c>
      <c r="P594" s="53" t="n">
        <v>7</v>
      </c>
    </row>
    <row r="595">
      <c r="A595" s="58" t="inlineStr">
        <is>
          <t>Pablo Lopez</t>
        </is>
      </c>
      <c r="B595" s="58" t="inlineStr">
        <is>
          <t>Amplify</t>
        </is>
      </c>
      <c r="C595" s="58" t="inlineStr">
        <is>
          <t>Constellation Brands</t>
        </is>
      </c>
      <c r="D595" s="58" t="inlineStr">
        <is>
          <t>Corona Premier</t>
        </is>
      </c>
      <c r="E595" s="53" t="n">
        <v>165</v>
      </c>
      <c r="F595" s="53" t="n">
        <v>129</v>
      </c>
      <c r="G595" s="55" t="n">
        <v>5183.6</v>
      </c>
      <c r="H595" s="55" t="n">
        <v>3515.5</v>
      </c>
      <c r="I595" s="55" t="n">
        <v>921.9500000000002</v>
      </c>
      <c r="J595" s="55" t="n">
        <v>910.9300000000001</v>
      </c>
      <c r="K595" s="53" t="n">
        <v>18</v>
      </c>
      <c r="L595" s="53" t="n">
        <v>17</v>
      </c>
      <c r="M595" s="53" t="n">
        <v>5</v>
      </c>
      <c r="N595" s="53" t="n">
        <v>23</v>
      </c>
      <c r="O595" s="53" t="n">
        <v>6</v>
      </c>
      <c r="P595" s="53" t="n">
        <v>71</v>
      </c>
    </row>
    <row r="596">
      <c r="A596" s="58" t="inlineStr">
        <is>
          <t>Pablo Lopez</t>
        </is>
      </c>
      <c r="B596" s="58" t="inlineStr">
        <is>
          <t>Amplify</t>
        </is>
      </c>
      <c r="C596" s="58" t="inlineStr">
        <is>
          <t>Constellation Brands</t>
        </is>
      </c>
      <c r="D596" s="58" t="inlineStr">
        <is>
          <t>Modelo Chelada</t>
        </is>
      </c>
      <c r="E596" s="53" t="n">
        <v>2440</v>
      </c>
      <c r="F596" s="53" t="n">
        <v>2754</v>
      </c>
      <c r="G596" s="55" t="n">
        <v>75828.35000000001</v>
      </c>
      <c r="H596" s="55" t="n">
        <v>84856.14999999999</v>
      </c>
      <c r="I596" s="55" t="n">
        <v>19760.23</v>
      </c>
      <c r="J596" s="55" t="n">
        <v>21726.33</v>
      </c>
      <c r="K596" s="53" t="n">
        <v>25</v>
      </c>
      <c r="L596" s="53" t="n">
        <v>26</v>
      </c>
      <c r="M596" s="53" t="n">
        <v>2</v>
      </c>
      <c r="N596" s="53" t="n">
        <v>11</v>
      </c>
      <c r="O596" s="53" t="n">
        <v>1</v>
      </c>
      <c r="P596" s="53" t="n">
        <v>38</v>
      </c>
    </row>
    <row r="597">
      <c r="A597" s="58" t="inlineStr">
        <is>
          <t>Pablo Lopez</t>
        </is>
      </c>
      <c r="B597" s="58" t="inlineStr">
        <is>
          <t>Amplify</t>
        </is>
      </c>
      <c r="C597" s="58" t="inlineStr">
        <is>
          <t>Constellation Brands</t>
        </is>
      </c>
      <c r="D597" s="58" t="inlineStr">
        <is>
          <t>Pacifico</t>
        </is>
      </c>
      <c r="E597" s="53" t="n">
        <v>735</v>
      </c>
      <c r="F597" s="53" t="n">
        <v>859</v>
      </c>
      <c r="G597" s="55" t="n">
        <v>22606.6</v>
      </c>
      <c r="H597" s="55" t="n">
        <v>26401.65</v>
      </c>
      <c r="I597" s="55" t="n">
        <v>5176.1</v>
      </c>
      <c r="J597" s="55" t="n">
        <v>6085.46</v>
      </c>
      <c r="K597" s="53" t="n">
        <v>20</v>
      </c>
      <c r="L597" s="53" t="n">
        <v>22</v>
      </c>
      <c r="M597" s="53" t="n">
        <v>4</v>
      </c>
      <c r="N597" s="53" t="n">
        <v>34</v>
      </c>
      <c r="O597" s="53" t="n">
        <v>2</v>
      </c>
      <c r="P597" s="53" t="n">
        <v>16</v>
      </c>
    </row>
    <row r="598">
      <c r="A598" s="58" t="inlineStr">
        <is>
          <t>Pablo Lopez</t>
        </is>
      </c>
      <c r="B598" s="58" t="inlineStr">
        <is>
          <t>Amplify</t>
        </is>
      </c>
      <c r="C598" s="58" t="inlineStr">
        <is>
          <t>Constellation Brands</t>
        </is>
      </c>
      <c r="D598" s="58" t="inlineStr">
        <is>
          <t>Victoria</t>
        </is>
      </c>
      <c r="E598" s="53" t="n">
        <v>2490</v>
      </c>
      <c r="F598" s="53" t="n">
        <v>2369</v>
      </c>
      <c r="G598" s="55" t="n">
        <v>74175.8</v>
      </c>
      <c r="H598" s="55" t="n">
        <v>71588.89999999999</v>
      </c>
      <c r="I598" s="55" t="n">
        <v>18575.54</v>
      </c>
      <c r="J598" s="55" t="n">
        <v>17959.6</v>
      </c>
      <c r="K598" s="53" t="n">
        <v>23</v>
      </c>
      <c r="L598" s="53" t="n">
        <v>28</v>
      </c>
      <c r="M598" s="53" t="n">
        <v>6</v>
      </c>
      <c r="N598" s="53" t="n">
        <v>40</v>
      </c>
      <c r="O598" s="53" t="n">
        <v>1</v>
      </c>
      <c r="P598" s="53" t="n">
        <v>40</v>
      </c>
    </row>
    <row r="599">
      <c r="A599" s="58" t="inlineStr">
        <is>
          <t>Pablo Lopez</t>
        </is>
      </c>
      <c r="B599" s="58" t="inlineStr">
        <is>
          <t>Amplify</t>
        </is>
      </c>
      <c r="C599" s="58" t="inlineStr">
        <is>
          <t>DG Yuengling Inc</t>
        </is>
      </c>
      <c r="D599" s="58" t="inlineStr">
        <is>
          <t>Yuengling Flight</t>
        </is>
      </c>
      <c r="E599" s="53" t="n">
        <v>7</v>
      </c>
      <c r="F599" s="53" t="n">
        <v>14</v>
      </c>
      <c r="G599" s="55" t="n">
        <v>134</v>
      </c>
      <c r="H599" s="55" t="n">
        <v>257</v>
      </c>
      <c r="I599" s="55" t="n">
        <v>45.1</v>
      </c>
      <c r="J599" s="55" t="n">
        <v>81.40000000000001</v>
      </c>
      <c r="K599" s="53" t="n">
        <v>1</v>
      </c>
      <c r="L599" s="53" t="n">
        <v>1</v>
      </c>
      <c r="M599" s="53" t="n">
        <v>0</v>
      </c>
      <c r="N599" s="53" t="n">
        <v>0</v>
      </c>
      <c r="O599" s="53" t="n">
        <v>0</v>
      </c>
      <c r="P599" s="53" t="n">
        <v>0</v>
      </c>
    </row>
    <row r="600">
      <c r="A600" s="58" t="inlineStr">
        <is>
          <t>Pablo Lopez</t>
        </is>
      </c>
      <c r="B600" s="58" t="inlineStr">
        <is>
          <t>Amplify</t>
        </is>
      </c>
      <c r="C600" s="58" t="inlineStr">
        <is>
          <t>Heineken USA</t>
        </is>
      </c>
      <c r="D600" s="58" t="inlineStr">
        <is>
          <t>Heineken 0.0</t>
        </is>
      </c>
      <c r="E600" s="53" t="n">
        <v>389</v>
      </c>
      <c r="F600" s="53" t="n">
        <v>640</v>
      </c>
      <c r="G600" s="55" t="n">
        <v>13103.6</v>
      </c>
      <c r="H600" s="55" t="n">
        <v>21584.3</v>
      </c>
      <c r="I600" s="55" t="n">
        <v>3604.04</v>
      </c>
      <c r="J600" s="55" t="n">
        <v>5822.090000000002</v>
      </c>
      <c r="K600" s="53" t="n">
        <v>39</v>
      </c>
      <c r="L600" s="53" t="n">
        <v>37</v>
      </c>
      <c r="M600" s="53" t="n">
        <v>7</v>
      </c>
      <c r="N600" s="53" t="n">
        <v>95</v>
      </c>
      <c r="O600" s="53" t="n">
        <v>9</v>
      </c>
      <c r="P600" s="53" t="n">
        <v>38</v>
      </c>
    </row>
    <row r="601">
      <c r="A601" s="58" t="inlineStr">
        <is>
          <t>Pablo Lopez</t>
        </is>
      </c>
      <c r="B601" s="58" t="inlineStr">
        <is>
          <t>Amplify</t>
        </is>
      </c>
      <c r="C601" s="58" t="inlineStr">
        <is>
          <t>Heineken USA</t>
        </is>
      </c>
      <c r="D601" s="58" t="inlineStr">
        <is>
          <t>Heineken Light</t>
        </is>
      </c>
      <c r="E601" s="53" t="n">
        <v>1031</v>
      </c>
      <c r="F601" s="53" t="n">
        <v>829</v>
      </c>
      <c r="G601" s="55" t="n">
        <v>32224.95</v>
      </c>
      <c r="H601" s="55" t="n">
        <v>26004.75</v>
      </c>
      <c r="I601" s="55" t="n">
        <v>7718.200000000002</v>
      </c>
      <c r="J601" s="55" t="n">
        <v>6297.320000000002</v>
      </c>
      <c r="K601" s="53" t="n">
        <v>30</v>
      </c>
      <c r="L601" s="53" t="n">
        <v>29</v>
      </c>
      <c r="M601" s="53" t="n">
        <v>6</v>
      </c>
      <c r="N601" s="53" t="n">
        <v>38</v>
      </c>
      <c r="O601" s="53" t="n">
        <v>7</v>
      </c>
      <c r="P601" s="53" t="n">
        <v>122</v>
      </c>
    </row>
    <row r="602">
      <c r="A602" s="58" t="inlineStr">
        <is>
          <t>Pablo Lopez</t>
        </is>
      </c>
      <c r="B602" s="58" t="inlineStr">
        <is>
          <t>Amplify</t>
        </is>
      </c>
      <c r="C602" s="58" t="inlineStr">
        <is>
          <t>Mark Anthony</t>
        </is>
      </c>
      <c r="D602" s="58" t="inlineStr">
        <is>
          <t>Cayman Jack</t>
        </is>
      </c>
      <c r="E602" s="53" t="n">
        <v>415</v>
      </c>
      <c r="F602" s="53" t="n">
        <v>578</v>
      </c>
      <c r="G602" s="55" t="n">
        <v>12987</v>
      </c>
      <c r="H602" s="55" t="n">
        <v>18412.75</v>
      </c>
      <c r="I602" s="55" t="n">
        <v>3072.38</v>
      </c>
      <c r="J602" s="55" t="n">
        <v>4360.349999999999</v>
      </c>
      <c r="K602" s="53" t="n">
        <v>13</v>
      </c>
      <c r="L602" s="53" t="n">
        <v>22</v>
      </c>
      <c r="M602" s="53" t="n">
        <v>10</v>
      </c>
      <c r="N602" s="53" t="n">
        <v>74</v>
      </c>
      <c r="O602" s="53" t="n">
        <v>1</v>
      </c>
      <c r="P602" s="53" t="n">
        <v>17</v>
      </c>
    </row>
    <row r="603">
      <c r="A603" s="58" t="inlineStr">
        <is>
          <t>Pablo Lopez</t>
        </is>
      </c>
      <c r="B603" s="58" t="inlineStr">
        <is>
          <t>Amplify</t>
        </is>
      </c>
      <c r="C603" s="58" t="inlineStr">
        <is>
          <t>Mark Anthony</t>
        </is>
      </c>
      <c r="D603" s="58" t="inlineStr">
        <is>
          <t>Mike's Harder</t>
        </is>
      </c>
      <c r="E603" s="53" t="n">
        <v>53</v>
      </c>
      <c r="F603" s="53" t="n">
        <v>46</v>
      </c>
      <c r="G603" s="55" t="n">
        <v>1431</v>
      </c>
      <c r="H603" s="55" t="n">
        <v>1334</v>
      </c>
      <c r="I603" s="55" t="n">
        <v>309.8</v>
      </c>
      <c r="J603" s="55" t="n">
        <v>280.41</v>
      </c>
      <c r="K603" s="53" t="n">
        <v>8</v>
      </c>
      <c r="L603" s="53" t="n">
        <v>8</v>
      </c>
      <c r="M603" s="53" t="n">
        <v>2</v>
      </c>
      <c r="N603" s="53" t="n">
        <v>8</v>
      </c>
      <c r="O603" s="53" t="n">
        <v>2</v>
      </c>
      <c r="P603" s="53" t="n">
        <v>8</v>
      </c>
    </row>
    <row r="604">
      <c r="A604" s="58" t="inlineStr">
        <is>
          <t>Pablo Lopez</t>
        </is>
      </c>
      <c r="B604" s="58" t="inlineStr">
        <is>
          <t>Amplify</t>
        </is>
      </c>
      <c r="C604" s="58" t="inlineStr">
        <is>
          <t>Mark Anthony</t>
        </is>
      </c>
      <c r="D604" s="58" t="inlineStr">
        <is>
          <t>Mxd Cocktails</t>
        </is>
      </c>
      <c r="E604" s="53" t="n">
        <v>286</v>
      </c>
      <c r="F604" s="53" t="n">
        <v>363</v>
      </c>
      <c r="G604" s="55" t="n">
        <v>6827.7</v>
      </c>
      <c r="H604" s="55" t="n">
        <v>8736</v>
      </c>
      <c r="I604" s="55" t="n">
        <v>1293.9</v>
      </c>
      <c r="J604" s="55" t="n">
        <v>1641.9</v>
      </c>
      <c r="K604" s="53" t="n">
        <v>11</v>
      </c>
      <c r="L604" s="53" t="n">
        <v>15</v>
      </c>
      <c r="M604" s="53" t="n">
        <v>5</v>
      </c>
      <c r="N604" s="53" t="n">
        <v>73</v>
      </c>
      <c r="O604" s="53" t="n">
        <v>1</v>
      </c>
      <c r="P604" s="53" t="n">
        <v>24</v>
      </c>
    </row>
    <row r="605">
      <c r="A605" s="58" t="inlineStr">
        <is>
          <t>Pablo Lopez</t>
        </is>
      </c>
      <c r="B605" s="58" t="inlineStr">
        <is>
          <t>Amplify</t>
        </is>
      </c>
      <c r="C605" s="58" t="inlineStr">
        <is>
          <t>MolsonCoors Beverage Company</t>
        </is>
      </c>
      <c r="D605" s="58" t="inlineStr">
        <is>
          <t>Coors</t>
        </is>
      </c>
      <c r="E605" s="53" t="n">
        <v>1140</v>
      </c>
      <c r="F605" s="53" t="n">
        <v>1250</v>
      </c>
      <c r="G605" s="55" t="n">
        <v>19519.45</v>
      </c>
      <c r="H605" s="55" t="n">
        <v>22570.75</v>
      </c>
      <c r="I605" s="55" t="n">
        <v>3581.11</v>
      </c>
      <c r="J605" s="55" t="n">
        <v>4351.83</v>
      </c>
      <c r="K605" s="53" t="n">
        <v>23</v>
      </c>
      <c r="L605" s="53" t="n">
        <v>22</v>
      </c>
      <c r="M605" s="53" t="n">
        <v>2</v>
      </c>
      <c r="N605" s="53" t="n">
        <v>22</v>
      </c>
      <c r="O605" s="53" t="n">
        <v>3</v>
      </c>
      <c r="P605" s="53" t="n">
        <v>250</v>
      </c>
    </row>
    <row r="606">
      <c r="A606" s="58" t="inlineStr">
        <is>
          <t>Pablo Lopez</t>
        </is>
      </c>
      <c r="B606" s="58" t="inlineStr">
        <is>
          <t>Amplify</t>
        </is>
      </c>
      <c r="C606" s="58" t="inlineStr">
        <is>
          <t>MolsonCoors Beverage Company</t>
        </is>
      </c>
      <c r="D606" s="58" t="inlineStr">
        <is>
          <t>Fever Tree</t>
        </is>
      </c>
      <c r="E606" s="53" t="n">
        <v>2</v>
      </c>
      <c r="F606" s="53" t="n">
        <v>3</v>
      </c>
      <c r="G606" s="55" t="n">
        <v>57</v>
      </c>
      <c r="H606" s="55" t="n">
        <v>111</v>
      </c>
      <c r="I606" s="55" t="n">
        <v>22.22</v>
      </c>
      <c r="J606" s="55" t="n">
        <v>41.44</v>
      </c>
      <c r="K606" s="53" t="n">
        <v>2</v>
      </c>
      <c r="L606" s="53" t="n">
        <v>3</v>
      </c>
      <c r="M606" s="53" t="n">
        <v>1</v>
      </c>
      <c r="N606" s="53" t="n">
        <v>1</v>
      </c>
      <c r="O606" s="53" t="n">
        <v>0</v>
      </c>
      <c r="P606" s="53" t="n">
        <v>0</v>
      </c>
    </row>
    <row r="607">
      <c r="A607" s="58" t="inlineStr">
        <is>
          <t>Pablo Lopez</t>
        </is>
      </c>
      <c r="B607" s="58" t="inlineStr">
        <is>
          <t>Amplify</t>
        </is>
      </c>
      <c r="C607" s="58" t="inlineStr">
        <is>
          <t>MolsonCoors Beverage Company</t>
        </is>
      </c>
      <c r="D607" s="58" t="inlineStr">
        <is>
          <t>Peroni</t>
        </is>
      </c>
      <c r="E607" s="53" t="n">
        <v>63</v>
      </c>
      <c r="F607" s="53" t="n">
        <v>63</v>
      </c>
      <c r="G607" s="55" t="n">
        <v>2156.1</v>
      </c>
      <c r="H607" s="55" t="n">
        <v>2098.45</v>
      </c>
      <c r="I607" s="55" t="n">
        <v>462.34</v>
      </c>
      <c r="J607" s="55" t="n">
        <v>453.0799999999999</v>
      </c>
      <c r="K607" s="53" t="n">
        <v>16</v>
      </c>
      <c r="L607" s="53" t="n">
        <v>12</v>
      </c>
      <c r="M607" s="53" t="n">
        <v>6</v>
      </c>
      <c r="N607" s="53" t="n">
        <v>34</v>
      </c>
      <c r="O607" s="53" t="n">
        <v>10</v>
      </c>
      <c r="P607" s="53" t="n">
        <v>36</v>
      </c>
    </row>
    <row r="608">
      <c r="A608" s="58" t="inlineStr">
        <is>
          <t>Pablo Lopez</t>
        </is>
      </c>
      <c r="B608" s="58" t="inlineStr">
        <is>
          <t>Amplify</t>
        </is>
      </c>
      <c r="C608" s="58" t="inlineStr">
        <is>
          <t>New Belgium Brewing Company</t>
        </is>
      </c>
      <c r="D608" s="58" t="inlineStr">
        <is>
          <t>Fat Tire Family</t>
        </is>
      </c>
      <c r="E608" s="53" t="n">
        <v>3</v>
      </c>
      <c r="F608" s="53" t="n">
        <v>0</v>
      </c>
      <c r="G608" s="55" t="n">
        <v>98.25</v>
      </c>
      <c r="H608" s="55" t="n">
        <v>0</v>
      </c>
      <c r="I608" s="55" t="n">
        <v>23.25</v>
      </c>
      <c r="J608" s="55" t="n">
        <v>0</v>
      </c>
      <c r="K608" s="53" t="n">
        <v>1</v>
      </c>
      <c r="L608" s="53" t="n">
        <v>0</v>
      </c>
      <c r="M608" s="53" t="n">
        <v>0</v>
      </c>
      <c r="N608" s="53" t="n">
        <v>0</v>
      </c>
      <c r="O608" s="53" t="n">
        <v>1</v>
      </c>
      <c r="P608" s="53" t="n">
        <v>3</v>
      </c>
    </row>
    <row r="609">
      <c r="A609" s="58" t="inlineStr">
        <is>
          <t>Pablo Lopez</t>
        </is>
      </c>
      <c r="B609" s="58" t="inlineStr">
        <is>
          <t>Amplify</t>
        </is>
      </c>
      <c r="C609" s="58" t="inlineStr">
        <is>
          <t>New Belgium Brewing Company</t>
        </is>
      </c>
      <c r="D609" s="58" t="inlineStr">
        <is>
          <t>Kirin Ichiban</t>
        </is>
      </c>
      <c r="E609" s="53" t="n">
        <v>0</v>
      </c>
      <c r="F609" s="53" t="n">
        <v>4</v>
      </c>
      <c r="G609" s="55" t="n">
        <v>0</v>
      </c>
      <c r="H609" s="55" t="n">
        <v>144</v>
      </c>
      <c r="I609" s="55" t="n">
        <v>0</v>
      </c>
      <c r="J609" s="55" t="n">
        <v>47.28</v>
      </c>
      <c r="K609" s="53" t="n">
        <v>0</v>
      </c>
      <c r="L609" s="53" t="n">
        <v>1</v>
      </c>
      <c r="M609" s="53" t="n">
        <v>1</v>
      </c>
      <c r="N609" s="53" t="n">
        <v>4</v>
      </c>
      <c r="O609" s="53" t="n">
        <v>0</v>
      </c>
      <c r="P609" s="53" t="n">
        <v>0</v>
      </c>
    </row>
    <row r="610">
      <c r="A610" s="58" t="inlineStr">
        <is>
          <t>Pablo Lopez</t>
        </is>
      </c>
      <c r="B610" s="58" t="inlineStr">
        <is>
          <t>Amplify</t>
        </is>
      </c>
      <c r="C610" s="58" t="inlineStr">
        <is>
          <t>New Belgium Brewing Company</t>
        </is>
      </c>
      <c r="D610" s="58" t="inlineStr">
        <is>
          <t>Voodoo Family</t>
        </is>
      </c>
      <c r="E610" s="53" t="n">
        <v>54</v>
      </c>
      <c r="F610" s="53" t="n">
        <v>55</v>
      </c>
      <c r="G610" s="55" t="n">
        <v>2066.8</v>
      </c>
      <c r="H610" s="55" t="n">
        <v>2058.4</v>
      </c>
      <c r="I610" s="55" t="n">
        <v>588.4399999999999</v>
      </c>
      <c r="J610" s="55" t="n">
        <v>596.48</v>
      </c>
      <c r="K610" s="53" t="n">
        <v>10</v>
      </c>
      <c r="L610" s="53" t="n">
        <v>12</v>
      </c>
      <c r="M610" s="53" t="n">
        <v>5</v>
      </c>
      <c r="N610" s="53" t="n">
        <v>11</v>
      </c>
      <c r="O610" s="53" t="n">
        <v>3</v>
      </c>
      <c r="P610" s="53" t="n">
        <v>17</v>
      </c>
    </row>
    <row r="611">
      <c r="A611" s="58" t="inlineStr">
        <is>
          <t>Pablo Lopez</t>
        </is>
      </c>
      <c r="B611" s="58" t="inlineStr">
        <is>
          <t>Amplify</t>
        </is>
      </c>
      <c r="C611" s="58" t="inlineStr">
        <is>
          <t>Sapporo</t>
        </is>
      </c>
      <c r="D611" s="58" t="inlineStr">
        <is>
          <t>Sapporo</t>
        </is>
      </c>
      <c r="E611" s="53" t="n">
        <v>104</v>
      </c>
      <c r="F611" s="53" t="n">
        <v>180</v>
      </c>
      <c r="G611" s="55" t="n">
        <v>3068</v>
      </c>
      <c r="H611" s="55" t="n">
        <v>5557.75</v>
      </c>
      <c r="I611" s="55" t="n">
        <v>801.0199999999999</v>
      </c>
      <c r="J611" s="55" t="n">
        <v>1487.38</v>
      </c>
      <c r="K611" s="53" t="n">
        <v>10</v>
      </c>
      <c r="L611" s="53" t="n">
        <v>18</v>
      </c>
      <c r="M611" s="53" t="n">
        <v>11</v>
      </c>
      <c r="N611" s="53" t="n">
        <v>77</v>
      </c>
      <c r="O611" s="53" t="n">
        <v>3</v>
      </c>
      <c r="P611" s="53" t="n">
        <v>16</v>
      </c>
    </row>
    <row r="612">
      <c r="A612" s="58" t="inlineStr">
        <is>
          <t>Pablo Lopez</t>
        </is>
      </c>
      <c r="B612" s="58" t="inlineStr">
        <is>
          <t>Qualifier</t>
        </is>
      </c>
      <c r="C612" s="58" t="inlineStr">
        <is>
          <t>Boston Beer Company</t>
        </is>
      </c>
      <c r="D612" s="58" t="inlineStr">
        <is>
          <t>Truly</t>
        </is>
      </c>
      <c r="E612" s="53" t="n">
        <v>33</v>
      </c>
      <c r="F612" s="53" t="n">
        <v>14</v>
      </c>
      <c r="G612" s="55" t="n">
        <v>994.5</v>
      </c>
      <c r="H612" s="55" t="n">
        <v>428.6</v>
      </c>
      <c r="I612" s="55" t="n">
        <v>251.55</v>
      </c>
      <c r="J612" s="55" t="n">
        <v>110.24</v>
      </c>
      <c r="K612" s="53" t="n">
        <v>4</v>
      </c>
      <c r="L612" s="53" t="n">
        <v>2</v>
      </c>
      <c r="M612" s="53" t="n">
        <v>2</v>
      </c>
      <c r="N612" s="53" t="n">
        <v>17</v>
      </c>
      <c r="O612" s="53" t="n">
        <v>4</v>
      </c>
      <c r="P612" s="53" t="n">
        <v>33</v>
      </c>
    </row>
    <row r="613">
      <c r="A613" s="58" t="inlineStr">
        <is>
          <t>Pablo Lopez</t>
        </is>
      </c>
      <c r="B613" s="58" t="inlineStr">
        <is>
          <t>Qualifier</t>
        </is>
      </c>
      <c r="C613" s="58" t="inlineStr">
        <is>
          <t>Boston Beer Company</t>
        </is>
      </c>
      <c r="D613" s="58" t="inlineStr">
        <is>
          <t>Twisted Tea</t>
        </is>
      </c>
      <c r="E613" s="53" t="n">
        <v>316</v>
      </c>
      <c r="F613" s="53" t="n">
        <v>255</v>
      </c>
      <c r="G613" s="55" t="n">
        <v>9273.25</v>
      </c>
      <c r="H613" s="55" t="n">
        <v>7510.5</v>
      </c>
      <c r="I613" s="55" t="n">
        <v>2510.25</v>
      </c>
      <c r="J613" s="55" t="n">
        <v>2029.38</v>
      </c>
      <c r="K613" s="53" t="n">
        <v>21</v>
      </c>
      <c r="L613" s="53" t="n">
        <v>19</v>
      </c>
      <c r="M613" s="53" t="n">
        <v>2</v>
      </c>
      <c r="N613" s="53" t="n">
        <v>19</v>
      </c>
      <c r="O613" s="53" t="n">
        <v>4</v>
      </c>
      <c r="P613" s="53" t="n">
        <v>28</v>
      </c>
    </row>
    <row r="614">
      <c r="A614" s="58" t="inlineStr">
        <is>
          <t>Pablo Lopez</t>
        </is>
      </c>
      <c r="B614" s="58" t="inlineStr">
        <is>
          <t>Qualifier</t>
        </is>
      </c>
      <c r="C614" s="58" t="inlineStr">
        <is>
          <t>Constellation Brands</t>
        </is>
      </c>
      <c r="D614" s="58" t="inlineStr">
        <is>
          <t>Corona Extra</t>
        </is>
      </c>
      <c r="E614" s="53" t="n">
        <v>28308</v>
      </c>
      <c r="F614" s="53" t="n">
        <v>29084</v>
      </c>
      <c r="G614" s="55" t="n">
        <v>923667.3999999999</v>
      </c>
      <c r="H614" s="55" t="n">
        <v>961040.9500000001</v>
      </c>
      <c r="I614" s="55" t="n">
        <v>223059.89</v>
      </c>
      <c r="J614" s="55" t="n">
        <v>238165.96</v>
      </c>
      <c r="K614" s="53" t="n">
        <v>75</v>
      </c>
      <c r="L614" s="53" t="n">
        <v>76</v>
      </c>
      <c r="M614" s="53" t="n">
        <v>5</v>
      </c>
      <c r="N614" s="53" t="n">
        <v>298</v>
      </c>
      <c r="O614" s="53" t="n">
        <v>4</v>
      </c>
      <c r="P614" s="53" t="n">
        <v>762</v>
      </c>
    </row>
    <row r="615">
      <c r="A615" s="58" t="inlineStr">
        <is>
          <t>Pablo Lopez</t>
        </is>
      </c>
      <c r="B615" s="58" t="inlineStr">
        <is>
          <t>Qualifier</t>
        </is>
      </c>
      <c r="C615" s="58" t="inlineStr">
        <is>
          <t>Constellation Brands</t>
        </is>
      </c>
      <c r="D615" s="58" t="inlineStr">
        <is>
          <t>Modelo Especial</t>
        </is>
      </c>
      <c r="E615" s="53" t="n">
        <v>22391</v>
      </c>
      <c r="F615" s="53" t="n">
        <v>21082</v>
      </c>
      <c r="G615" s="55" t="n">
        <v>688516.1</v>
      </c>
      <c r="H615" s="55" t="n">
        <v>651394.4500000001</v>
      </c>
      <c r="I615" s="55" t="n">
        <v>155676.91</v>
      </c>
      <c r="J615" s="55" t="n">
        <v>153216.4699999999</v>
      </c>
      <c r="K615" s="53" t="n">
        <v>72</v>
      </c>
      <c r="L615" s="53" t="n">
        <v>74</v>
      </c>
      <c r="M615" s="53" t="n">
        <v>6</v>
      </c>
      <c r="N615" s="53" t="n">
        <v>195</v>
      </c>
      <c r="O615" s="53" t="n">
        <v>4</v>
      </c>
      <c r="P615" s="53" t="n">
        <v>562</v>
      </c>
    </row>
    <row r="616">
      <c r="A616" s="58" t="inlineStr">
        <is>
          <t>Pablo Lopez</t>
        </is>
      </c>
      <c r="B616" s="58" t="inlineStr">
        <is>
          <t>Qualifier</t>
        </is>
      </c>
      <c r="C616" s="58" t="inlineStr">
        <is>
          <t>DG Yuengling Inc</t>
        </is>
      </c>
      <c r="D616" s="58" t="inlineStr">
        <is>
          <t>Yuengling Lager</t>
        </is>
      </c>
      <c r="E616" s="53" t="n">
        <v>140</v>
      </c>
      <c r="F616" s="53" t="n">
        <v>190</v>
      </c>
      <c r="G616" s="55" t="n">
        <v>2742.5</v>
      </c>
      <c r="H616" s="55" t="n">
        <v>3388.25</v>
      </c>
      <c r="I616" s="55" t="n">
        <v>726.73</v>
      </c>
      <c r="J616" s="55" t="n">
        <v>852.4399999999999</v>
      </c>
      <c r="K616" s="53" t="n">
        <v>10</v>
      </c>
      <c r="L616" s="53" t="n">
        <v>12</v>
      </c>
      <c r="M616" s="53" t="n">
        <v>5</v>
      </c>
      <c r="N616" s="53" t="n">
        <v>29</v>
      </c>
      <c r="O616" s="53" t="n">
        <v>3</v>
      </c>
      <c r="P616" s="53" t="n">
        <v>23</v>
      </c>
    </row>
    <row r="617">
      <c r="A617" s="58" t="inlineStr">
        <is>
          <t>Pablo Lopez</t>
        </is>
      </c>
      <c r="B617" s="58" t="inlineStr">
        <is>
          <t>Qualifier</t>
        </is>
      </c>
      <c r="C617" s="58" t="inlineStr">
        <is>
          <t>Heineken USA</t>
        </is>
      </c>
      <c r="D617" s="58" t="inlineStr">
        <is>
          <t>Heineken USA</t>
        </is>
      </c>
      <c r="E617" s="53" t="n">
        <v>8735</v>
      </c>
      <c r="F617" s="53" t="n">
        <v>7500</v>
      </c>
      <c r="G617" s="55" t="n">
        <v>277450.55</v>
      </c>
      <c r="H617" s="55" t="n">
        <v>238165</v>
      </c>
      <c r="I617" s="55" t="n">
        <v>67388.42999999999</v>
      </c>
      <c r="J617" s="55" t="n">
        <v>57039.09</v>
      </c>
      <c r="K617" s="53" t="n">
        <v>68</v>
      </c>
      <c r="L617" s="53" t="n">
        <v>73</v>
      </c>
      <c r="M617" s="53" t="n">
        <v>9</v>
      </c>
      <c r="N617" s="53" t="n">
        <v>161</v>
      </c>
      <c r="O617" s="53" t="n">
        <v>4</v>
      </c>
      <c r="P617" s="53" t="n">
        <v>386</v>
      </c>
    </row>
    <row r="618">
      <c r="A618" s="58" t="inlineStr">
        <is>
          <t>Pablo Lopez</t>
        </is>
      </c>
      <c r="B618" s="58" t="inlineStr">
        <is>
          <t>Qualifier</t>
        </is>
      </c>
      <c r="C618" s="58" t="inlineStr">
        <is>
          <t>Mark Anthony</t>
        </is>
      </c>
      <c r="D618" s="58" t="inlineStr">
        <is>
          <t>White Claw</t>
        </is>
      </c>
      <c r="E618" s="53" t="n">
        <v>898</v>
      </c>
      <c r="F618" s="53" t="n">
        <v>931</v>
      </c>
      <c r="G618" s="55" t="n">
        <v>29294.40000000001</v>
      </c>
      <c r="H618" s="55" t="n">
        <v>31469.05</v>
      </c>
      <c r="I618" s="55" t="n">
        <v>6563.42</v>
      </c>
      <c r="J618" s="55" t="n">
        <v>6990.85</v>
      </c>
      <c r="K618" s="53" t="n">
        <v>25</v>
      </c>
      <c r="L618" s="53" t="n">
        <v>20</v>
      </c>
      <c r="M618" s="53" t="n">
        <v>1</v>
      </c>
      <c r="N618" s="53" t="n">
        <v>48</v>
      </c>
      <c r="O618" s="53" t="n">
        <v>6</v>
      </c>
      <c r="P618" s="53" t="n">
        <v>119</v>
      </c>
    </row>
    <row r="619">
      <c r="A619" s="58" t="inlineStr">
        <is>
          <t>Pablo Lopez</t>
        </is>
      </c>
      <c r="B619" s="58" t="inlineStr">
        <is>
          <t>Qualifier</t>
        </is>
      </c>
      <c r="C619" s="58" t="inlineStr">
        <is>
          <t>MolsonCoors Beverage Company</t>
        </is>
      </c>
      <c r="D619" s="58" t="inlineStr">
        <is>
          <t>Blue Moon</t>
        </is>
      </c>
      <c r="E619" s="53" t="n">
        <v>307</v>
      </c>
      <c r="F619" s="53" t="n">
        <v>354</v>
      </c>
      <c r="G619" s="55" t="n">
        <v>10757.65</v>
      </c>
      <c r="H619" s="55" t="n">
        <v>11558.95</v>
      </c>
      <c r="I619" s="55" t="n">
        <v>2843.78</v>
      </c>
      <c r="J619" s="55" t="n">
        <v>2951.949999999999</v>
      </c>
      <c r="K619" s="53" t="n">
        <v>35</v>
      </c>
      <c r="L619" s="53" t="n">
        <v>36</v>
      </c>
      <c r="M619" s="53" t="n">
        <v>9</v>
      </c>
      <c r="N619" s="53" t="n">
        <v>64</v>
      </c>
      <c r="O619" s="53" t="n">
        <v>8</v>
      </c>
      <c r="P619" s="53" t="n">
        <v>43</v>
      </c>
    </row>
    <row r="620">
      <c r="A620" s="58" t="inlineStr">
        <is>
          <t>Pablo Lopez</t>
        </is>
      </c>
      <c r="B620" s="58" t="inlineStr">
        <is>
          <t>Qualifier</t>
        </is>
      </c>
      <c r="C620" s="58" t="inlineStr">
        <is>
          <t>MolsonCoors Beverage Company</t>
        </is>
      </c>
      <c r="D620" s="58" t="inlineStr">
        <is>
          <t>Coors Light</t>
        </is>
      </c>
      <c r="E620" s="53" t="n">
        <v>12403</v>
      </c>
      <c r="F620" s="53" t="n">
        <v>10797</v>
      </c>
      <c r="G620" s="55" t="n">
        <v>234481.1</v>
      </c>
      <c r="H620" s="55" t="n">
        <v>206345.6</v>
      </c>
      <c r="I620" s="55" t="n">
        <v>48261.33999999999</v>
      </c>
      <c r="J620" s="55" t="n">
        <v>43347.12</v>
      </c>
      <c r="K620" s="53" t="n">
        <v>66</v>
      </c>
      <c r="L620" s="53" t="n">
        <v>64</v>
      </c>
      <c r="M620" s="53" t="n">
        <v>5</v>
      </c>
      <c r="N620" s="53" t="n">
        <v>32</v>
      </c>
      <c r="O620" s="53" t="n">
        <v>7</v>
      </c>
      <c r="P620" s="53" t="n">
        <v>352</v>
      </c>
    </row>
    <row r="621">
      <c r="A621" s="58" t="inlineStr">
        <is>
          <t>Pablo Lopez</t>
        </is>
      </c>
      <c r="B621" s="58" t="inlineStr">
        <is>
          <t>Qualifier</t>
        </is>
      </c>
      <c r="C621" s="58" t="inlineStr">
        <is>
          <t>MolsonCoors Beverage Company</t>
        </is>
      </c>
      <c r="D621" s="58" t="inlineStr">
        <is>
          <t>Lite</t>
        </is>
      </c>
      <c r="E621" s="53" t="n">
        <v>579</v>
      </c>
      <c r="F621" s="53" t="n">
        <v>489</v>
      </c>
      <c r="G621" s="55" t="n">
        <v>11520.05</v>
      </c>
      <c r="H621" s="55" t="n">
        <v>10158.55</v>
      </c>
      <c r="I621" s="55" t="n">
        <v>2330.08</v>
      </c>
      <c r="J621" s="55" t="n">
        <v>2046.05</v>
      </c>
      <c r="K621" s="53" t="n">
        <v>24</v>
      </c>
      <c r="L621" s="53" t="n">
        <v>21</v>
      </c>
      <c r="M621" s="53" t="n">
        <v>5</v>
      </c>
      <c r="N621" s="53" t="n">
        <v>78</v>
      </c>
      <c r="O621" s="53" t="n">
        <v>8</v>
      </c>
      <c r="P621" s="53" t="n">
        <v>115</v>
      </c>
    </row>
    <row r="622">
      <c r="A622" s="58" t="inlineStr">
        <is>
          <t>Paul Mclaughlin</t>
        </is>
      </c>
      <c r="B622" s="58" t="inlineStr">
        <is>
          <t>Amplify</t>
        </is>
      </c>
      <c r="C622" s="58" t="inlineStr">
        <is>
          <t>Bell's</t>
        </is>
      </c>
      <c r="D622" s="58" t="inlineStr">
        <is>
          <t>Bell's</t>
        </is>
      </c>
      <c r="E622" s="53" t="n">
        <v>0</v>
      </c>
      <c r="F622" s="53" t="n">
        <v>0</v>
      </c>
      <c r="G622" s="55" t="n">
        <v>-3</v>
      </c>
      <c r="H622" s="55" t="n">
        <v>0</v>
      </c>
      <c r="I622" s="55" t="n">
        <v>-3</v>
      </c>
      <c r="J622" s="55" t="n">
        <v>0</v>
      </c>
      <c r="K622" s="53" t="n">
        <v>0</v>
      </c>
      <c r="L622" s="53" t="n">
        <v>0</v>
      </c>
      <c r="M622" s="53" t="n">
        <v>0</v>
      </c>
      <c r="N622" s="53" t="n">
        <v>0</v>
      </c>
      <c r="O622" s="53" t="n">
        <v>0</v>
      </c>
      <c r="P622" s="53" t="n">
        <v>0</v>
      </c>
    </row>
    <row r="623">
      <c r="A623" s="58" t="inlineStr">
        <is>
          <t>Paul Mclaughlin</t>
        </is>
      </c>
      <c r="B623" s="58" t="inlineStr">
        <is>
          <t>Amplify</t>
        </is>
      </c>
      <c r="C623" s="58" t="inlineStr">
        <is>
          <t>Boston Beer Company</t>
        </is>
      </c>
      <c r="D623" s="58" t="inlineStr">
        <is>
          <t>Dogfish Head Beer</t>
        </is>
      </c>
      <c r="E623" s="53" t="n">
        <v>394</v>
      </c>
      <c r="F623" s="53" t="n">
        <v>447</v>
      </c>
      <c r="G623" s="55" t="n">
        <v>13525.8</v>
      </c>
      <c r="H623" s="55" t="n">
        <v>15412.8</v>
      </c>
      <c r="I623" s="55" t="n">
        <v>3785.900000000001</v>
      </c>
      <c r="J623" s="55" t="n">
        <v>4331.950000000002</v>
      </c>
      <c r="K623" s="53" t="n">
        <v>38</v>
      </c>
      <c r="L623" s="53" t="n">
        <v>40</v>
      </c>
      <c r="M623" s="53" t="n">
        <v>6</v>
      </c>
      <c r="N623" s="53" t="n">
        <v>64</v>
      </c>
      <c r="O623" s="53" t="n">
        <v>4</v>
      </c>
      <c r="P623" s="53" t="n">
        <v>25</v>
      </c>
    </row>
    <row r="624">
      <c r="A624" s="58" t="inlineStr">
        <is>
          <t>Paul Mclaughlin</t>
        </is>
      </c>
      <c r="B624" s="58" t="inlineStr">
        <is>
          <t>Amplify</t>
        </is>
      </c>
      <c r="C624" s="58" t="inlineStr">
        <is>
          <t>Boston Beer Company</t>
        </is>
      </c>
      <c r="D624" s="58" t="inlineStr">
        <is>
          <t>Dogfish Head Spirits</t>
        </is>
      </c>
      <c r="E624" s="53" t="n">
        <v>6</v>
      </c>
      <c r="F624" s="53" t="n">
        <v>18</v>
      </c>
      <c r="G624" s="55" t="n">
        <v>360</v>
      </c>
      <c r="H624" s="55" t="n">
        <v>1080</v>
      </c>
      <c r="I624" s="55" t="n">
        <v>141.78</v>
      </c>
      <c r="J624" s="55" t="n">
        <v>425.34</v>
      </c>
      <c r="K624" s="53" t="n">
        <v>1</v>
      </c>
      <c r="L624" s="53" t="n">
        <v>1</v>
      </c>
      <c r="M624" s="53" t="n">
        <v>0</v>
      </c>
      <c r="N624" s="53" t="n">
        <v>0</v>
      </c>
      <c r="O624" s="53" t="n">
        <v>0</v>
      </c>
      <c r="P624" s="53" t="n">
        <v>0</v>
      </c>
    </row>
    <row r="625">
      <c r="A625" s="58" t="inlineStr">
        <is>
          <t>Paul Mclaughlin</t>
        </is>
      </c>
      <c r="B625" s="58" t="inlineStr">
        <is>
          <t>Amplify</t>
        </is>
      </c>
      <c r="C625" s="58" t="inlineStr">
        <is>
          <t>Cape May</t>
        </is>
      </c>
      <c r="D625" s="58" t="inlineStr">
        <is>
          <t>Cape May</t>
        </is>
      </c>
      <c r="E625" s="53" t="n">
        <v>120</v>
      </c>
      <c r="F625" s="53" t="n">
        <v>213</v>
      </c>
      <c r="G625" s="55" t="n">
        <v>4706</v>
      </c>
      <c r="H625" s="55" t="n">
        <v>8470.400000000001</v>
      </c>
      <c r="I625" s="55" t="n">
        <v>1131.47</v>
      </c>
      <c r="J625" s="55" t="n">
        <v>2374.49</v>
      </c>
      <c r="K625" s="53" t="n">
        <v>14</v>
      </c>
      <c r="L625" s="53" t="n">
        <v>20</v>
      </c>
      <c r="M625" s="53" t="n">
        <v>9</v>
      </c>
      <c r="N625" s="53" t="n">
        <v>68</v>
      </c>
      <c r="O625" s="53" t="n">
        <v>3</v>
      </c>
      <c r="P625" s="53" t="n">
        <v>11</v>
      </c>
    </row>
    <row r="626">
      <c r="A626" s="58" t="inlineStr">
        <is>
          <t>Paul Mclaughlin</t>
        </is>
      </c>
      <c r="B626" s="58" t="inlineStr">
        <is>
          <t>Amplify</t>
        </is>
      </c>
      <c r="C626" s="58" t="inlineStr">
        <is>
          <t>Constellation Brands</t>
        </is>
      </c>
      <c r="D626" s="58" t="inlineStr">
        <is>
          <t>Corona Premier</t>
        </is>
      </c>
      <c r="E626" s="53" t="n">
        <v>13</v>
      </c>
      <c r="F626" s="53" t="n">
        <v>20</v>
      </c>
      <c r="G626" s="55" t="n">
        <v>427.5</v>
      </c>
      <c r="H626" s="55" t="n">
        <v>571.85</v>
      </c>
      <c r="I626" s="55" t="n">
        <v>94.37</v>
      </c>
      <c r="J626" s="55" t="n">
        <v>160.79</v>
      </c>
      <c r="K626" s="53" t="n">
        <v>4</v>
      </c>
      <c r="L626" s="53" t="n">
        <v>5</v>
      </c>
      <c r="M626" s="53" t="n">
        <v>2</v>
      </c>
      <c r="N626" s="53" t="n">
        <v>13</v>
      </c>
      <c r="O626" s="53" t="n">
        <v>1</v>
      </c>
      <c r="P626" s="53" t="n">
        <v>5</v>
      </c>
    </row>
    <row r="627">
      <c r="A627" s="58" t="inlineStr">
        <is>
          <t>Paul Mclaughlin</t>
        </is>
      </c>
      <c r="B627" s="58" t="inlineStr">
        <is>
          <t>Amplify</t>
        </is>
      </c>
      <c r="C627" s="58" t="inlineStr">
        <is>
          <t>Constellation Brands</t>
        </is>
      </c>
      <c r="D627" s="58" t="inlineStr">
        <is>
          <t>Modelo Chelada</t>
        </is>
      </c>
      <c r="E627" s="53" t="n">
        <v>3</v>
      </c>
      <c r="F627" s="53" t="n">
        <v>6</v>
      </c>
      <c r="G627" s="55" t="n">
        <v>99</v>
      </c>
      <c r="H627" s="55" t="n">
        <v>197.25</v>
      </c>
      <c r="I627" s="55" t="n">
        <v>26.61</v>
      </c>
      <c r="J627" s="55" t="n">
        <v>61.18</v>
      </c>
      <c r="K627" s="53" t="n">
        <v>1</v>
      </c>
      <c r="L627" s="53" t="n">
        <v>1</v>
      </c>
      <c r="M627" s="53" t="n">
        <v>1</v>
      </c>
      <c r="N627" s="53" t="n">
        <v>6</v>
      </c>
      <c r="O627" s="53" t="n">
        <v>1</v>
      </c>
      <c r="P627" s="53" t="n">
        <v>3</v>
      </c>
    </row>
    <row r="628">
      <c r="A628" s="58" t="inlineStr">
        <is>
          <t>Paul Mclaughlin</t>
        </is>
      </c>
      <c r="B628" s="58" t="inlineStr">
        <is>
          <t>Amplify</t>
        </is>
      </c>
      <c r="C628" s="58" t="inlineStr">
        <is>
          <t>Constellation Brands</t>
        </is>
      </c>
      <c r="D628" s="58" t="inlineStr">
        <is>
          <t>Pacifico</t>
        </is>
      </c>
      <c r="E628" s="53" t="n">
        <v>133</v>
      </c>
      <c r="F628" s="53" t="n">
        <v>189</v>
      </c>
      <c r="G628" s="55" t="n">
        <v>4275</v>
      </c>
      <c r="H628" s="55" t="n">
        <v>5880</v>
      </c>
      <c r="I628" s="55" t="n">
        <v>1113.65</v>
      </c>
      <c r="J628" s="55" t="n">
        <v>1495.84</v>
      </c>
      <c r="K628" s="53" t="n">
        <v>13</v>
      </c>
      <c r="L628" s="53" t="n">
        <v>16</v>
      </c>
      <c r="M628" s="53" t="n">
        <v>6</v>
      </c>
      <c r="N628" s="53" t="n">
        <v>66</v>
      </c>
      <c r="O628" s="53" t="n">
        <v>3</v>
      </c>
      <c r="P628" s="53" t="n">
        <v>6</v>
      </c>
    </row>
    <row r="629">
      <c r="A629" s="58" t="inlineStr">
        <is>
          <t>Paul Mclaughlin</t>
        </is>
      </c>
      <c r="B629" s="58" t="inlineStr">
        <is>
          <t>Amplify</t>
        </is>
      </c>
      <c r="C629" s="58" t="inlineStr">
        <is>
          <t>Constellation Brands</t>
        </is>
      </c>
      <c r="D629" s="58" t="inlineStr">
        <is>
          <t>Victoria</t>
        </is>
      </c>
      <c r="E629" s="53" t="n">
        <v>59</v>
      </c>
      <c r="F629" s="53" t="n">
        <v>74</v>
      </c>
      <c r="G629" s="55" t="n">
        <v>1844.4</v>
      </c>
      <c r="H629" s="55" t="n">
        <v>2315.95</v>
      </c>
      <c r="I629" s="55" t="n">
        <v>417.23</v>
      </c>
      <c r="J629" s="55" t="n">
        <v>530.33</v>
      </c>
      <c r="K629" s="53" t="n">
        <v>2</v>
      </c>
      <c r="L629" s="53" t="n">
        <v>5</v>
      </c>
      <c r="M629" s="53" t="n">
        <v>3</v>
      </c>
      <c r="N629" s="53" t="n">
        <v>30</v>
      </c>
      <c r="O629" s="53" t="n">
        <v>0</v>
      </c>
      <c r="P629" s="53" t="n">
        <v>0</v>
      </c>
    </row>
    <row r="630">
      <c r="A630" s="58" t="inlineStr">
        <is>
          <t>Paul Mclaughlin</t>
        </is>
      </c>
      <c r="B630" s="58" t="inlineStr">
        <is>
          <t>Amplify</t>
        </is>
      </c>
      <c r="C630" s="58" t="inlineStr">
        <is>
          <t>DG Yuengling Inc</t>
        </is>
      </c>
      <c r="D630" s="58" t="inlineStr">
        <is>
          <t>Yuengling Flight</t>
        </is>
      </c>
      <c r="E630" s="53" t="n">
        <v>3</v>
      </c>
      <c r="F630" s="53" t="n">
        <v>0</v>
      </c>
      <c r="G630" s="55" t="n">
        <v>89</v>
      </c>
      <c r="H630" s="55" t="n">
        <v>-3</v>
      </c>
      <c r="I630" s="55" t="n">
        <v>20.84</v>
      </c>
      <c r="J630" s="55" t="n">
        <v>-3</v>
      </c>
      <c r="K630" s="53" t="n">
        <v>1</v>
      </c>
      <c r="L630" s="53" t="n">
        <v>0</v>
      </c>
      <c r="M630" s="53" t="n">
        <v>0</v>
      </c>
      <c r="N630" s="53" t="n">
        <v>0</v>
      </c>
      <c r="O630" s="53" t="n">
        <v>1</v>
      </c>
      <c r="P630" s="53" t="n">
        <v>3</v>
      </c>
    </row>
    <row r="631">
      <c r="A631" s="58" t="inlineStr">
        <is>
          <t>Paul Mclaughlin</t>
        </is>
      </c>
      <c r="B631" s="58" t="inlineStr">
        <is>
          <t>Amplify</t>
        </is>
      </c>
      <c r="C631" s="58" t="inlineStr">
        <is>
          <t>Heineken USA</t>
        </is>
      </c>
      <c r="D631" s="58" t="inlineStr">
        <is>
          <t>Heineken 0.0</t>
        </is>
      </c>
      <c r="E631" s="53" t="n">
        <v>246</v>
      </c>
      <c r="F631" s="53" t="n">
        <v>231</v>
      </c>
      <c r="G631" s="55" t="n">
        <v>8416.350000000002</v>
      </c>
      <c r="H631" s="55" t="n">
        <v>8018.250000000002</v>
      </c>
      <c r="I631" s="55" t="n">
        <v>2634.88</v>
      </c>
      <c r="J631" s="55" t="n">
        <v>2511.990000000002</v>
      </c>
      <c r="K631" s="53" t="n">
        <v>69</v>
      </c>
      <c r="L631" s="53" t="n">
        <v>68</v>
      </c>
      <c r="M631" s="53" t="n">
        <v>11</v>
      </c>
      <c r="N631" s="53" t="n">
        <v>30</v>
      </c>
      <c r="O631" s="53" t="n">
        <v>12</v>
      </c>
      <c r="P631" s="53" t="n">
        <v>27</v>
      </c>
    </row>
    <row r="632">
      <c r="A632" s="58" t="inlineStr">
        <is>
          <t>Paul Mclaughlin</t>
        </is>
      </c>
      <c r="B632" s="58" t="inlineStr">
        <is>
          <t>Amplify</t>
        </is>
      </c>
      <c r="C632" s="58" t="inlineStr">
        <is>
          <t>Heineken USA</t>
        </is>
      </c>
      <c r="D632" s="58" t="inlineStr">
        <is>
          <t>Heineken Light</t>
        </is>
      </c>
      <c r="E632" s="53" t="n">
        <v>211</v>
      </c>
      <c r="F632" s="53" t="n">
        <v>174</v>
      </c>
      <c r="G632" s="55" t="n">
        <v>7218.8</v>
      </c>
      <c r="H632" s="55" t="n">
        <v>6004.400000000001</v>
      </c>
      <c r="I632" s="55" t="n">
        <v>2198.35</v>
      </c>
      <c r="J632" s="55" t="n">
        <v>1864.33</v>
      </c>
      <c r="K632" s="53" t="n">
        <v>33</v>
      </c>
      <c r="L632" s="53" t="n">
        <v>31</v>
      </c>
      <c r="M632" s="53" t="n">
        <v>5</v>
      </c>
      <c r="N632" s="53" t="n">
        <v>16</v>
      </c>
      <c r="O632" s="53" t="n">
        <v>7</v>
      </c>
      <c r="P632" s="53" t="n">
        <v>30</v>
      </c>
    </row>
    <row r="633">
      <c r="A633" s="58" t="inlineStr">
        <is>
          <t>Paul Mclaughlin</t>
        </is>
      </c>
      <c r="B633" s="58" t="inlineStr">
        <is>
          <t>Amplify</t>
        </is>
      </c>
      <c r="C633" s="58" t="inlineStr">
        <is>
          <t>Mark Anthony</t>
        </is>
      </c>
      <c r="D633" s="58" t="inlineStr">
        <is>
          <t>Cayman Jack</t>
        </is>
      </c>
      <c r="E633" s="53" t="n">
        <v>2</v>
      </c>
      <c r="F633" s="53" t="n">
        <v>3</v>
      </c>
      <c r="G633" s="55" t="n">
        <v>66.5</v>
      </c>
      <c r="H633" s="55" t="n">
        <v>92.75</v>
      </c>
      <c r="I633" s="55" t="n">
        <v>19.56</v>
      </c>
      <c r="J633" s="55" t="n">
        <v>22.34</v>
      </c>
      <c r="K633" s="53" t="n">
        <v>1</v>
      </c>
      <c r="L633" s="53" t="n">
        <v>1</v>
      </c>
      <c r="M633" s="53" t="n">
        <v>1</v>
      </c>
      <c r="N633" s="53" t="n">
        <v>3</v>
      </c>
      <c r="O633" s="53" t="n">
        <v>1</v>
      </c>
      <c r="P633" s="53" t="n">
        <v>2</v>
      </c>
    </row>
    <row r="634">
      <c r="A634" s="58" t="inlineStr">
        <is>
          <t>Paul Mclaughlin</t>
        </is>
      </c>
      <c r="B634" s="58" t="inlineStr">
        <is>
          <t>Amplify</t>
        </is>
      </c>
      <c r="C634" s="58" t="inlineStr">
        <is>
          <t>MolsonCoors Beverage Company</t>
        </is>
      </c>
      <c r="D634" s="58" t="inlineStr">
        <is>
          <t>Coors</t>
        </is>
      </c>
      <c r="E634" s="53" t="n">
        <v>88</v>
      </c>
      <c r="F634" s="53" t="n">
        <v>63</v>
      </c>
      <c r="G634" s="55" t="n">
        <v>2150.3</v>
      </c>
      <c r="H634" s="55" t="n">
        <v>1567.15</v>
      </c>
      <c r="I634" s="55" t="n">
        <v>628.47</v>
      </c>
      <c r="J634" s="55" t="n">
        <v>447.96</v>
      </c>
      <c r="K634" s="53" t="n">
        <v>11</v>
      </c>
      <c r="L634" s="53" t="n">
        <v>12</v>
      </c>
      <c r="M634" s="53" t="n">
        <v>4</v>
      </c>
      <c r="N634" s="53" t="n">
        <v>10</v>
      </c>
      <c r="O634" s="53" t="n">
        <v>3</v>
      </c>
      <c r="P634" s="53" t="n">
        <v>17</v>
      </c>
    </row>
    <row r="635">
      <c r="A635" s="58" t="inlineStr">
        <is>
          <t>Paul Mclaughlin</t>
        </is>
      </c>
      <c r="B635" s="58" t="inlineStr">
        <is>
          <t>Amplify</t>
        </is>
      </c>
      <c r="C635" s="58" t="inlineStr">
        <is>
          <t>MolsonCoors Beverage Company</t>
        </is>
      </c>
      <c r="D635" s="58" t="inlineStr">
        <is>
          <t>Fever Tree</t>
        </is>
      </c>
      <c r="E635" s="53" t="n">
        <v>79</v>
      </c>
      <c r="F635" s="53" t="n">
        <v>89</v>
      </c>
      <c r="G635" s="55" t="n">
        <v>3535.5</v>
      </c>
      <c r="H635" s="55" t="n">
        <v>4104.5</v>
      </c>
      <c r="I635" s="55" t="n">
        <v>1074.54</v>
      </c>
      <c r="J635" s="55" t="n">
        <v>1258.869999999999</v>
      </c>
      <c r="K635" s="53" t="n">
        <v>17</v>
      </c>
      <c r="L635" s="53" t="n">
        <v>14</v>
      </c>
      <c r="M635" s="53" t="n">
        <v>3</v>
      </c>
      <c r="N635" s="53" t="n">
        <v>8</v>
      </c>
      <c r="O635" s="53" t="n">
        <v>6</v>
      </c>
      <c r="P635" s="53" t="n">
        <v>22</v>
      </c>
    </row>
    <row r="636">
      <c r="A636" s="58" t="inlineStr">
        <is>
          <t>Paul Mclaughlin</t>
        </is>
      </c>
      <c r="B636" s="58" t="inlineStr">
        <is>
          <t>Amplify</t>
        </is>
      </c>
      <c r="C636" s="58" t="inlineStr">
        <is>
          <t>MolsonCoors Beverage Company</t>
        </is>
      </c>
      <c r="D636" s="58" t="inlineStr">
        <is>
          <t>Peroni</t>
        </is>
      </c>
      <c r="E636" s="53" t="n">
        <v>1086</v>
      </c>
      <c r="F636" s="53" t="n">
        <v>1091</v>
      </c>
      <c r="G636" s="55" t="n">
        <v>37148.65</v>
      </c>
      <c r="H636" s="55" t="n">
        <v>37001.5</v>
      </c>
      <c r="I636" s="55" t="n">
        <v>9256.140000000001</v>
      </c>
      <c r="J636" s="55" t="n">
        <v>9175.370000000001</v>
      </c>
      <c r="K636" s="53" t="n">
        <v>60</v>
      </c>
      <c r="L636" s="53" t="n">
        <v>60</v>
      </c>
      <c r="M636" s="53" t="n">
        <v>11</v>
      </c>
      <c r="N636" s="53" t="n">
        <v>80</v>
      </c>
      <c r="O636" s="53" t="n">
        <v>11</v>
      </c>
      <c r="P636" s="53" t="n">
        <v>70</v>
      </c>
    </row>
    <row r="637">
      <c r="A637" s="58" t="inlineStr">
        <is>
          <t>Paul Mclaughlin</t>
        </is>
      </c>
      <c r="B637" s="58" t="inlineStr">
        <is>
          <t>Amplify</t>
        </is>
      </c>
      <c r="C637" s="58" t="inlineStr">
        <is>
          <t>New Belgium Brewing Company</t>
        </is>
      </c>
      <c r="D637" s="58" t="inlineStr">
        <is>
          <t>Fat Tire Family</t>
        </is>
      </c>
      <c r="E637" s="53" t="n">
        <v>114</v>
      </c>
      <c r="F637" s="53" t="n">
        <v>121</v>
      </c>
      <c r="G637" s="55" t="n">
        <v>3908.75</v>
      </c>
      <c r="H637" s="55" t="n">
        <v>3380.25</v>
      </c>
      <c r="I637" s="55" t="n">
        <v>948.3399999999999</v>
      </c>
      <c r="J637" s="55" t="n">
        <v>863.5</v>
      </c>
      <c r="K637" s="53" t="n">
        <v>13</v>
      </c>
      <c r="L637" s="53" t="n">
        <v>12</v>
      </c>
      <c r="M637" s="53" t="n">
        <v>3</v>
      </c>
      <c r="N637" s="53" t="n">
        <v>17</v>
      </c>
      <c r="O637" s="53" t="n">
        <v>4</v>
      </c>
      <c r="P637" s="53" t="n">
        <v>22</v>
      </c>
    </row>
    <row r="638">
      <c r="A638" s="58" t="inlineStr">
        <is>
          <t>Paul Mclaughlin</t>
        </is>
      </c>
      <c r="B638" s="58" t="inlineStr">
        <is>
          <t>Amplify</t>
        </is>
      </c>
      <c r="C638" s="58" t="inlineStr">
        <is>
          <t>New Belgium Brewing Company</t>
        </is>
      </c>
      <c r="D638" s="58" t="inlineStr">
        <is>
          <t>Kirin Ichiban</t>
        </is>
      </c>
      <c r="E638" s="53" t="n">
        <v>26</v>
      </c>
      <c r="F638" s="53" t="n">
        <v>2</v>
      </c>
      <c r="G638" s="55" t="n">
        <v>645</v>
      </c>
      <c r="H638" s="55" t="n">
        <v>72</v>
      </c>
      <c r="I638" s="55" t="n">
        <v>186.06</v>
      </c>
      <c r="J638" s="55" t="n">
        <v>23.64</v>
      </c>
      <c r="K638" s="53" t="n">
        <v>3</v>
      </c>
      <c r="L638" s="53" t="n">
        <v>1</v>
      </c>
      <c r="M638" s="53" t="n">
        <v>0</v>
      </c>
      <c r="N638" s="53" t="n">
        <v>0</v>
      </c>
      <c r="O638" s="53" t="n">
        <v>2</v>
      </c>
      <c r="P638" s="53" t="n">
        <v>24</v>
      </c>
    </row>
    <row r="639">
      <c r="A639" s="58" t="inlineStr">
        <is>
          <t>Paul Mclaughlin</t>
        </is>
      </c>
      <c r="B639" s="58" t="inlineStr">
        <is>
          <t>Amplify</t>
        </is>
      </c>
      <c r="C639" s="58" t="inlineStr">
        <is>
          <t>New Belgium Brewing Company</t>
        </is>
      </c>
      <c r="D639" s="58" t="inlineStr">
        <is>
          <t>Voodoo Family</t>
        </is>
      </c>
      <c r="E639" s="53" t="n">
        <v>265</v>
      </c>
      <c r="F639" s="53" t="n">
        <v>235</v>
      </c>
      <c r="G639" s="55" t="n">
        <v>9614.700000000001</v>
      </c>
      <c r="H639" s="55" t="n">
        <v>8313.1</v>
      </c>
      <c r="I639" s="55" t="n">
        <v>2477.25</v>
      </c>
      <c r="J639" s="55" t="n">
        <v>2192.4</v>
      </c>
      <c r="K639" s="53" t="n">
        <v>18</v>
      </c>
      <c r="L639" s="53" t="n">
        <v>17</v>
      </c>
      <c r="M639" s="53" t="n">
        <v>5</v>
      </c>
      <c r="N639" s="53" t="n">
        <v>33</v>
      </c>
      <c r="O639" s="53" t="n">
        <v>6</v>
      </c>
      <c r="P639" s="53" t="n">
        <v>55</v>
      </c>
    </row>
    <row r="640">
      <c r="A640" s="58" t="inlineStr">
        <is>
          <t>Paul Mclaughlin</t>
        </is>
      </c>
      <c r="B640" s="58" t="inlineStr">
        <is>
          <t>Amplify</t>
        </is>
      </c>
      <c r="C640" s="58" t="inlineStr">
        <is>
          <t>Sapporo</t>
        </is>
      </c>
      <c r="D640" s="58" t="inlineStr">
        <is>
          <t>Sapporo</t>
        </is>
      </c>
      <c r="E640" s="53" t="n">
        <v>45</v>
      </c>
      <c r="F640" s="53" t="n">
        <v>51</v>
      </c>
      <c r="G640" s="55" t="n">
        <v>1231</v>
      </c>
      <c r="H640" s="55" t="n">
        <v>1504</v>
      </c>
      <c r="I640" s="55" t="n">
        <v>332.92</v>
      </c>
      <c r="J640" s="55" t="n">
        <v>459.17</v>
      </c>
      <c r="K640" s="53" t="n">
        <v>6</v>
      </c>
      <c r="L640" s="53" t="n">
        <v>9</v>
      </c>
      <c r="M640" s="53" t="n">
        <v>4</v>
      </c>
      <c r="N640" s="53" t="n">
        <v>7</v>
      </c>
      <c r="O640" s="53" t="n">
        <v>1</v>
      </c>
      <c r="P640" s="53" t="n">
        <v>1</v>
      </c>
    </row>
    <row r="641">
      <c r="A641" s="58" t="inlineStr">
        <is>
          <t>Paul Mclaughlin</t>
        </is>
      </c>
      <c r="B641" s="58" t="inlineStr">
        <is>
          <t>Qualifier</t>
        </is>
      </c>
      <c r="C641" s="58" t="inlineStr">
        <is>
          <t>Boston Beer Company</t>
        </is>
      </c>
      <c r="D641" s="58" t="inlineStr">
        <is>
          <t>Truly</t>
        </is>
      </c>
      <c r="E641" s="53" t="n">
        <v>27</v>
      </c>
      <c r="F641" s="53" t="n">
        <v>14</v>
      </c>
      <c r="G641" s="55" t="n">
        <v>906.4</v>
      </c>
      <c r="H641" s="55" t="n">
        <v>376.8</v>
      </c>
      <c r="I641" s="55" t="n">
        <v>247.37</v>
      </c>
      <c r="J641" s="55" t="n">
        <v>66.36</v>
      </c>
      <c r="K641" s="53" t="n">
        <v>4</v>
      </c>
      <c r="L641" s="53" t="n">
        <v>3</v>
      </c>
      <c r="M641" s="53" t="n">
        <v>2</v>
      </c>
      <c r="N641" s="53" t="n">
        <v>12</v>
      </c>
      <c r="O641" s="53" t="n">
        <v>3</v>
      </c>
      <c r="P641" s="53" t="n">
        <v>23</v>
      </c>
    </row>
    <row r="642">
      <c r="A642" s="58" t="inlineStr">
        <is>
          <t>Paul Mclaughlin</t>
        </is>
      </c>
      <c r="B642" s="58" t="inlineStr">
        <is>
          <t>Qualifier</t>
        </is>
      </c>
      <c r="C642" s="58" t="inlineStr">
        <is>
          <t>Boston Beer Company</t>
        </is>
      </c>
      <c r="D642" s="58" t="inlineStr">
        <is>
          <t>Twisted Tea</t>
        </is>
      </c>
      <c r="E642" s="53" t="n">
        <v>109</v>
      </c>
      <c r="F642" s="53" t="n">
        <v>116</v>
      </c>
      <c r="G642" s="55" t="n">
        <v>3606.75</v>
      </c>
      <c r="H642" s="55" t="n">
        <v>3723.25</v>
      </c>
      <c r="I642" s="55" t="n">
        <v>1010.76</v>
      </c>
      <c r="J642" s="55" t="n">
        <v>1037.6</v>
      </c>
      <c r="K642" s="53" t="n">
        <v>8</v>
      </c>
      <c r="L642" s="53" t="n">
        <v>5</v>
      </c>
      <c r="M642" s="53" t="n">
        <v>0</v>
      </c>
      <c r="N642" s="53" t="n">
        <v>0</v>
      </c>
      <c r="O642" s="53" t="n">
        <v>3</v>
      </c>
      <c r="P642" s="53" t="n">
        <v>9</v>
      </c>
    </row>
    <row r="643">
      <c r="A643" s="58" t="inlineStr">
        <is>
          <t>Paul Mclaughlin</t>
        </is>
      </c>
      <c r="B643" s="58" t="inlineStr">
        <is>
          <t>Qualifier</t>
        </is>
      </c>
      <c r="C643" s="58" t="inlineStr">
        <is>
          <t>Constellation Brands</t>
        </is>
      </c>
      <c r="D643" s="58" t="inlineStr">
        <is>
          <t>Corona Extra</t>
        </is>
      </c>
      <c r="E643" s="53" t="n">
        <v>3751</v>
      </c>
      <c r="F643" s="53" t="n">
        <v>3654</v>
      </c>
      <c r="G643" s="55" t="n">
        <v>126601.45</v>
      </c>
      <c r="H643" s="55" t="n">
        <v>123632.75</v>
      </c>
      <c r="I643" s="55" t="n">
        <v>35729.66</v>
      </c>
      <c r="J643" s="55" t="n">
        <v>35547.10000000001</v>
      </c>
      <c r="K643" s="53" t="n">
        <v>107</v>
      </c>
      <c r="L643" s="53" t="n">
        <v>103</v>
      </c>
      <c r="M643" s="53" t="n">
        <v>6</v>
      </c>
      <c r="N643" s="53" t="n">
        <v>227</v>
      </c>
      <c r="O643" s="53" t="n">
        <v>10</v>
      </c>
      <c r="P643" s="53" t="n">
        <v>130</v>
      </c>
    </row>
    <row r="644">
      <c r="A644" s="58" t="inlineStr">
        <is>
          <t>Paul Mclaughlin</t>
        </is>
      </c>
      <c r="B644" s="58" t="inlineStr">
        <is>
          <t>Qualifier</t>
        </is>
      </c>
      <c r="C644" s="58" t="inlineStr">
        <is>
          <t>Constellation Brands</t>
        </is>
      </c>
      <c r="D644" s="58" t="inlineStr">
        <is>
          <t>Modelo Especial</t>
        </is>
      </c>
      <c r="E644" s="53" t="n">
        <v>2228</v>
      </c>
      <c r="F644" s="53" t="n">
        <v>3058</v>
      </c>
      <c r="G644" s="55" t="n">
        <v>66122</v>
      </c>
      <c r="H644" s="55" t="n">
        <v>90468.60000000001</v>
      </c>
      <c r="I644" s="55" t="n">
        <v>16065.61999999999</v>
      </c>
      <c r="J644" s="55" t="n">
        <v>22821.28</v>
      </c>
      <c r="K644" s="53" t="n">
        <v>67</v>
      </c>
      <c r="L644" s="53" t="n">
        <v>74</v>
      </c>
      <c r="M644" s="53" t="n">
        <v>13</v>
      </c>
      <c r="N644" s="53" t="n">
        <v>733</v>
      </c>
      <c r="O644" s="53" t="n">
        <v>6</v>
      </c>
      <c r="P644" s="53" t="n">
        <v>54</v>
      </c>
    </row>
    <row r="645">
      <c r="A645" s="58" t="inlineStr">
        <is>
          <t>Paul Mclaughlin</t>
        </is>
      </c>
      <c r="B645" s="58" t="inlineStr">
        <is>
          <t>Qualifier</t>
        </is>
      </c>
      <c r="C645" s="58" t="inlineStr">
        <is>
          <t>DG Yuengling Inc</t>
        </is>
      </c>
      <c r="D645" s="58" t="inlineStr">
        <is>
          <t>Yuengling Lager</t>
        </is>
      </c>
      <c r="E645" s="53" t="n">
        <v>1619</v>
      </c>
      <c r="F645" s="53" t="n">
        <v>1575</v>
      </c>
      <c r="G645" s="55" t="n">
        <v>31512.5</v>
      </c>
      <c r="H645" s="55" t="n">
        <v>30411</v>
      </c>
      <c r="I645" s="55" t="n">
        <v>9354.570000000005</v>
      </c>
      <c r="J645" s="55" t="n">
        <v>9080.849999999997</v>
      </c>
      <c r="K645" s="53" t="n">
        <v>63</v>
      </c>
      <c r="L645" s="53" t="n">
        <v>55</v>
      </c>
      <c r="M645" s="53" t="n">
        <v>4</v>
      </c>
      <c r="N645" s="53" t="n">
        <v>43</v>
      </c>
      <c r="O645" s="53" t="n">
        <v>12</v>
      </c>
      <c r="P645" s="53" t="n">
        <v>61</v>
      </c>
    </row>
    <row r="646">
      <c r="A646" s="58" t="inlineStr">
        <is>
          <t>Paul Mclaughlin</t>
        </is>
      </c>
      <c r="B646" s="58" t="inlineStr">
        <is>
          <t>Qualifier</t>
        </is>
      </c>
      <c r="C646" s="58" t="inlineStr">
        <is>
          <t>Heineken USA</t>
        </is>
      </c>
      <c r="D646" s="58" t="inlineStr">
        <is>
          <t>Heineken USA</t>
        </is>
      </c>
      <c r="E646" s="53" t="n">
        <v>1594</v>
      </c>
      <c r="F646" s="53" t="n">
        <v>1398</v>
      </c>
      <c r="G646" s="55" t="n">
        <v>55465.95</v>
      </c>
      <c r="H646" s="55" t="n">
        <v>48753.55</v>
      </c>
      <c r="I646" s="55" t="n">
        <v>17613.53999999999</v>
      </c>
      <c r="J646" s="55" t="n">
        <v>15590.37</v>
      </c>
      <c r="K646" s="53" t="n">
        <v>104</v>
      </c>
      <c r="L646" s="53" t="n">
        <v>104</v>
      </c>
      <c r="M646" s="53" t="n">
        <v>10</v>
      </c>
      <c r="N646" s="53" t="n">
        <v>52</v>
      </c>
      <c r="O646" s="53" t="n">
        <v>10</v>
      </c>
      <c r="P646" s="53" t="n">
        <v>76</v>
      </c>
    </row>
    <row r="647">
      <c r="A647" s="58" t="inlineStr">
        <is>
          <t>Paul Mclaughlin</t>
        </is>
      </c>
      <c r="B647" s="58" t="inlineStr">
        <is>
          <t>Qualifier</t>
        </is>
      </c>
      <c r="C647" s="58" t="inlineStr">
        <is>
          <t>Mark Anthony</t>
        </is>
      </c>
      <c r="D647" s="58" t="inlineStr">
        <is>
          <t>White Claw</t>
        </is>
      </c>
      <c r="E647" s="53" t="n">
        <v>430</v>
      </c>
      <c r="F647" s="53" t="n">
        <v>331</v>
      </c>
      <c r="G647" s="55" t="n">
        <v>14337.55</v>
      </c>
      <c r="H647" s="55" t="n">
        <v>11255.15</v>
      </c>
      <c r="I647" s="55" t="n">
        <v>3678</v>
      </c>
      <c r="J647" s="55" t="n">
        <v>2941.059999999999</v>
      </c>
      <c r="K647" s="53" t="n">
        <v>43</v>
      </c>
      <c r="L647" s="53" t="n">
        <v>34</v>
      </c>
      <c r="M647" s="53" t="n">
        <v>7</v>
      </c>
      <c r="N647" s="53" t="n">
        <v>40</v>
      </c>
      <c r="O647" s="53" t="n">
        <v>16</v>
      </c>
      <c r="P647" s="53" t="n">
        <v>97</v>
      </c>
    </row>
    <row r="648">
      <c r="A648" s="58" t="inlineStr">
        <is>
          <t>Paul Mclaughlin</t>
        </is>
      </c>
      <c r="B648" s="58" t="inlineStr">
        <is>
          <t>Qualifier</t>
        </is>
      </c>
      <c r="C648" s="58" t="inlineStr">
        <is>
          <t>MolsonCoors Beverage Company</t>
        </is>
      </c>
      <c r="D648" s="58" t="inlineStr">
        <is>
          <t>Blue Moon</t>
        </is>
      </c>
      <c r="E648" s="53" t="n">
        <v>1248</v>
      </c>
      <c r="F648" s="53" t="n">
        <v>1161</v>
      </c>
      <c r="G648" s="55" t="n">
        <v>39527.5</v>
      </c>
      <c r="H648" s="55" t="n">
        <v>36550.5</v>
      </c>
      <c r="I648" s="55" t="n">
        <v>13443.34</v>
      </c>
      <c r="J648" s="55" t="n">
        <v>12228.46</v>
      </c>
      <c r="K648" s="53" t="n">
        <v>76</v>
      </c>
      <c r="L648" s="53" t="n">
        <v>74</v>
      </c>
      <c r="M648" s="53" t="n">
        <v>12</v>
      </c>
      <c r="N648" s="53" t="n">
        <v>44</v>
      </c>
      <c r="O648" s="53" t="n">
        <v>14</v>
      </c>
      <c r="P648" s="53" t="n">
        <v>82</v>
      </c>
    </row>
    <row r="649">
      <c r="A649" s="58" t="inlineStr">
        <is>
          <t>Paul Mclaughlin</t>
        </is>
      </c>
      <c r="B649" s="58" t="inlineStr">
        <is>
          <t>Qualifier</t>
        </is>
      </c>
      <c r="C649" s="58" t="inlineStr">
        <is>
          <t>MolsonCoors Beverage Company</t>
        </is>
      </c>
      <c r="D649" s="58" t="inlineStr">
        <is>
          <t>Coors Light</t>
        </is>
      </c>
      <c r="E649" s="53" t="n">
        <v>3681</v>
      </c>
      <c r="F649" s="53" t="n">
        <v>3385</v>
      </c>
      <c r="G649" s="55" t="n">
        <v>79131.64999999999</v>
      </c>
      <c r="H649" s="55" t="n">
        <v>73652.10000000001</v>
      </c>
      <c r="I649" s="55" t="n">
        <v>22562.07</v>
      </c>
      <c r="J649" s="55" t="n">
        <v>20239.43</v>
      </c>
      <c r="K649" s="53" t="n">
        <v>103</v>
      </c>
      <c r="L649" s="53" t="n">
        <v>97</v>
      </c>
      <c r="M649" s="53" t="n">
        <v>6</v>
      </c>
      <c r="N649" s="53" t="n">
        <v>30</v>
      </c>
      <c r="O649" s="53" t="n">
        <v>12</v>
      </c>
      <c r="P649" s="53" t="n">
        <v>74</v>
      </c>
    </row>
    <row r="650">
      <c r="A650" s="58" t="inlineStr">
        <is>
          <t>Paul Mclaughlin</t>
        </is>
      </c>
      <c r="B650" s="58" t="inlineStr">
        <is>
          <t>Qualifier</t>
        </is>
      </c>
      <c r="C650" s="58" t="inlineStr">
        <is>
          <t>MolsonCoors Beverage Company</t>
        </is>
      </c>
      <c r="D650" s="58" t="inlineStr">
        <is>
          <t>Lite</t>
        </is>
      </c>
      <c r="E650" s="53" t="n">
        <v>3087</v>
      </c>
      <c r="F650" s="53" t="n">
        <v>2934</v>
      </c>
      <c r="G650" s="55" t="n">
        <v>68593.5</v>
      </c>
      <c r="H650" s="55" t="n">
        <v>66467.59999999999</v>
      </c>
      <c r="I650" s="55" t="n">
        <v>17483.8</v>
      </c>
      <c r="J650" s="55" t="n">
        <v>16376.63</v>
      </c>
      <c r="K650" s="53" t="n">
        <v>77</v>
      </c>
      <c r="L650" s="53" t="n">
        <v>72</v>
      </c>
      <c r="M650" s="53" t="n">
        <v>4</v>
      </c>
      <c r="N650" s="53" t="n">
        <v>13</v>
      </c>
      <c r="O650" s="53" t="n">
        <v>9</v>
      </c>
      <c r="P650" s="53" t="n">
        <v>61</v>
      </c>
    </row>
    <row r="651">
      <c r="A651" s="58" t="inlineStr">
        <is>
          <t>Phil Ernst</t>
        </is>
      </c>
      <c r="B651" s="58" t="inlineStr">
        <is>
          <t>Amplify</t>
        </is>
      </c>
      <c r="C651" s="58" t="inlineStr">
        <is>
          <t>Bell's</t>
        </is>
      </c>
      <c r="D651" s="58" t="inlineStr">
        <is>
          <t>Bell's</t>
        </is>
      </c>
      <c r="E651" s="53" t="n">
        <v>38</v>
      </c>
      <c r="F651" s="53" t="n">
        <v>30</v>
      </c>
      <c r="G651" s="55" t="n">
        <v>1413.6</v>
      </c>
      <c r="H651" s="55" t="n">
        <v>1121</v>
      </c>
      <c r="I651" s="55" t="n">
        <v>512.28</v>
      </c>
      <c r="J651" s="55" t="n">
        <v>414.72</v>
      </c>
      <c r="K651" s="53" t="n">
        <v>6</v>
      </c>
      <c r="L651" s="53" t="n">
        <v>6</v>
      </c>
      <c r="M651" s="53" t="n">
        <v>2</v>
      </c>
      <c r="N651" s="53" t="n">
        <v>4</v>
      </c>
      <c r="O651" s="53" t="n">
        <v>2</v>
      </c>
      <c r="P651" s="53" t="n">
        <v>7</v>
      </c>
    </row>
    <row r="652">
      <c r="A652" s="58" t="inlineStr">
        <is>
          <t>Phil Ernst</t>
        </is>
      </c>
      <c r="B652" s="58" t="inlineStr">
        <is>
          <t>Amplify</t>
        </is>
      </c>
      <c r="C652" s="58" t="inlineStr">
        <is>
          <t>Boston Beer Company</t>
        </is>
      </c>
      <c r="D652" s="58" t="inlineStr">
        <is>
          <t>Dogfish Head Beer</t>
        </is>
      </c>
      <c r="E652" s="53" t="n">
        <v>705</v>
      </c>
      <c r="F652" s="53" t="n">
        <v>691</v>
      </c>
      <c r="G652" s="55" t="n">
        <v>24813.3</v>
      </c>
      <c r="H652" s="55" t="n">
        <v>24278.5</v>
      </c>
      <c r="I652" s="55" t="n">
        <v>6525.61</v>
      </c>
      <c r="J652" s="55" t="n">
        <v>6094.380000000001</v>
      </c>
      <c r="K652" s="53" t="n">
        <v>21</v>
      </c>
      <c r="L652" s="53" t="n">
        <v>22</v>
      </c>
      <c r="M652" s="53" t="n">
        <v>2</v>
      </c>
      <c r="N652" s="53" t="n">
        <v>8</v>
      </c>
      <c r="O652" s="53" t="n">
        <v>1</v>
      </c>
      <c r="P652" s="53" t="n">
        <v>36</v>
      </c>
    </row>
    <row r="653">
      <c r="A653" s="58" t="inlineStr">
        <is>
          <t>Phil Ernst</t>
        </is>
      </c>
      <c r="B653" s="58" t="inlineStr">
        <is>
          <t>Amplify</t>
        </is>
      </c>
      <c r="C653" s="58" t="inlineStr">
        <is>
          <t>Boston Beer Company</t>
        </is>
      </c>
      <c r="D653" s="58" t="inlineStr">
        <is>
          <t>Dogfish Head Spirits</t>
        </is>
      </c>
      <c r="E653" s="53" t="n">
        <v>128</v>
      </c>
      <c r="F653" s="53" t="n">
        <v>78</v>
      </c>
      <c r="G653" s="55" t="n">
        <v>6801</v>
      </c>
      <c r="H653" s="55" t="n">
        <v>3995</v>
      </c>
      <c r="I653" s="55" t="n">
        <v>2687.74</v>
      </c>
      <c r="J653" s="55" t="n">
        <v>1408.34</v>
      </c>
      <c r="K653" s="53" t="n">
        <v>11</v>
      </c>
      <c r="L653" s="53" t="n">
        <v>9</v>
      </c>
      <c r="M653" s="53" t="n">
        <v>4</v>
      </c>
      <c r="N653" s="53" t="n">
        <v>16</v>
      </c>
      <c r="O653" s="53" t="n">
        <v>6</v>
      </c>
      <c r="P653" s="53" t="n">
        <v>50</v>
      </c>
    </row>
    <row r="654">
      <c r="A654" s="58" t="inlineStr">
        <is>
          <t>Phil Ernst</t>
        </is>
      </c>
      <c r="B654" s="58" t="inlineStr">
        <is>
          <t>Amplify</t>
        </is>
      </c>
      <c r="C654" s="58" t="inlineStr">
        <is>
          <t>Cape May</t>
        </is>
      </c>
      <c r="D654" s="58" t="inlineStr">
        <is>
          <t>Cape May</t>
        </is>
      </c>
      <c r="E654" s="53" t="n">
        <v>634</v>
      </c>
      <c r="F654" s="53" t="n">
        <v>603</v>
      </c>
      <c r="G654" s="55" t="n">
        <v>25943</v>
      </c>
      <c r="H654" s="55" t="n">
        <v>24690.4</v>
      </c>
      <c r="I654" s="55" t="n">
        <v>7891.25</v>
      </c>
      <c r="J654" s="55" t="n">
        <v>7611.990000000001</v>
      </c>
      <c r="K654" s="53" t="n">
        <v>19</v>
      </c>
      <c r="L654" s="53" t="n">
        <v>19</v>
      </c>
      <c r="M654" s="53" t="n">
        <v>3</v>
      </c>
      <c r="N654" s="53" t="n">
        <v>8</v>
      </c>
      <c r="O654" s="53" t="n">
        <v>3</v>
      </c>
      <c r="P654" s="53" t="n">
        <v>42</v>
      </c>
    </row>
    <row r="655">
      <c r="A655" s="58" t="inlineStr">
        <is>
          <t>Phil Ernst</t>
        </is>
      </c>
      <c r="B655" s="58" t="inlineStr">
        <is>
          <t>Amplify</t>
        </is>
      </c>
      <c r="C655" s="58" t="inlineStr">
        <is>
          <t>Constellation Brands</t>
        </is>
      </c>
      <c r="D655" s="58" t="inlineStr">
        <is>
          <t>Corona Premier</t>
        </is>
      </c>
      <c r="E655" s="53" t="n">
        <v>1217</v>
      </c>
      <c r="F655" s="53" t="n">
        <v>1037</v>
      </c>
      <c r="G655" s="55" t="n">
        <v>38035.14999999999</v>
      </c>
      <c r="H655" s="55" t="n">
        <v>28250.63</v>
      </c>
      <c r="I655" s="55" t="n">
        <v>8103.260000000002</v>
      </c>
      <c r="J655" s="55" t="n">
        <v>7118.130000000001</v>
      </c>
      <c r="K655" s="53" t="n">
        <v>24</v>
      </c>
      <c r="L655" s="53" t="n">
        <v>23</v>
      </c>
      <c r="M655" s="53" t="n">
        <v>1</v>
      </c>
      <c r="N655" s="53" t="n">
        <v>3</v>
      </c>
      <c r="O655" s="53" t="n">
        <v>2</v>
      </c>
      <c r="P655" s="53" t="n">
        <v>95</v>
      </c>
    </row>
    <row r="656">
      <c r="A656" s="58" t="inlineStr">
        <is>
          <t>Phil Ernst</t>
        </is>
      </c>
      <c r="B656" s="58" t="inlineStr">
        <is>
          <t>Amplify</t>
        </is>
      </c>
      <c r="C656" s="58" t="inlineStr">
        <is>
          <t>Constellation Brands</t>
        </is>
      </c>
      <c r="D656" s="58" t="inlineStr">
        <is>
          <t>Modelo Chelada</t>
        </is>
      </c>
      <c r="E656" s="53" t="n">
        <v>1081</v>
      </c>
      <c r="F656" s="53" t="n">
        <v>1375</v>
      </c>
      <c r="G656" s="55" t="n">
        <v>33240.25</v>
      </c>
      <c r="H656" s="55" t="n">
        <v>41924.55</v>
      </c>
      <c r="I656" s="55" t="n">
        <v>7948.169999999999</v>
      </c>
      <c r="J656" s="55" t="n">
        <v>10204.11</v>
      </c>
      <c r="K656" s="53" t="n">
        <v>21</v>
      </c>
      <c r="L656" s="53" t="n">
        <v>24</v>
      </c>
      <c r="M656" s="53" t="n">
        <v>4</v>
      </c>
      <c r="N656" s="53" t="n">
        <v>36</v>
      </c>
      <c r="O656" s="53" t="n">
        <v>1</v>
      </c>
      <c r="P656" s="53" t="n">
        <v>3</v>
      </c>
    </row>
    <row r="657">
      <c r="A657" s="58" t="inlineStr">
        <is>
          <t>Phil Ernst</t>
        </is>
      </c>
      <c r="B657" s="58" t="inlineStr">
        <is>
          <t>Amplify</t>
        </is>
      </c>
      <c r="C657" s="58" t="inlineStr">
        <is>
          <t>Constellation Brands</t>
        </is>
      </c>
      <c r="D657" s="58" t="inlineStr">
        <is>
          <t>Pacifico</t>
        </is>
      </c>
      <c r="E657" s="53" t="n">
        <v>433</v>
      </c>
      <c r="F657" s="53" t="n">
        <v>465</v>
      </c>
      <c r="G657" s="55" t="n">
        <v>13442.75</v>
      </c>
      <c r="H657" s="55" t="n">
        <v>14550.1</v>
      </c>
      <c r="I657" s="55" t="n">
        <v>3190.16</v>
      </c>
      <c r="J657" s="55" t="n">
        <v>3466.660000000001</v>
      </c>
      <c r="K657" s="53" t="n">
        <v>23</v>
      </c>
      <c r="L657" s="53" t="n">
        <v>22</v>
      </c>
      <c r="M657" s="53" t="n">
        <v>2</v>
      </c>
      <c r="N657" s="53" t="n">
        <v>20</v>
      </c>
      <c r="O657" s="53" t="n">
        <v>3</v>
      </c>
      <c r="P657" s="53" t="n">
        <v>17</v>
      </c>
    </row>
    <row r="658">
      <c r="A658" s="58" t="inlineStr">
        <is>
          <t>Phil Ernst</t>
        </is>
      </c>
      <c r="B658" s="58" t="inlineStr">
        <is>
          <t>Amplify</t>
        </is>
      </c>
      <c r="C658" s="58" t="inlineStr">
        <is>
          <t>Constellation Brands</t>
        </is>
      </c>
      <c r="D658" s="58" t="inlineStr">
        <is>
          <t>Victoria</t>
        </is>
      </c>
      <c r="E658" s="53" t="n">
        <v>539</v>
      </c>
      <c r="F658" s="53" t="n">
        <v>420</v>
      </c>
      <c r="G658" s="55" t="n">
        <v>16649.3</v>
      </c>
      <c r="H658" s="55" t="n">
        <v>12856.65</v>
      </c>
      <c r="I658" s="55" t="n">
        <v>3867.439999999999</v>
      </c>
      <c r="J658" s="55" t="n">
        <v>2968.16</v>
      </c>
      <c r="K658" s="53" t="n">
        <v>14</v>
      </c>
      <c r="L658" s="53" t="n">
        <v>18</v>
      </c>
      <c r="M658" s="53" t="n">
        <v>4</v>
      </c>
      <c r="N658" s="53" t="n">
        <v>38</v>
      </c>
      <c r="O658" s="53" t="n">
        <v>0</v>
      </c>
      <c r="P658" s="53" t="n">
        <v>0</v>
      </c>
    </row>
    <row r="659">
      <c r="A659" s="58" t="inlineStr">
        <is>
          <t>Phil Ernst</t>
        </is>
      </c>
      <c r="B659" s="58" t="inlineStr">
        <is>
          <t>Amplify</t>
        </is>
      </c>
      <c r="C659" s="58" t="inlineStr">
        <is>
          <t>DG Yuengling Inc</t>
        </is>
      </c>
      <c r="D659" s="58" t="inlineStr">
        <is>
          <t>Yuengling Flight</t>
        </is>
      </c>
      <c r="E659" s="53" t="n">
        <v>381</v>
      </c>
      <c r="F659" s="53" t="n">
        <v>221</v>
      </c>
      <c r="G659" s="55" t="n">
        <v>8607.599999999999</v>
      </c>
      <c r="H659" s="55" t="n">
        <v>5004.849999999999</v>
      </c>
      <c r="I659" s="55" t="n">
        <v>2309.94</v>
      </c>
      <c r="J659" s="55" t="n">
        <v>1393.43</v>
      </c>
      <c r="K659" s="53" t="n">
        <v>18</v>
      </c>
      <c r="L659" s="53" t="n">
        <v>16</v>
      </c>
      <c r="M659" s="53" t="n">
        <v>0</v>
      </c>
      <c r="N659" s="53" t="n">
        <v>0</v>
      </c>
      <c r="O659" s="53" t="n">
        <v>2</v>
      </c>
      <c r="P659" s="53" t="n">
        <v>68</v>
      </c>
    </row>
    <row r="660">
      <c r="A660" s="58" t="inlineStr">
        <is>
          <t>Phil Ernst</t>
        </is>
      </c>
      <c r="B660" s="58" t="inlineStr">
        <is>
          <t>Amplify</t>
        </is>
      </c>
      <c r="C660" s="58" t="inlineStr">
        <is>
          <t>DG Yuengling Inc</t>
        </is>
      </c>
      <c r="D660" s="58" t="inlineStr">
        <is>
          <t>Yuengling Light Lager</t>
        </is>
      </c>
      <c r="E660" s="53" t="n">
        <v>212</v>
      </c>
      <c r="F660" s="53" t="n">
        <v>167</v>
      </c>
      <c r="G660" s="55" t="n">
        <v>4818.2</v>
      </c>
      <c r="H660" s="55" t="n">
        <v>3832.4</v>
      </c>
      <c r="I660" s="55" t="n">
        <v>1238.96</v>
      </c>
      <c r="J660" s="55" t="n">
        <v>995.24</v>
      </c>
      <c r="K660" s="53" t="n">
        <v>11</v>
      </c>
      <c r="L660" s="53" t="n">
        <v>9</v>
      </c>
      <c r="M660" s="53" t="n">
        <v>2</v>
      </c>
      <c r="N660" s="53" t="n">
        <v>3</v>
      </c>
      <c r="O660" s="53" t="n">
        <v>4</v>
      </c>
      <c r="P660" s="53" t="n">
        <v>21</v>
      </c>
    </row>
    <row r="661">
      <c r="A661" s="58" t="inlineStr">
        <is>
          <t>Phil Ernst</t>
        </is>
      </c>
      <c r="B661" s="58" t="inlineStr">
        <is>
          <t>Amplify</t>
        </is>
      </c>
      <c r="C661" s="58" t="inlineStr">
        <is>
          <t>Heineken USA</t>
        </is>
      </c>
      <c r="D661" s="58" t="inlineStr">
        <is>
          <t>Heineken 0.0</t>
        </is>
      </c>
      <c r="E661" s="53" t="n">
        <v>727</v>
      </c>
      <c r="F661" s="53" t="n">
        <v>667</v>
      </c>
      <c r="G661" s="55" t="n">
        <v>24722.95</v>
      </c>
      <c r="H661" s="55" t="n">
        <v>22589.45</v>
      </c>
      <c r="I661" s="55" t="n">
        <v>6562.820000000002</v>
      </c>
      <c r="J661" s="55" t="n">
        <v>6048.470000000001</v>
      </c>
      <c r="K661" s="53" t="n">
        <v>24</v>
      </c>
      <c r="L661" s="53" t="n">
        <v>25</v>
      </c>
      <c r="M661" s="53" t="n">
        <v>2</v>
      </c>
      <c r="N661" s="53" t="n">
        <v>18</v>
      </c>
      <c r="O661" s="53" t="n">
        <v>1</v>
      </c>
      <c r="P661" s="53" t="n">
        <v>48</v>
      </c>
    </row>
    <row r="662">
      <c r="A662" s="58" t="inlineStr">
        <is>
          <t>Phil Ernst</t>
        </is>
      </c>
      <c r="B662" s="58" t="inlineStr">
        <is>
          <t>Amplify</t>
        </is>
      </c>
      <c r="C662" s="58" t="inlineStr">
        <is>
          <t>Heineken USA</t>
        </is>
      </c>
      <c r="D662" s="58" t="inlineStr">
        <is>
          <t>Heineken Light</t>
        </is>
      </c>
      <c r="E662" s="53" t="n">
        <v>1273</v>
      </c>
      <c r="F662" s="53" t="n">
        <v>1099</v>
      </c>
      <c r="G662" s="55" t="n">
        <v>38968.45</v>
      </c>
      <c r="H662" s="55" t="n">
        <v>33629.35</v>
      </c>
      <c r="I662" s="55" t="n">
        <v>8717.069999999998</v>
      </c>
      <c r="J662" s="55" t="n">
        <v>7513.589999999999</v>
      </c>
      <c r="K662" s="53" t="n">
        <v>22</v>
      </c>
      <c r="L662" s="53" t="n">
        <v>21</v>
      </c>
      <c r="M662" s="53" t="n">
        <v>2</v>
      </c>
      <c r="N662" s="53" t="n">
        <v>6</v>
      </c>
      <c r="O662" s="53" t="n">
        <v>3</v>
      </c>
      <c r="P662" s="53" t="n">
        <v>34</v>
      </c>
    </row>
    <row r="663">
      <c r="A663" s="58" t="inlineStr">
        <is>
          <t>Phil Ernst</t>
        </is>
      </c>
      <c r="B663" s="58" t="inlineStr">
        <is>
          <t>Amplify</t>
        </is>
      </c>
      <c r="C663" s="58" t="inlineStr">
        <is>
          <t>Mark Anthony</t>
        </is>
      </c>
      <c r="D663" s="58" t="inlineStr">
        <is>
          <t>Cayman Jack</t>
        </is>
      </c>
      <c r="E663" s="53" t="n">
        <v>794</v>
      </c>
      <c r="F663" s="53" t="n">
        <v>870</v>
      </c>
      <c r="G663" s="55" t="n">
        <v>25422.5</v>
      </c>
      <c r="H663" s="55" t="n">
        <v>27652.75</v>
      </c>
      <c r="I663" s="55" t="n">
        <v>6317.809999999999</v>
      </c>
      <c r="J663" s="55" t="n">
        <v>6762.130000000001</v>
      </c>
      <c r="K663" s="53" t="n">
        <v>22</v>
      </c>
      <c r="L663" s="53" t="n">
        <v>21</v>
      </c>
      <c r="M663" s="53" t="n">
        <v>1</v>
      </c>
      <c r="N663" s="53" t="n">
        <v>5</v>
      </c>
      <c r="O663" s="53" t="n">
        <v>2</v>
      </c>
      <c r="P663" s="53" t="n">
        <v>5</v>
      </c>
    </row>
    <row r="664">
      <c r="A664" s="58" t="inlineStr">
        <is>
          <t>Phil Ernst</t>
        </is>
      </c>
      <c r="B664" s="58" t="inlineStr">
        <is>
          <t>Amplify</t>
        </is>
      </c>
      <c r="C664" s="58" t="inlineStr">
        <is>
          <t>Mark Anthony</t>
        </is>
      </c>
      <c r="D664" s="58" t="inlineStr">
        <is>
          <t>Mike's Harder</t>
        </is>
      </c>
      <c r="E664" s="53" t="n">
        <v>185</v>
      </c>
      <c r="F664" s="53" t="n">
        <v>161</v>
      </c>
      <c r="G664" s="55" t="n">
        <v>5182</v>
      </c>
      <c r="H664" s="55" t="n">
        <v>4754</v>
      </c>
      <c r="I664" s="55" t="n">
        <v>1165.87</v>
      </c>
      <c r="J664" s="55" t="n">
        <v>1039.11</v>
      </c>
      <c r="K664" s="53" t="n">
        <v>16</v>
      </c>
      <c r="L664" s="53" t="n">
        <v>12</v>
      </c>
      <c r="M664" s="53" t="n">
        <v>1</v>
      </c>
      <c r="N664" s="53" t="n">
        <v>3</v>
      </c>
      <c r="O664" s="53" t="n">
        <v>5</v>
      </c>
      <c r="P664" s="53" t="n">
        <v>18</v>
      </c>
    </row>
    <row r="665">
      <c r="A665" s="58" t="inlineStr">
        <is>
          <t>Phil Ernst</t>
        </is>
      </c>
      <c r="B665" s="58" t="inlineStr">
        <is>
          <t>Amplify</t>
        </is>
      </c>
      <c r="C665" s="58" t="inlineStr">
        <is>
          <t>Mark Anthony</t>
        </is>
      </c>
      <c r="D665" s="58" t="inlineStr">
        <is>
          <t>Mxd Cocktails</t>
        </is>
      </c>
      <c r="E665" s="53" t="n">
        <v>16</v>
      </c>
      <c r="F665" s="53" t="n">
        <v>9</v>
      </c>
      <c r="G665" s="55" t="n">
        <v>384</v>
      </c>
      <c r="H665" s="55" t="n">
        <v>227.9</v>
      </c>
      <c r="I665" s="55" t="n">
        <v>72.12</v>
      </c>
      <c r="J665" s="55" t="n">
        <v>45.69</v>
      </c>
      <c r="K665" s="53" t="n">
        <v>1</v>
      </c>
      <c r="L665" s="53" t="n">
        <v>2</v>
      </c>
      <c r="M665" s="53" t="n">
        <v>1</v>
      </c>
      <c r="N665" s="53" t="n">
        <v>1</v>
      </c>
      <c r="O665" s="53" t="n">
        <v>0</v>
      </c>
      <c r="P665" s="53" t="n">
        <v>0</v>
      </c>
    </row>
    <row r="666">
      <c r="A666" s="58" t="inlineStr">
        <is>
          <t>Phil Ernst</t>
        </is>
      </c>
      <c r="B666" s="58" t="inlineStr">
        <is>
          <t>Amplify</t>
        </is>
      </c>
      <c r="C666" s="58" t="inlineStr">
        <is>
          <t>MolsonCoors Beverage Company</t>
        </is>
      </c>
      <c r="D666" s="58" t="inlineStr">
        <is>
          <t>Coors</t>
        </is>
      </c>
      <c r="E666" s="53" t="n">
        <v>2177</v>
      </c>
      <c r="F666" s="53" t="n">
        <v>4080</v>
      </c>
      <c r="G666" s="55" t="n">
        <v>46287.39999999999</v>
      </c>
      <c r="H666" s="55" t="n">
        <v>81852.64999999999</v>
      </c>
      <c r="I666" s="55" t="n">
        <v>11820.96</v>
      </c>
      <c r="J666" s="55" t="n">
        <v>18886.75</v>
      </c>
      <c r="K666" s="53" t="n">
        <v>26</v>
      </c>
      <c r="L666" s="53" t="n">
        <v>26</v>
      </c>
      <c r="M666" s="53" t="n">
        <v>1</v>
      </c>
      <c r="N666" s="53" t="n">
        <v>10</v>
      </c>
      <c r="O666" s="53" t="n">
        <v>1</v>
      </c>
      <c r="P666" s="53" t="n">
        <v>33</v>
      </c>
    </row>
    <row r="667">
      <c r="A667" s="58" t="inlineStr">
        <is>
          <t>Phil Ernst</t>
        </is>
      </c>
      <c r="B667" s="58" t="inlineStr">
        <is>
          <t>Amplify</t>
        </is>
      </c>
      <c r="C667" s="58" t="inlineStr">
        <is>
          <t>MolsonCoors Beverage Company</t>
        </is>
      </c>
      <c r="D667" s="58" t="inlineStr">
        <is>
          <t>Fever Tree</t>
        </is>
      </c>
      <c r="E667" s="53" t="n">
        <v>244</v>
      </c>
      <c r="F667" s="53" t="n">
        <v>330</v>
      </c>
      <c r="G667" s="55" t="n">
        <v>10974.5</v>
      </c>
      <c r="H667" s="55" t="n">
        <v>14667.96</v>
      </c>
      <c r="I667" s="55" t="n">
        <v>3481.03</v>
      </c>
      <c r="J667" s="55" t="n">
        <v>4638.67</v>
      </c>
      <c r="K667" s="53" t="n">
        <v>11</v>
      </c>
      <c r="L667" s="53" t="n">
        <v>12</v>
      </c>
      <c r="M667" s="53" t="n">
        <v>3</v>
      </c>
      <c r="N667" s="53" t="n">
        <v>9</v>
      </c>
      <c r="O667" s="53" t="n">
        <v>2</v>
      </c>
      <c r="P667" s="53" t="n">
        <v>23</v>
      </c>
    </row>
    <row r="668">
      <c r="A668" s="58" t="inlineStr">
        <is>
          <t>Phil Ernst</t>
        </is>
      </c>
      <c r="B668" s="58" t="inlineStr">
        <is>
          <t>Amplify</t>
        </is>
      </c>
      <c r="C668" s="58" t="inlineStr">
        <is>
          <t>MolsonCoors Beverage Company</t>
        </is>
      </c>
      <c r="D668" s="58" t="inlineStr">
        <is>
          <t>Peroni</t>
        </is>
      </c>
      <c r="E668" s="53" t="n">
        <v>1626</v>
      </c>
      <c r="F668" s="53" t="n">
        <v>1492</v>
      </c>
      <c r="G668" s="55" t="n">
        <v>55271.40000000001</v>
      </c>
      <c r="H668" s="55" t="n">
        <v>50315.45</v>
      </c>
      <c r="I668" s="55" t="n">
        <v>11282.01</v>
      </c>
      <c r="J668" s="55" t="n">
        <v>10128.18</v>
      </c>
      <c r="K668" s="53" t="n">
        <v>24</v>
      </c>
      <c r="L668" s="53" t="n">
        <v>25</v>
      </c>
      <c r="M668" s="53" t="n">
        <v>4</v>
      </c>
      <c r="N668" s="53" t="n">
        <v>19</v>
      </c>
      <c r="O668" s="53" t="n">
        <v>3</v>
      </c>
      <c r="P668" s="53" t="n">
        <v>100</v>
      </c>
    </row>
    <row r="669">
      <c r="A669" s="58" t="inlineStr">
        <is>
          <t>Phil Ernst</t>
        </is>
      </c>
      <c r="B669" s="58" t="inlineStr">
        <is>
          <t>Amplify</t>
        </is>
      </c>
      <c r="C669" s="58" t="inlineStr">
        <is>
          <t>New Belgium Brewing Company</t>
        </is>
      </c>
      <c r="D669" s="58" t="inlineStr">
        <is>
          <t>Fat Tire Family</t>
        </is>
      </c>
      <c r="E669" s="53" t="n">
        <v>134</v>
      </c>
      <c r="F669" s="53" t="n">
        <v>120</v>
      </c>
      <c r="G669" s="55" t="n">
        <v>4556.150000000001</v>
      </c>
      <c r="H669" s="55" t="n">
        <v>3692.3</v>
      </c>
      <c r="I669" s="55" t="n">
        <v>1108.15</v>
      </c>
      <c r="J669" s="55" t="n">
        <v>819.3400000000001</v>
      </c>
      <c r="K669" s="53" t="n">
        <v>16</v>
      </c>
      <c r="L669" s="53" t="n">
        <v>14</v>
      </c>
      <c r="M669" s="53" t="n">
        <v>0</v>
      </c>
      <c r="N669" s="53" t="n">
        <v>0</v>
      </c>
      <c r="O669" s="53" t="n">
        <v>2</v>
      </c>
      <c r="P669" s="53" t="n">
        <v>10</v>
      </c>
    </row>
    <row r="670">
      <c r="A670" s="58" t="inlineStr">
        <is>
          <t>Phil Ernst</t>
        </is>
      </c>
      <c r="B670" s="58" t="inlineStr">
        <is>
          <t>Amplify</t>
        </is>
      </c>
      <c r="C670" s="58" t="inlineStr">
        <is>
          <t>New Belgium Brewing Company</t>
        </is>
      </c>
      <c r="D670" s="58" t="inlineStr">
        <is>
          <t>Kirin Ichiban</t>
        </is>
      </c>
      <c r="E670" s="53" t="n">
        <v>21</v>
      </c>
      <c r="F670" s="53" t="n">
        <v>38</v>
      </c>
      <c r="G670" s="55" t="n">
        <v>680</v>
      </c>
      <c r="H670" s="55" t="n">
        <v>1286.8</v>
      </c>
      <c r="I670" s="55" t="n">
        <v>189.58</v>
      </c>
      <c r="J670" s="55" t="n">
        <v>389.84</v>
      </c>
      <c r="K670" s="53" t="n">
        <v>4</v>
      </c>
      <c r="L670" s="53" t="n">
        <v>10</v>
      </c>
      <c r="M670" s="53" t="n">
        <v>6</v>
      </c>
      <c r="N670" s="53" t="n">
        <v>13</v>
      </c>
      <c r="O670" s="53" t="n">
        <v>0</v>
      </c>
      <c r="P670" s="53" t="n">
        <v>0</v>
      </c>
    </row>
    <row r="671">
      <c r="A671" s="58" t="inlineStr">
        <is>
          <t>Phil Ernst</t>
        </is>
      </c>
      <c r="B671" s="58" t="inlineStr">
        <is>
          <t>Amplify</t>
        </is>
      </c>
      <c r="C671" s="58" t="inlineStr">
        <is>
          <t>New Belgium Brewing Company</t>
        </is>
      </c>
      <c r="D671" s="58" t="inlineStr">
        <is>
          <t>Voodoo Family</t>
        </is>
      </c>
      <c r="E671" s="53" t="n">
        <v>776</v>
      </c>
      <c r="F671" s="53" t="n">
        <v>872</v>
      </c>
      <c r="G671" s="55" t="n">
        <v>28725.9</v>
      </c>
      <c r="H671" s="55" t="n">
        <v>32087.90000000001</v>
      </c>
      <c r="I671" s="55" t="n">
        <v>7495.509999999999</v>
      </c>
      <c r="J671" s="55" t="n">
        <v>8469.220000000001</v>
      </c>
      <c r="K671" s="53" t="n">
        <v>21</v>
      </c>
      <c r="L671" s="53" t="n">
        <v>23</v>
      </c>
      <c r="M671" s="53" t="n">
        <v>3</v>
      </c>
      <c r="N671" s="53" t="n">
        <v>17</v>
      </c>
      <c r="O671" s="53" t="n">
        <v>1</v>
      </c>
      <c r="P671" s="53" t="n">
        <v>37</v>
      </c>
    </row>
    <row r="672">
      <c r="A672" s="58" t="inlineStr">
        <is>
          <t>Phil Ernst</t>
        </is>
      </c>
      <c r="B672" s="58" t="inlineStr">
        <is>
          <t>Amplify</t>
        </is>
      </c>
      <c r="C672" s="58" t="inlineStr">
        <is>
          <t>Sapporo</t>
        </is>
      </c>
      <c r="D672" s="58" t="inlineStr">
        <is>
          <t>Sapporo</t>
        </is>
      </c>
      <c r="E672" s="53" t="n">
        <v>770</v>
      </c>
      <c r="F672" s="53" t="n">
        <v>903</v>
      </c>
      <c r="G672" s="55" t="n">
        <v>22156.5</v>
      </c>
      <c r="H672" s="55" t="n">
        <v>25616.75</v>
      </c>
      <c r="I672" s="55" t="n">
        <v>6025.999999999999</v>
      </c>
      <c r="J672" s="55" t="n">
        <v>6915.240000000003</v>
      </c>
      <c r="K672" s="53" t="n">
        <v>24</v>
      </c>
      <c r="L672" s="53" t="n">
        <v>24</v>
      </c>
      <c r="M672" s="53" t="n">
        <v>1</v>
      </c>
      <c r="N672" s="53" t="n">
        <v>3</v>
      </c>
      <c r="O672" s="53" t="n">
        <v>1</v>
      </c>
      <c r="P672" s="53" t="n">
        <v>2</v>
      </c>
    </row>
    <row r="673">
      <c r="A673" s="58" t="inlineStr">
        <is>
          <t>Phil Ernst</t>
        </is>
      </c>
      <c r="B673" s="58" t="inlineStr">
        <is>
          <t>Qualifier</t>
        </is>
      </c>
      <c r="C673" s="58" t="inlineStr">
        <is>
          <t>Boston Beer Company</t>
        </is>
      </c>
      <c r="D673" s="58" t="inlineStr">
        <is>
          <t>Truly</t>
        </is>
      </c>
      <c r="E673" s="53" t="n">
        <v>1572</v>
      </c>
      <c r="F673" s="53" t="n">
        <v>904</v>
      </c>
      <c r="G673" s="55" t="n">
        <v>44669</v>
      </c>
      <c r="H673" s="55" t="n">
        <v>26011.89999999999</v>
      </c>
      <c r="I673" s="55" t="n">
        <v>9159.790000000001</v>
      </c>
      <c r="J673" s="55" t="n">
        <v>5707.05</v>
      </c>
      <c r="K673" s="53" t="n">
        <v>19</v>
      </c>
      <c r="L673" s="53" t="n">
        <v>21</v>
      </c>
      <c r="M673" s="53" t="n">
        <v>2</v>
      </c>
      <c r="N673" s="53" t="n">
        <v>4</v>
      </c>
      <c r="O673" s="53" t="n">
        <v>0</v>
      </c>
      <c r="P673" s="53" t="n">
        <v>0</v>
      </c>
    </row>
    <row r="674">
      <c r="A674" s="58" t="inlineStr">
        <is>
          <t>Phil Ernst</t>
        </is>
      </c>
      <c r="B674" s="58" t="inlineStr">
        <is>
          <t>Qualifier</t>
        </is>
      </c>
      <c r="C674" s="58" t="inlineStr">
        <is>
          <t>Boston Beer Company</t>
        </is>
      </c>
      <c r="D674" s="58" t="inlineStr">
        <is>
          <t>Twisted Tea</t>
        </is>
      </c>
      <c r="E674" s="53" t="n">
        <v>1987</v>
      </c>
      <c r="F674" s="53" t="n">
        <v>1463</v>
      </c>
      <c r="G674" s="55" t="n">
        <v>58567.25</v>
      </c>
      <c r="H674" s="55" t="n">
        <v>43344.5</v>
      </c>
      <c r="I674" s="55" t="n">
        <v>14908.14</v>
      </c>
      <c r="J674" s="55" t="n">
        <v>10841.41</v>
      </c>
      <c r="K674" s="53" t="n">
        <v>24</v>
      </c>
      <c r="L674" s="53" t="n">
        <v>25</v>
      </c>
      <c r="M674" s="53" t="n">
        <v>2</v>
      </c>
      <c r="N674" s="53" t="n">
        <v>10</v>
      </c>
      <c r="O674" s="53" t="n">
        <v>1</v>
      </c>
      <c r="P674" s="53" t="n">
        <v>41</v>
      </c>
    </row>
    <row r="675">
      <c r="A675" s="58" t="inlineStr">
        <is>
          <t>Phil Ernst</t>
        </is>
      </c>
      <c r="B675" s="58" t="inlineStr">
        <is>
          <t>Qualifier</t>
        </is>
      </c>
      <c r="C675" s="58" t="inlineStr">
        <is>
          <t>Constellation Brands</t>
        </is>
      </c>
      <c r="D675" s="58" t="inlineStr">
        <is>
          <t>Corona Extra</t>
        </is>
      </c>
      <c r="E675" s="53" t="n">
        <v>22827</v>
      </c>
      <c r="F675" s="53" t="n">
        <v>22419</v>
      </c>
      <c r="G675" s="55" t="n">
        <v>735343.1000000003</v>
      </c>
      <c r="H675" s="55" t="n">
        <v>725311.5000000001</v>
      </c>
      <c r="I675" s="55" t="n">
        <v>170282.58</v>
      </c>
      <c r="J675" s="55" t="n">
        <v>171919.07</v>
      </c>
      <c r="K675" s="53" t="n">
        <v>27</v>
      </c>
      <c r="L675" s="53" t="n">
        <v>26</v>
      </c>
      <c r="M675" s="53" t="n">
        <v>1</v>
      </c>
      <c r="N675" s="53" t="n">
        <v>226</v>
      </c>
      <c r="O675" s="53" t="n">
        <v>2</v>
      </c>
      <c r="P675" s="53" t="n">
        <v>441</v>
      </c>
    </row>
    <row r="676">
      <c r="A676" s="58" t="inlineStr">
        <is>
          <t>Phil Ernst</t>
        </is>
      </c>
      <c r="B676" s="58" t="inlineStr">
        <is>
          <t>Qualifier</t>
        </is>
      </c>
      <c r="C676" s="58" t="inlineStr">
        <is>
          <t>Constellation Brands</t>
        </is>
      </c>
      <c r="D676" s="58" t="inlineStr">
        <is>
          <t>Modelo Especial</t>
        </is>
      </c>
      <c r="E676" s="53" t="n">
        <v>15242</v>
      </c>
      <c r="F676" s="53" t="n">
        <v>14346</v>
      </c>
      <c r="G676" s="55" t="n">
        <v>470761.85</v>
      </c>
      <c r="H676" s="55" t="n">
        <v>443171.45</v>
      </c>
      <c r="I676" s="55" t="n">
        <v>104441.39</v>
      </c>
      <c r="J676" s="55" t="n">
        <v>101358.01</v>
      </c>
      <c r="K676" s="53" t="n">
        <v>27</v>
      </c>
      <c r="L676" s="53" t="n">
        <v>26</v>
      </c>
      <c r="M676" s="53" t="n">
        <v>1</v>
      </c>
      <c r="N676" s="53" t="n">
        <v>111</v>
      </c>
      <c r="O676" s="53" t="n">
        <v>2</v>
      </c>
      <c r="P676" s="53" t="n">
        <v>347</v>
      </c>
    </row>
    <row r="677">
      <c r="A677" s="58" t="inlineStr">
        <is>
          <t>Phil Ernst</t>
        </is>
      </c>
      <c r="B677" s="58" t="inlineStr">
        <is>
          <t>Qualifier</t>
        </is>
      </c>
      <c r="C677" s="58" t="inlineStr">
        <is>
          <t>DG Yuengling Inc</t>
        </is>
      </c>
      <c r="D677" s="58" t="inlineStr">
        <is>
          <t>Yuengling Lager</t>
        </is>
      </c>
      <c r="E677" s="53" t="n">
        <v>2744</v>
      </c>
      <c r="F677" s="53" t="n">
        <v>2690</v>
      </c>
      <c r="G677" s="55" t="n">
        <v>61822.59999999999</v>
      </c>
      <c r="H677" s="55" t="n">
        <v>60173.55</v>
      </c>
      <c r="I677" s="55" t="n">
        <v>16628.9</v>
      </c>
      <c r="J677" s="55" t="n">
        <v>15991.39</v>
      </c>
      <c r="K677" s="53" t="n">
        <v>25</v>
      </c>
      <c r="L677" s="53" t="n">
        <v>25</v>
      </c>
      <c r="M677" s="53" t="n">
        <v>1</v>
      </c>
      <c r="N677" s="53" t="n">
        <v>3</v>
      </c>
      <c r="O677" s="53" t="n">
        <v>1</v>
      </c>
      <c r="P677" s="53" t="n">
        <v>96</v>
      </c>
    </row>
    <row r="678">
      <c r="A678" s="58" t="inlineStr">
        <is>
          <t>Phil Ernst</t>
        </is>
      </c>
      <c r="B678" s="58" t="inlineStr">
        <is>
          <t>Qualifier</t>
        </is>
      </c>
      <c r="C678" s="58" t="inlineStr">
        <is>
          <t>Heineken USA</t>
        </is>
      </c>
      <c r="D678" s="58" t="inlineStr">
        <is>
          <t>Heineken USA</t>
        </is>
      </c>
      <c r="E678" s="53" t="n">
        <v>9253</v>
      </c>
      <c r="F678" s="53" t="n">
        <v>8775</v>
      </c>
      <c r="G678" s="55" t="n">
        <v>286751.5999999999</v>
      </c>
      <c r="H678" s="55" t="n">
        <v>269162.2500000001</v>
      </c>
      <c r="I678" s="55" t="n">
        <v>66717.52</v>
      </c>
      <c r="J678" s="55" t="n">
        <v>60899.31999999999</v>
      </c>
      <c r="K678" s="53" t="n">
        <v>27</v>
      </c>
      <c r="L678" s="53" t="n">
        <v>26</v>
      </c>
      <c r="M678" s="53" t="n">
        <v>1</v>
      </c>
      <c r="N678" s="53" t="n">
        <v>70</v>
      </c>
      <c r="O678" s="53" t="n">
        <v>2</v>
      </c>
      <c r="P678" s="53" t="n">
        <v>89</v>
      </c>
    </row>
    <row r="679">
      <c r="A679" s="58" t="inlineStr">
        <is>
          <t>Phil Ernst</t>
        </is>
      </c>
      <c r="B679" s="58" t="inlineStr">
        <is>
          <t>Qualifier</t>
        </is>
      </c>
      <c r="C679" s="58" t="inlineStr">
        <is>
          <t>Mark Anthony</t>
        </is>
      </c>
      <c r="D679" s="58" t="inlineStr">
        <is>
          <t>White Claw</t>
        </is>
      </c>
      <c r="E679" s="53" t="n">
        <v>6019</v>
      </c>
      <c r="F679" s="53" t="n">
        <v>4543</v>
      </c>
      <c r="G679" s="55" t="n">
        <v>188457.9</v>
      </c>
      <c r="H679" s="55" t="n">
        <v>145708.9</v>
      </c>
      <c r="I679" s="55" t="n">
        <v>39584.41</v>
      </c>
      <c r="J679" s="55" t="n">
        <v>31138.9</v>
      </c>
      <c r="K679" s="53" t="n">
        <v>27</v>
      </c>
      <c r="L679" s="53" t="n">
        <v>25</v>
      </c>
      <c r="M679" s="53" t="n">
        <v>1</v>
      </c>
      <c r="N679" s="53" t="n">
        <v>4</v>
      </c>
      <c r="O679" s="53" t="n">
        <v>3</v>
      </c>
      <c r="P679" s="53" t="n">
        <v>389</v>
      </c>
    </row>
    <row r="680">
      <c r="A680" s="58" t="inlineStr">
        <is>
          <t>Phil Ernst</t>
        </is>
      </c>
      <c r="B680" s="58" t="inlineStr">
        <is>
          <t>Qualifier</t>
        </is>
      </c>
      <c r="C680" s="58" t="inlineStr">
        <is>
          <t>MolsonCoors Beverage Company</t>
        </is>
      </c>
      <c r="D680" s="58" t="inlineStr">
        <is>
          <t>Blue Moon</t>
        </is>
      </c>
      <c r="E680" s="53" t="n">
        <v>2388</v>
      </c>
      <c r="F680" s="53" t="n">
        <v>2031</v>
      </c>
      <c r="G680" s="55" t="n">
        <v>76321.49999999999</v>
      </c>
      <c r="H680" s="55" t="n">
        <v>64033.3</v>
      </c>
      <c r="I680" s="55" t="n">
        <v>17012.94</v>
      </c>
      <c r="J680" s="55" t="n">
        <v>14277.31</v>
      </c>
      <c r="K680" s="53" t="n">
        <v>27</v>
      </c>
      <c r="L680" s="53" t="n">
        <v>25</v>
      </c>
      <c r="M680" s="53" t="n">
        <v>1</v>
      </c>
      <c r="N680" s="53" t="n">
        <v>3</v>
      </c>
      <c r="O680" s="53" t="n">
        <v>3</v>
      </c>
      <c r="P680" s="53" t="n">
        <v>92</v>
      </c>
    </row>
    <row r="681">
      <c r="A681" s="58" t="inlineStr">
        <is>
          <t>Phil Ernst</t>
        </is>
      </c>
      <c r="B681" s="58" t="inlineStr">
        <is>
          <t>Qualifier</t>
        </is>
      </c>
      <c r="C681" s="58" t="inlineStr">
        <is>
          <t>MolsonCoors Beverage Company</t>
        </is>
      </c>
      <c r="D681" s="58" t="inlineStr">
        <is>
          <t>Coors Light</t>
        </is>
      </c>
      <c r="E681" s="53" t="n">
        <v>15427</v>
      </c>
      <c r="F681" s="53" t="n">
        <v>15349</v>
      </c>
      <c r="G681" s="55" t="n">
        <v>327543.2</v>
      </c>
      <c r="H681" s="55" t="n">
        <v>325777.05</v>
      </c>
      <c r="I681" s="55" t="n">
        <v>84081.27999999998</v>
      </c>
      <c r="J681" s="55" t="n">
        <v>81702.03</v>
      </c>
      <c r="K681" s="53" t="n">
        <v>27</v>
      </c>
      <c r="L681" s="53" t="n">
        <v>26</v>
      </c>
      <c r="M681" s="53" t="n">
        <v>1</v>
      </c>
      <c r="N681" s="53" t="n">
        <v>46</v>
      </c>
      <c r="O681" s="53" t="n">
        <v>2</v>
      </c>
      <c r="P681" s="53" t="n">
        <v>507</v>
      </c>
    </row>
    <row r="682">
      <c r="A682" s="58" t="inlineStr">
        <is>
          <t>Phil Ernst</t>
        </is>
      </c>
      <c r="B682" s="58" t="inlineStr">
        <is>
          <t>Qualifier</t>
        </is>
      </c>
      <c r="C682" s="58" t="inlineStr">
        <is>
          <t>MolsonCoors Beverage Company</t>
        </is>
      </c>
      <c r="D682" s="58" t="inlineStr">
        <is>
          <t>Lite</t>
        </is>
      </c>
      <c r="E682" s="53" t="n">
        <v>8893</v>
      </c>
      <c r="F682" s="53" t="n">
        <v>7729</v>
      </c>
      <c r="G682" s="55" t="n">
        <v>193717.6</v>
      </c>
      <c r="H682" s="55" t="n">
        <v>174607.25</v>
      </c>
      <c r="I682" s="55" t="n">
        <v>45949.86</v>
      </c>
      <c r="J682" s="55" t="n">
        <v>42829.14</v>
      </c>
      <c r="K682" s="53" t="n">
        <v>25</v>
      </c>
      <c r="L682" s="53" t="n">
        <v>24</v>
      </c>
      <c r="M682" s="53" t="n">
        <v>1</v>
      </c>
      <c r="N682" s="53" t="n">
        <v>19</v>
      </c>
      <c r="O682" s="53" t="n">
        <v>2</v>
      </c>
      <c r="P682" s="53" t="n">
        <v>288</v>
      </c>
    </row>
    <row r="683">
      <c r="A683" s="58" t="inlineStr">
        <is>
          <t>Robin Feldman</t>
        </is>
      </c>
      <c r="B683" s="58" t="inlineStr">
        <is>
          <t>Amplify</t>
        </is>
      </c>
      <c r="C683" s="58" t="inlineStr">
        <is>
          <t>Bell's</t>
        </is>
      </c>
      <c r="D683" s="58" t="inlineStr">
        <is>
          <t>Bell's</t>
        </is>
      </c>
      <c r="E683" s="53" t="n">
        <v>1</v>
      </c>
      <c r="F683" s="53" t="n">
        <v>0</v>
      </c>
      <c r="G683" s="55" t="n">
        <v>38.6</v>
      </c>
      <c r="H683" s="55" t="n">
        <v>0</v>
      </c>
      <c r="I683" s="55" t="n">
        <v>13.98</v>
      </c>
      <c r="J683" s="55" t="n">
        <v>0</v>
      </c>
      <c r="K683" s="53" t="n">
        <v>1</v>
      </c>
      <c r="L683" s="53" t="n">
        <v>0</v>
      </c>
      <c r="M683" s="53" t="n">
        <v>0</v>
      </c>
      <c r="N683" s="53" t="n">
        <v>0</v>
      </c>
      <c r="O683" s="53" t="n">
        <v>1</v>
      </c>
      <c r="P683" s="53" t="n">
        <v>1</v>
      </c>
    </row>
    <row r="684">
      <c r="A684" s="58" t="inlineStr">
        <is>
          <t>Robin Feldman</t>
        </is>
      </c>
      <c r="B684" s="58" t="inlineStr">
        <is>
          <t>Amplify</t>
        </is>
      </c>
      <c r="C684" s="58" t="inlineStr">
        <is>
          <t>Boston Beer Company</t>
        </is>
      </c>
      <c r="D684" s="58" t="inlineStr">
        <is>
          <t>Dogfish Head Beer</t>
        </is>
      </c>
      <c r="E684" s="53" t="n">
        <v>313</v>
      </c>
      <c r="F684" s="53" t="n">
        <v>374</v>
      </c>
      <c r="G684" s="55" t="n">
        <v>11627.8</v>
      </c>
      <c r="H684" s="55" t="n">
        <v>14052.8</v>
      </c>
      <c r="I684" s="55" t="n">
        <v>3355.09</v>
      </c>
      <c r="J684" s="55" t="n">
        <v>4007.250000000001</v>
      </c>
      <c r="K684" s="53" t="n">
        <v>43</v>
      </c>
      <c r="L684" s="53" t="n">
        <v>37</v>
      </c>
      <c r="M684" s="53" t="n">
        <v>5</v>
      </c>
      <c r="N684" s="53" t="n">
        <v>18</v>
      </c>
      <c r="O684" s="53" t="n">
        <v>11</v>
      </c>
      <c r="P684" s="53" t="n">
        <v>24</v>
      </c>
    </row>
    <row r="685">
      <c r="A685" s="58" t="inlineStr">
        <is>
          <t>Robin Feldman</t>
        </is>
      </c>
      <c r="B685" s="58" t="inlineStr">
        <is>
          <t>Amplify</t>
        </is>
      </c>
      <c r="C685" s="58" t="inlineStr">
        <is>
          <t>Boston Beer Company</t>
        </is>
      </c>
      <c r="D685" s="58" t="inlineStr">
        <is>
          <t>Dogfish Head Spirits</t>
        </is>
      </c>
      <c r="E685" s="53" t="n">
        <v>1</v>
      </c>
      <c r="F685" s="53" t="n">
        <v>0</v>
      </c>
      <c r="G685" s="55" t="n">
        <v>65</v>
      </c>
      <c r="H685" s="55" t="n">
        <v>0</v>
      </c>
      <c r="I685" s="55" t="n">
        <v>35.58</v>
      </c>
      <c r="J685" s="55" t="n">
        <v>0</v>
      </c>
      <c r="K685" s="53" t="n">
        <v>1</v>
      </c>
      <c r="L685" s="53" t="n">
        <v>0</v>
      </c>
      <c r="M685" s="53" t="n">
        <v>0</v>
      </c>
      <c r="N685" s="53" t="n">
        <v>0</v>
      </c>
      <c r="O685" s="53" t="n">
        <v>1</v>
      </c>
      <c r="P685" s="53" t="n">
        <v>1</v>
      </c>
    </row>
    <row r="686">
      <c r="A686" s="58" t="inlineStr">
        <is>
          <t>Robin Feldman</t>
        </is>
      </c>
      <c r="B686" s="58" t="inlineStr">
        <is>
          <t>Amplify</t>
        </is>
      </c>
      <c r="C686" s="58" t="inlineStr">
        <is>
          <t>Cape May</t>
        </is>
      </c>
      <c r="D686" s="58" t="inlineStr">
        <is>
          <t>Cape May</t>
        </is>
      </c>
      <c r="E686" s="53" t="n">
        <v>63</v>
      </c>
      <c r="F686" s="53" t="n">
        <v>99</v>
      </c>
      <c r="G686" s="55" t="n">
        <v>2535</v>
      </c>
      <c r="H686" s="55" t="n">
        <v>3999.5</v>
      </c>
      <c r="I686" s="55" t="n">
        <v>665.63</v>
      </c>
      <c r="J686" s="55" t="n">
        <v>1147.92</v>
      </c>
      <c r="K686" s="53" t="n">
        <v>8</v>
      </c>
      <c r="L686" s="53" t="n">
        <v>12</v>
      </c>
      <c r="M686" s="53" t="n">
        <v>7</v>
      </c>
      <c r="N686" s="53" t="n">
        <v>20</v>
      </c>
      <c r="O686" s="53" t="n">
        <v>3</v>
      </c>
      <c r="P686" s="53" t="n">
        <v>5</v>
      </c>
    </row>
    <row r="687">
      <c r="A687" s="58" t="inlineStr">
        <is>
          <t>Robin Feldman</t>
        </is>
      </c>
      <c r="B687" s="58" t="inlineStr">
        <is>
          <t>Amplify</t>
        </is>
      </c>
      <c r="C687" s="58" t="inlineStr">
        <is>
          <t>Constellation Brands</t>
        </is>
      </c>
      <c r="D687" s="58" t="inlineStr">
        <is>
          <t>Corona Premier</t>
        </is>
      </c>
      <c r="E687" s="53" t="n">
        <v>25</v>
      </c>
      <c r="F687" s="53" t="n">
        <v>7</v>
      </c>
      <c r="G687" s="55" t="n">
        <v>836</v>
      </c>
      <c r="H687" s="55" t="n">
        <v>206.3</v>
      </c>
      <c r="I687" s="55" t="n">
        <v>228.23</v>
      </c>
      <c r="J687" s="55" t="n">
        <v>60.59999999999999</v>
      </c>
      <c r="K687" s="53" t="n">
        <v>7</v>
      </c>
      <c r="L687" s="53" t="n">
        <v>4</v>
      </c>
      <c r="M687" s="53" t="n">
        <v>1</v>
      </c>
      <c r="N687" s="53" t="n">
        <v>1</v>
      </c>
      <c r="O687" s="53" t="n">
        <v>4</v>
      </c>
      <c r="P687" s="53" t="n">
        <v>19</v>
      </c>
    </row>
    <row r="688">
      <c r="A688" s="58" t="inlineStr">
        <is>
          <t>Robin Feldman</t>
        </is>
      </c>
      <c r="B688" s="58" t="inlineStr">
        <is>
          <t>Amplify</t>
        </is>
      </c>
      <c r="C688" s="58" t="inlineStr">
        <is>
          <t>Constellation Brands</t>
        </is>
      </c>
      <c r="D688" s="58" t="inlineStr">
        <is>
          <t>Modelo Chelada</t>
        </is>
      </c>
      <c r="E688" s="53" t="n">
        <v>6</v>
      </c>
      <c r="F688" s="53" t="n">
        <v>0</v>
      </c>
      <c r="G688" s="55" t="n">
        <v>204</v>
      </c>
      <c r="H688" s="55" t="n">
        <v>0</v>
      </c>
      <c r="I688" s="55" t="n">
        <v>60.3</v>
      </c>
      <c r="J688" s="55" t="n">
        <v>0</v>
      </c>
      <c r="K688" s="53" t="n">
        <v>2</v>
      </c>
      <c r="L688" s="53" t="n">
        <v>0</v>
      </c>
      <c r="M688" s="53" t="n">
        <v>0</v>
      </c>
      <c r="N688" s="53" t="n">
        <v>0</v>
      </c>
      <c r="O688" s="53" t="n">
        <v>2</v>
      </c>
      <c r="P688" s="53" t="n">
        <v>6</v>
      </c>
    </row>
    <row r="689">
      <c r="A689" s="58" t="inlineStr">
        <is>
          <t>Robin Feldman</t>
        </is>
      </c>
      <c r="B689" s="58" t="inlineStr">
        <is>
          <t>Amplify</t>
        </is>
      </c>
      <c r="C689" s="58" t="inlineStr">
        <is>
          <t>Constellation Brands</t>
        </is>
      </c>
      <c r="D689" s="58" t="inlineStr">
        <is>
          <t>Pacifico</t>
        </is>
      </c>
      <c r="E689" s="53" t="n">
        <v>4</v>
      </c>
      <c r="F689" s="53" t="n">
        <v>10</v>
      </c>
      <c r="G689" s="55" t="n">
        <v>134</v>
      </c>
      <c r="H689" s="55" t="n">
        <v>353</v>
      </c>
      <c r="I689" s="55" t="n">
        <v>37.48</v>
      </c>
      <c r="J689" s="55" t="n">
        <v>95.72</v>
      </c>
      <c r="K689" s="53" t="n">
        <v>2</v>
      </c>
      <c r="L689" s="53" t="n">
        <v>2</v>
      </c>
      <c r="M689" s="53" t="n">
        <v>2</v>
      </c>
      <c r="N689" s="53" t="n">
        <v>10</v>
      </c>
      <c r="O689" s="53" t="n">
        <v>2</v>
      </c>
      <c r="P689" s="53" t="n">
        <v>4</v>
      </c>
    </row>
    <row r="690">
      <c r="A690" s="58" t="inlineStr">
        <is>
          <t>Robin Feldman</t>
        </is>
      </c>
      <c r="B690" s="58" t="inlineStr">
        <is>
          <t>Amplify</t>
        </is>
      </c>
      <c r="C690" s="58" t="inlineStr">
        <is>
          <t>Constellation Brands</t>
        </is>
      </c>
      <c r="D690" s="58" t="inlineStr">
        <is>
          <t>Victoria</t>
        </is>
      </c>
      <c r="E690" s="53" t="n">
        <v>2</v>
      </c>
      <c r="F690" s="53" t="n">
        <v>8</v>
      </c>
      <c r="G690" s="55" t="n">
        <v>70</v>
      </c>
      <c r="H690" s="55" t="n">
        <v>236</v>
      </c>
      <c r="I690" s="55" t="n">
        <v>21.74</v>
      </c>
      <c r="J690" s="55" t="n">
        <v>50.8</v>
      </c>
      <c r="K690" s="53" t="n">
        <v>1</v>
      </c>
      <c r="L690" s="53" t="n">
        <v>1</v>
      </c>
      <c r="M690" s="53" t="n">
        <v>1</v>
      </c>
      <c r="N690" s="53" t="n">
        <v>8</v>
      </c>
      <c r="O690" s="53" t="n">
        <v>1</v>
      </c>
      <c r="P690" s="53" t="n">
        <v>2</v>
      </c>
    </row>
    <row r="691">
      <c r="A691" s="58" t="inlineStr">
        <is>
          <t>Robin Feldman</t>
        </is>
      </c>
      <c r="B691" s="58" t="inlineStr">
        <is>
          <t>Amplify</t>
        </is>
      </c>
      <c r="C691" s="58" t="inlineStr">
        <is>
          <t>DG Yuengling Inc</t>
        </is>
      </c>
      <c r="D691" s="58" t="inlineStr">
        <is>
          <t>Yuengling Flight</t>
        </is>
      </c>
      <c r="E691" s="53" t="n">
        <v>54</v>
      </c>
      <c r="F691" s="53" t="n">
        <v>55</v>
      </c>
      <c r="G691" s="55" t="n">
        <v>1336.1</v>
      </c>
      <c r="H691" s="55" t="n">
        <v>1330.05</v>
      </c>
      <c r="I691" s="55" t="n">
        <v>400.64</v>
      </c>
      <c r="J691" s="55" t="n">
        <v>387.79</v>
      </c>
      <c r="K691" s="53" t="n">
        <v>5</v>
      </c>
      <c r="L691" s="53" t="n">
        <v>5</v>
      </c>
      <c r="M691" s="53" t="n">
        <v>1</v>
      </c>
      <c r="N691" s="53" t="n">
        <v>7</v>
      </c>
      <c r="O691" s="53" t="n">
        <v>1</v>
      </c>
      <c r="P691" s="53" t="n">
        <v>2</v>
      </c>
    </row>
    <row r="692">
      <c r="A692" s="58" t="inlineStr">
        <is>
          <t>Robin Feldman</t>
        </is>
      </c>
      <c r="B692" s="58" t="inlineStr">
        <is>
          <t>Amplify</t>
        </is>
      </c>
      <c r="C692" s="58" t="inlineStr">
        <is>
          <t>DG Yuengling Inc</t>
        </is>
      </c>
      <c r="D692" s="58" t="inlineStr">
        <is>
          <t>Yuengling Light Lager</t>
        </is>
      </c>
      <c r="E692" s="53" t="n">
        <v>9</v>
      </c>
      <c r="F692" s="53" t="n">
        <v>10</v>
      </c>
      <c r="G692" s="55" t="n">
        <v>235.5</v>
      </c>
      <c r="H692" s="55" t="n">
        <v>258</v>
      </c>
      <c r="I692" s="55" t="n">
        <v>78.39</v>
      </c>
      <c r="J692" s="55" t="n">
        <v>75.47999999999999</v>
      </c>
      <c r="K692" s="53" t="n">
        <v>2</v>
      </c>
      <c r="L692" s="53" t="n">
        <v>3</v>
      </c>
      <c r="M692" s="53" t="n">
        <v>1</v>
      </c>
      <c r="N692" s="53" t="n">
        <v>2</v>
      </c>
      <c r="O692" s="53" t="n">
        <v>0</v>
      </c>
      <c r="P692" s="53" t="n">
        <v>0</v>
      </c>
    </row>
    <row r="693">
      <c r="A693" s="58" t="inlineStr">
        <is>
          <t>Robin Feldman</t>
        </is>
      </c>
      <c r="B693" s="58" t="inlineStr">
        <is>
          <t>Amplify</t>
        </is>
      </c>
      <c r="C693" s="58" t="inlineStr">
        <is>
          <t>Heineken USA</t>
        </is>
      </c>
      <c r="D693" s="58" t="inlineStr">
        <is>
          <t>Heineken 0.0</t>
        </is>
      </c>
      <c r="E693" s="53" t="n">
        <v>92</v>
      </c>
      <c r="F693" s="53" t="n">
        <v>127</v>
      </c>
      <c r="G693" s="55" t="n">
        <v>3185.5</v>
      </c>
      <c r="H693" s="55" t="n">
        <v>4295.600000000001</v>
      </c>
      <c r="I693" s="55" t="n">
        <v>985.3300000000002</v>
      </c>
      <c r="J693" s="55" t="n">
        <v>1315.650000000001</v>
      </c>
      <c r="K693" s="53" t="n">
        <v>37</v>
      </c>
      <c r="L693" s="53" t="n">
        <v>50</v>
      </c>
      <c r="M693" s="53" t="n">
        <v>27</v>
      </c>
      <c r="N693" s="53" t="n">
        <v>53</v>
      </c>
      <c r="O693" s="53" t="n">
        <v>14</v>
      </c>
      <c r="P693" s="53" t="n">
        <v>24</v>
      </c>
    </row>
    <row r="694">
      <c r="A694" s="58" t="inlineStr">
        <is>
          <t>Robin Feldman</t>
        </is>
      </c>
      <c r="B694" s="58" t="inlineStr">
        <is>
          <t>Amplify</t>
        </is>
      </c>
      <c r="C694" s="58" t="inlineStr">
        <is>
          <t>Heineken USA</t>
        </is>
      </c>
      <c r="D694" s="58" t="inlineStr">
        <is>
          <t>Heineken Light</t>
        </is>
      </c>
      <c r="E694" s="53" t="n">
        <v>60</v>
      </c>
      <c r="F694" s="53" t="n">
        <v>54</v>
      </c>
      <c r="G694" s="55" t="n">
        <v>2103.8</v>
      </c>
      <c r="H694" s="55" t="n">
        <v>1889.8</v>
      </c>
      <c r="I694" s="55" t="n">
        <v>683.9100000000001</v>
      </c>
      <c r="J694" s="55" t="n">
        <v>605.6999999999999</v>
      </c>
      <c r="K694" s="53" t="n">
        <v>14</v>
      </c>
      <c r="L694" s="53" t="n">
        <v>18</v>
      </c>
      <c r="M694" s="53" t="n">
        <v>10</v>
      </c>
      <c r="N694" s="53" t="n">
        <v>18</v>
      </c>
      <c r="O694" s="53" t="n">
        <v>6</v>
      </c>
      <c r="P694" s="53" t="n">
        <v>13</v>
      </c>
    </row>
    <row r="695">
      <c r="A695" s="58" t="inlineStr">
        <is>
          <t>Robin Feldman</t>
        </is>
      </c>
      <c r="B695" s="58" t="inlineStr">
        <is>
          <t>Amplify</t>
        </is>
      </c>
      <c r="C695" s="58" t="inlineStr">
        <is>
          <t>MolsonCoors Beverage Company</t>
        </is>
      </c>
      <c r="D695" s="58" t="inlineStr">
        <is>
          <t>Coors</t>
        </is>
      </c>
      <c r="E695" s="53" t="n">
        <v>125</v>
      </c>
      <c r="F695" s="53" t="n">
        <v>99</v>
      </c>
      <c r="G695" s="55" t="n">
        <v>2887.4</v>
      </c>
      <c r="H695" s="55" t="n">
        <v>2272.650000000001</v>
      </c>
      <c r="I695" s="55" t="n">
        <v>836.9899999999999</v>
      </c>
      <c r="J695" s="55" t="n">
        <v>655.26</v>
      </c>
      <c r="K695" s="53" t="n">
        <v>14</v>
      </c>
      <c r="L695" s="53" t="n">
        <v>15</v>
      </c>
      <c r="M695" s="53" t="n">
        <v>5</v>
      </c>
      <c r="N695" s="53" t="n">
        <v>17</v>
      </c>
      <c r="O695" s="53" t="n">
        <v>4</v>
      </c>
      <c r="P695" s="53" t="n">
        <v>37</v>
      </c>
    </row>
    <row r="696">
      <c r="A696" s="58" t="inlineStr">
        <is>
          <t>Robin Feldman</t>
        </is>
      </c>
      <c r="B696" s="58" t="inlineStr">
        <is>
          <t>Amplify</t>
        </is>
      </c>
      <c r="C696" s="58" t="inlineStr">
        <is>
          <t>MolsonCoors Beverage Company</t>
        </is>
      </c>
      <c r="D696" s="58" t="inlineStr">
        <is>
          <t>Fever Tree</t>
        </is>
      </c>
      <c r="E696" s="53" t="n">
        <v>5</v>
      </c>
      <c r="F696" s="53" t="n">
        <v>15</v>
      </c>
      <c r="G696" s="55" t="n">
        <v>186.8</v>
      </c>
      <c r="H696" s="55" t="n">
        <v>622.5</v>
      </c>
      <c r="I696" s="55" t="n">
        <v>70.88</v>
      </c>
      <c r="J696" s="55" t="n">
        <v>183.88</v>
      </c>
      <c r="K696" s="53" t="n">
        <v>3</v>
      </c>
      <c r="L696" s="53" t="n">
        <v>5</v>
      </c>
      <c r="M696" s="53" t="n">
        <v>5</v>
      </c>
      <c r="N696" s="53" t="n">
        <v>15</v>
      </c>
      <c r="O696" s="53" t="n">
        <v>3</v>
      </c>
      <c r="P696" s="53" t="n">
        <v>5</v>
      </c>
    </row>
    <row r="697">
      <c r="A697" s="58" t="inlineStr">
        <is>
          <t>Robin Feldman</t>
        </is>
      </c>
      <c r="B697" s="58" t="inlineStr">
        <is>
          <t>Amplify</t>
        </is>
      </c>
      <c r="C697" s="58" t="inlineStr">
        <is>
          <t>MolsonCoors Beverage Company</t>
        </is>
      </c>
      <c r="D697" s="58" t="inlineStr">
        <is>
          <t>Peroni</t>
        </is>
      </c>
      <c r="E697" s="53" t="n">
        <v>419</v>
      </c>
      <c r="F697" s="53" t="n">
        <v>467</v>
      </c>
      <c r="G697" s="55" t="n">
        <v>15075.72</v>
      </c>
      <c r="H697" s="55" t="n">
        <v>16878.52</v>
      </c>
      <c r="I697" s="55" t="n">
        <v>3310.04</v>
      </c>
      <c r="J697" s="55" t="n">
        <v>3772.76</v>
      </c>
      <c r="K697" s="53" t="n">
        <v>37</v>
      </c>
      <c r="L697" s="53" t="n">
        <v>44</v>
      </c>
      <c r="M697" s="53" t="n">
        <v>14</v>
      </c>
      <c r="N697" s="53" t="n">
        <v>39</v>
      </c>
      <c r="O697" s="53" t="n">
        <v>7</v>
      </c>
      <c r="P697" s="53" t="n">
        <v>38</v>
      </c>
    </row>
    <row r="698">
      <c r="A698" s="58" t="inlineStr">
        <is>
          <t>Robin Feldman</t>
        </is>
      </c>
      <c r="B698" s="58" t="inlineStr">
        <is>
          <t>Amplify</t>
        </is>
      </c>
      <c r="C698" s="58" t="inlineStr">
        <is>
          <t>New Belgium Brewing Company</t>
        </is>
      </c>
      <c r="D698" s="58" t="inlineStr">
        <is>
          <t>Fat Tire Family</t>
        </is>
      </c>
      <c r="E698" s="53" t="n">
        <v>54</v>
      </c>
      <c r="F698" s="53" t="n">
        <v>74</v>
      </c>
      <c r="G698" s="55" t="n">
        <v>2315.75</v>
      </c>
      <c r="H698" s="55" t="n">
        <v>2896.5</v>
      </c>
      <c r="I698" s="55" t="n">
        <v>468.5700000000001</v>
      </c>
      <c r="J698" s="55" t="n">
        <v>648.0299999999999</v>
      </c>
      <c r="K698" s="53" t="n">
        <v>11</v>
      </c>
      <c r="L698" s="53" t="n">
        <v>13</v>
      </c>
      <c r="M698" s="53" t="n">
        <v>5</v>
      </c>
      <c r="N698" s="53" t="n">
        <v>23</v>
      </c>
      <c r="O698" s="53" t="n">
        <v>3</v>
      </c>
      <c r="P698" s="53" t="n">
        <v>8</v>
      </c>
    </row>
    <row r="699">
      <c r="A699" s="58" t="inlineStr">
        <is>
          <t>Robin Feldman</t>
        </is>
      </c>
      <c r="B699" s="58" t="inlineStr">
        <is>
          <t>Amplify</t>
        </is>
      </c>
      <c r="C699" s="58" t="inlineStr">
        <is>
          <t>New Belgium Brewing Company</t>
        </is>
      </c>
      <c r="D699" s="58" t="inlineStr">
        <is>
          <t>Kirin Ichiban</t>
        </is>
      </c>
      <c r="E699" s="53" t="n">
        <v>21</v>
      </c>
      <c r="F699" s="53" t="n">
        <v>199</v>
      </c>
      <c r="G699" s="55" t="n">
        <v>654</v>
      </c>
      <c r="H699" s="55" t="n">
        <v>4414.5</v>
      </c>
      <c r="I699" s="55" t="n">
        <v>148.7</v>
      </c>
      <c r="J699" s="55" t="n">
        <v>844.4000000000001</v>
      </c>
      <c r="K699" s="53" t="n">
        <v>2</v>
      </c>
      <c r="L699" s="53" t="n">
        <v>2</v>
      </c>
      <c r="M699" s="53" t="n">
        <v>1</v>
      </c>
      <c r="N699" s="53" t="n">
        <v>196</v>
      </c>
      <c r="O699" s="53" t="n">
        <v>1</v>
      </c>
      <c r="P699" s="53" t="n">
        <v>10</v>
      </c>
    </row>
    <row r="700">
      <c r="A700" s="58" t="inlineStr">
        <is>
          <t>Robin Feldman</t>
        </is>
      </c>
      <c r="B700" s="58" t="inlineStr">
        <is>
          <t>Amplify</t>
        </is>
      </c>
      <c r="C700" s="58" t="inlineStr">
        <is>
          <t>New Belgium Brewing Company</t>
        </is>
      </c>
      <c r="D700" s="58" t="inlineStr">
        <is>
          <t>Voodoo Family</t>
        </is>
      </c>
      <c r="E700" s="53" t="n">
        <v>78</v>
      </c>
      <c r="F700" s="53" t="n">
        <v>31</v>
      </c>
      <c r="G700" s="55" t="n">
        <v>2679.6</v>
      </c>
      <c r="H700" s="55" t="n">
        <v>1195.5</v>
      </c>
      <c r="I700" s="55" t="n">
        <v>712.9699999999999</v>
      </c>
      <c r="J700" s="55" t="n">
        <v>322.07</v>
      </c>
      <c r="K700" s="53" t="n">
        <v>12</v>
      </c>
      <c r="L700" s="53" t="n">
        <v>9</v>
      </c>
      <c r="M700" s="53" t="n">
        <v>4</v>
      </c>
      <c r="N700" s="53" t="n">
        <v>10</v>
      </c>
      <c r="O700" s="53" t="n">
        <v>7</v>
      </c>
      <c r="P700" s="53" t="n">
        <v>26</v>
      </c>
    </row>
    <row r="701">
      <c r="A701" s="58" t="inlineStr">
        <is>
          <t>Robin Feldman</t>
        </is>
      </c>
      <c r="B701" s="58" t="inlineStr">
        <is>
          <t>Amplify</t>
        </is>
      </c>
      <c r="C701" s="58" t="inlineStr">
        <is>
          <t>Sapporo</t>
        </is>
      </c>
      <c r="D701" s="58" t="inlineStr">
        <is>
          <t>Sapporo</t>
        </is>
      </c>
      <c r="E701" s="53" t="n">
        <v>190</v>
      </c>
      <c r="F701" s="53" t="n">
        <v>158</v>
      </c>
      <c r="G701" s="55" t="n">
        <v>6038.5</v>
      </c>
      <c r="H701" s="55" t="n">
        <v>5081.12</v>
      </c>
      <c r="I701" s="55" t="n">
        <v>1600.12</v>
      </c>
      <c r="J701" s="55" t="n">
        <v>1359.39</v>
      </c>
      <c r="K701" s="53" t="n">
        <v>7</v>
      </c>
      <c r="L701" s="53" t="n">
        <v>11</v>
      </c>
      <c r="M701" s="53" t="n">
        <v>5</v>
      </c>
      <c r="N701" s="53" t="n">
        <v>11</v>
      </c>
      <c r="O701" s="53" t="n">
        <v>1</v>
      </c>
      <c r="P701" s="53" t="n">
        <v>4</v>
      </c>
    </row>
    <row r="702">
      <c r="A702" s="58" t="inlineStr">
        <is>
          <t>Robin Feldman</t>
        </is>
      </c>
      <c r="B702" s="58" t="inlineStr">
        <is>
          <t>Qualifier</t>
        </is>
      </c>
      <c r="C702" s="58" t="inlineStr">
        <is>
          <t>Boston Beer Company</t>
        </is>
      </c>
      <c r="D702" s="58" t="inlineStr">
        <is>
          <t>Truly</t>
        </is>
      </c>
      <c r="E702" s="53" t="n">
        <v>32</v>
      </c>
      <c r="F702" s="53" t="n">
        <v>31</v>
      </c>
      <c r="G702" s="55" t="n">
        <v>1119.1</v>
      </c>
      <c r="H702" s="55" t="n">
        <v>1044.8</v>
      </c>
      <c r="I702" s="55" t="n">
        <v>266.01</v>
      </c>
      <c r="J702" s="55" t="n">
        <v>279.74</v>
      </c>
      <c r="K702" s="53" t="n">
        <v>5</v>
      </c>
      <c r="L702" s="53" t="n">
        <v>6</v>
      </c>
      <c r="M702" s="53" t="n">
        <v>1</v>
      </c>
      <c r="N702" s="53" t="n">
        <v>4</v>
      </c>
      <c r="O702" s="53" t="n">
        <v>0</v>
      </c>
      <c r="P702" s="53" t="n">
        <v>0</v>
      </c>
    </row>
    <row r="703">
      <c r="A703" s="58" t="inlineStr">
        <is>
          <t>Robin Feldman</t>
        </is>
      </c>
      <c r="B703" s="58" t="inlineStr">
        <is>
          <t>Qualifier</t>
        </is>
      </c>
      <c r="C703" s="58" t="inlineStr">
        <is>
          <t>Boston Beer Company</t>
        </is>
      </c>
      <c r="D703" s="58" t="inlineStr">
        <is>
          <t>Twisted Tea</t>
        </is>
      </c>
      <c r="E703" s="53" t="n">
        <v>130</v>
      </c>
      <c r="F703" s="53" t="n">
        <v>142</v>
      </c>
      <c r="G703" s="55" t="n">
        <v>4352.25</v>
      </c>
      <c r="H703" s="55" t="n">
        <v>4760.25</v>
      </c>
      <c r="I703" s="55" t="n">
        <v>1285.03</v>
      </c>
      <c r="J703" s="55" t="n">
        <v>1361.370000000001</v>
      </c>
      <c r="K703" s="53" t="n">
        <v>29</v>
      </c>
      <c r="L703" s="53" t="n">
        <v>28</v>
      </c>
      <c r="M703" s="53" t="n">
        <v>9</v>
      </c>
      <c r="N703" s="53" t="n">
        <v>23</v>
      </c>
      <c r="O703" s="53" t="n">
        <v>10</v>
      </c>
      <c r="P703" s="53" t="n">
        <v>32</v>
      </c>
    </row>
    <row r="704">
      <c r="A704" s="58" t="inlineStr">
        <is>
          <t>Robin Feldman</t>
        </is>
      </c>
      <c r="B704" s="58" t="inlineStr">
        <is>
          <t>Qualifier</t>
        </is>
      </c>
      <c r="C704" s="58" t="inlineStr">
        <is>
          <t>Constellation Brands</t>
        </is>
      </c>
      <c r="D704" s="58" t="inlineStr">
        <is>
          <t>Corona Extra</t>
        </is>
      </c>
      <c r="E704" s="53" t="n">
        <v>1547</v>
      </c>
      <c r="F704" s="53" t="n">
        <v>1455</v>
      </c>
      <c r="G704" s="55" t="n">
        <v>53138.37</v>
      </c>
      <c r="H704" s="55" t="n">
        <v>49971.5</v>
      </c>
      <c r="I704" s="55" t="n">
        <v>15715.2</v>
      </c>
      <c r="J704" s="55" t="n">
        <v>14980.90000000001</v>
      </c>
      <c r="K704" s="53" t="n">
        <v>146</v>
      </c>
      <c r="L704" s="53" t="n">
        <v>146</v>
      </c>
      <c r="M704" s="53" t="n">
        <v>27</v>
      </c>
      <c r="N704" s="53" t="n">
        <v>92</v>
      </c>
      <c r="O704" s="53" t="n">
        <v>27</v>
      </c>
      <c r="P704" s="53" t="n">
        <v>152</v>
      </c>
    </row>
    <row r="705">
      <c r="A705" s="58" t="inlineStr">
        <is>
          <t>Robin Feldman</t>
        </is>
      </c>
      <c r="B705" s="58" t="inlineStr">
        <is>
          <t>Qualifier</t>
        </is>
      </c>
      <c r="C705" s="58" t="inlineStr">
        <is>
          <t>Constellation Brands</t>
        </is>
      </c>
      <c r="D705" s="58" t="inlineStr">
        <is>
          <t>Modelo Especial</t>
        </is>
      </c>
      <c r="E705" s="53" t="n">
        <v>499</v>
      </c>
      <c r="F705" s="53" t="n">
        <v>706</v>
      </c>
      <c r="G705" s="55" t="n">
        <v>16071.17</v>
      </c>
      <c r="H705" s="55" t="n">
        <v>22253.5</v>
      </c>
      <c r="I705" s="55" t="n">
        <v>4187.379999999997</v>
      </c>
      <c r="J705" s="55" t="n">
        <v>6159.299999999997</v>
      </c>
      <c r="K705" s="53" t="n">
        <v>65</v>
      </c>
      <c r="L705" s="53" t="n">
        <v>76</v>
      </c>
      <c r="M705" s="53" t="n">
        <v>24</v>
      </c>
      <c r="N705" s="53" t="n">
        <v>167</v>
      </c>
      <c r="O705" s="53" t="n">
        <v>13</v>
      </c>
      <c r="P705" s="53" t="n">
        <v>51</v>
      </c>
    </row>
    <row r="706">
      <c r="A706" s="58" t="inlineStr">
        <is>
          <t>Robin Feldman</t>
        </is>
      </c>
      <c r="B706" s="58" t="inlineStr">
        <is>
          <t>Qualifier</t>
        </is>
      </c>
      <c r="C706" s="58" t="inlineStr">
        <is>
          <t>DG Yuengling Inc</t>
        </is>
      </c>
      <c r="D706" s="58" t="inlineStr">
        <is>
          <t>Yuengling Lager</t>
        </is>
      </c>
      <c r="E706" s="53" t="n">
        <v>1091</v>
      </c>
      <c r="F706" s="53" t="n">
        <v>1023</v>
      </c>
      <c r="G706" s="55" t="n">
        <v>25073.53</v>
      </c>
      <c r="H706" s="55" t="n">
        <v>23359.73</v>
      </c>
      <c r="I706" s="55" t="n">
        <v>7680.019999999997</v>
      </c>
      <c r="J706" s="55" t="n">
        <v>7252.740000000003</v>
      </c>
      <c r="K706" s="53" t="n">
        <v>108</v>
      </c>
      <c r="L706" s="53" t="n">
        <v>121</v>
      </c>
      <c r="M706" s="53" t="n">
        <v>27</v>
      </c>
      <c r="N706" s="53" t="n">
        <v>100</v>
      </c>
      <c r="O706" s="53" t="n">
        <v>14</v>
      </c>
      <c r="P706" s="53" t="n">
        <v>52</v>
      </c>
    </row>
    <row r="707">
      <c r="A707" s="58" t="inlineStr">
        <is>
          <t>Robin Feldman</t>
        </is>
      </c>
      <c r="B707" s="58" t="inlineStr">
        <is>
          <t>Qualifier</t>
        </is>
      </c>
      <c r="C707" s="58" t="inlineStr">
        <is>
          <t>Heineken USA</t>
        </is>
      </c>
      <c r="D707" s="58" t="inlineStr">
        <is>
          <t>Heineken USA</t>
        </is>
      </c>
      <c r="E707" s="53" t="n">
        <v>608</v>
      </c>
      <c r="F707" s="53" t="n">
        <v>631</v>
      </c>
      <c r="G707" s="55" t="n">
        <v>21829.86</v>
      </c>
      <c r="H707" s="55" t="n">
        <v>22451.9</v>
      </c>
      <c r="I707" s="55" t="n">
        <v>7310.01</v>
      </c>
      <c r="J707" s="55" t="n">
        <v>7344.209999999996</v>
      </c>
      <c r="K707" s="53" t="n">
        <v>96</v>
      </c>
      <c r="L707" s="53" t="n">
        <v>100</v>
      </c>
      <c r="M707" s="53" t="n">
        <v>24</v>
      </c>
      <c r="N707" s="53" t="n">
        <v>111</v>
      </c>
      <c r="O707" s="53" t="n">
        <v>20</v>
      </c>
      <c r="P707" s="53" t="n">
        <v>88</v>
      </c>
    </row>
    <row r="708">
      <c r="A708" s="58" t="inlineStr">
        <is>
          <t>Robin Feldman</t>
        </is>
      </c>
      <c r="B708" s="58" t="inlineStr">
        <is>
          <t>Qualifier</t>
        </is>
      </c>
      <c r="C708" s="58" t="inlineStr">
        <is>
          <t>Mark Anthony</t>
        </is>
      </c>
      <c r="D708" s="58" t="inlineStr">
        <is>
          <t>White Claw</t>
        </is>
      </c>
      <c r="E708" s="53" t="n">
        <v>419</v>
      </c>
      <c r="F708" s="53" t="n">
        <v>479</v>
      </c>
      <c r="G708" s="55" t="n">
        <v>14578.45</v>
      </c>
      <c r="H708" s="55" t="n">
        <v>17094.3</v>
      </c>
      <c r="I708" s="55" t="n">
        <v>4025.500000000001</v>
      </c>
      <c r="J708" s="55" t="n">
        <v>4613.559999999999</v>
      </c>
      <c r="K708" s="53" t="n">
        <v>67</v>
      </c>
      <c r="L708" s="53" t="n">
        <v>60</v>
      </c>
      <c r="M708" s="53" t="n">
        <v>18</v>
      </c>
      <c r="N708" s="53" t="n">
        <v>58</v>
      </c>
      <c r="O708" s="53" t="n">
        <v>25</v>
      </c>
      <c r="P708" s="53" t="n">
        <v>118</v>
      </c>
    </row>
    <row r="709">
      <c r="A709" s="58" t="inlineStr">
        <is>
          <t>Robin Feldman</t>
        </is>
      </c>
      <c r="B709" s="58" t="inlineStr">
        <is>
          <t>Qualifier</t>
        </is>
      </c>
      <c r="C709" s="58" t="inlineStr">
        <is>
          <t>MolsonCoors Beverage Company</t>
        </is>
      </c>
      <c r="D709" s="58" t="inlineStr">
        <is>
          <t>Blue Moon</t>
        </is>
      </c>
      <c r="E709" s="53" t="n">
        <v>558</v>
      </c>
      <c r="F709" s="53" t="n">
        <v>530</v>
      </c>
      <c r="G709" s="55" t="n">
        <v>21290.19</v>
      </c>
      <c r="H709" s="55" t="n">
        <v>19231.17</v>
      </c>
      <c r="I709" s="55" t="n">
        <v>6693</v>
      </c>
      <c r="J709" s="55" t="n">
        <v>6155.119999999999</v>
      </c>
      <c r="K709" s="53" t="n">
        <v>85</v>
      </c>
      <c r="L709" s="53" t="n">
        <v>75</v>
      </c>
      <c r="M709" s="53" t="n">
        <v>9</v>
      </c>
      <c r="N709" s="53" t="n">
        <v>36</v>
      </c>
      <c r="O709" s="53" t="n">
        <v>19</v>
      </c>
      <c r="P709" s="53" t="n">
        <v>92</v>
      </c>
    </row>
    <row r="710">
      <c r="A710" s="58" t="inlineStr">
        <is>
          <t>Robin Feldman</t>
        </is>
      </c>
      <c r="B710" s="58" t="inlineStr">
        <is>
          <t>Qualifier</t>
        </is>
      </c>
      <c r="C710" s="58" t="inlineStr">
        <is>
          <t>MolsonCoors Beverage Company</t>
        </is>
      </c>
      <c r="D710" s="58" t="inlineStr">
        <is>
          <t>Coors Light</t>
        </is>
      </c>
      <c r="E710" s="53" t="n">
        <v>2871</v>
      </c>
      <c r="F710" s="53" t="n">
        <v>2554</v>
      </c>
      <c r="G710" s="55" t="n">
        <v>65444.34999999999</v>
      </c>
      <c r="H710" s="55" t="n">
        <v>59151.99999999999</v>
      </c>
      <c r="I710" s="55" t="n">
        <v>19350.43000000001</v>
      </c>
      <c r="J710" s="55" t="n">
        <v>17134.95</v>
      </c>
      <c r="K710" s="53" t="n">
        <v>156</v>
      </c>
      <c r="L710" s="53" t="n">
        <v>144</v>
      </c>
      <c r="M710" s="53" t="n">
        <v>13</v>
      </c>
      <c r="N710" s="53" t="n">
        <v>64</v>
      </c>
      <c r="O710" s="53" t="n">
        <v>25</v>
      </c>
      <c r="P710" s="53" t="n">
        <v>142</v>
      </c>
    </row>
    <row r="711">
      <c r="A711" s="58" t="inlineStr">
        <is>
          <t>Robin Feldman</t>
        </is>
      </c>
      <c r="B711" s="58" t="inlineStr">
        <is>
          <t>Qualifier</t>
        </is>
      </c>
      <c r="C711" s="58" t="inlineStr">
        <is>
          <t>MolsonCoors Beverage Company</t>
        </is>
      </c>
      <c r="D711" s="58" t="inlineStr">
        <is>
          <t>Lite</t>
        </is>
      </c>
      <c r="E711" s="53" t="n">
        <v>2872</v>
      </c>
      <c r="F711" s="53" t="n">
        <v>2920</v>
      </c>
      <c r="G711" s="55" t="n">
        <v>63237.09999999999</v>
      </c>
      <c r="H711" s="55" t="n">
        <v>65393.29</v>
      </c>
      <c r="I711" s="55" t="n">
        <v>15704.28</v>
      </c>
      <c r="J711" s="55" t="n">
        <v>15955.45</v>
      </c>
      <c r="K711" s="53" t="n">
        <v>129</v>
      </c>
      <c r="L711" s="53" t="n">
        <v>136</v>
      </c>
      <c r="M711" s="53" t="n">
        <v>22</v>
      </c>
      <c r="N711" s="53" t="n">
        <v>129</v>
      </c>
      <c r="O711" s="53" t="n">
        <v>15</v>
      </c>
      <c r="P711" s="53" t="n">
        <v>94</v>
      </c>
    </row>
    <row r="712">
      <c r="A712" s="58" t="inlineStr">
        <is>
          <t>Shane Barreca</t>
        </is>
      </c>
      <c r="B712" s="58" t="inlineStr">
        <is>
          <t>Amplify</t>
        </is>
      </c>
      <c r="C712" s="58" t="inlineStr">
        <is>
          <t>Bell's</t>
        </is>
      </c>
      <c r="D712" s="58" t="inlineStr">
        <is>
          <t>Bell's</t>
        </is>
      </c>
      <c r="E712" s="53" t="n">
        <v>68</v>
      </c>
      <c r="F712" s="53" t="n">
        <v>77</v>
      </c>
      <c r="G712" s="55" t="n">
        <v>2377.65</v>
      </c>
      <c r="H712" s="55" t="n">
        <v>2779.6</v>
      </c>
      <c r="I712" s="55" t="n">
        <v>764.8900000000001</v>
      </c>
      <c r="J712" s="55" t="n">
        <v>932.55</v>
      </c>
      <c r="K712" s="53" t="n">
        <v>9</v>
      </c>
      <c r="L712" s="53" t="n">
        <v>10</v>
      </c>
      <c r="M712" s="53" t="n">
        <v>2</v>
      </c>
      <c r="N712" s="53" t="n">
        <v>7</v>
      </c>
      <c r="O712" s="53" t="n">
        <v>1</v>
      </c>
      <c r="P712" s="53" t="n">
        <v>3</v>
      </c>
    </row>
    <row r="713">
      <c r="A713" s="58" t="inlineStr">
        <is>
          <t>Shane Barreca</t>
        </is>
      </c>
      <c r="B713" s="58" t="inlineStr">
        <is>
          <t>Amplify</t>
        </is>
      </c>
      <c r="C713" s="58" t="inlineStr">
        <is>
          <t>Boston Beer Company</t>
        </is>
      </c>
      <c r="D713" s="58" t="inlineStr">
        <is>
          <t>Dogfish Head Beer</t>
        </is>
      </c>
      <c r="E713" s="53" t="n">
        <v>1287</v>
      </c>
      <c r="F713" s="53" t="n">
        <v>1253</v>
      </c>
      <c r="G713" s="55" t="n">
        <v>44696.09999999999</v>
      </c>
      <c r="H713" s="55" t="n">
        <v>43168.9</v>
      </c>
      <c r="I713" s="55" t="n">
        <v>11098.73</v>
      </c>
      <c r="J713" s="55" t="n">
        <v>10172.37</v>
      </c>
      <c r="K713" s="53" t="n">
        <v>25</v>
      </c>
      <c r="L713" s="53" t="n">
        <v>24</v>
      </c>
      <c r="M713" s="53" t="n">
        <v>1</v>
      </c>
      <c r="N713" s="53" t="n">
        <v>2</v>
      </c>
      <c r="O713" s="53" t="n">
        <v>2</v>
      </c>
      <c r="P713" s="53" t="n">
        <v>35</v>
      </c>
    </row>
    <row r="714">
      <c r="A714" s="58" t="inlineStr">
        <is>
          <t>Shane Barreca</t>
        </is>
      </c>
      <c r="B714" s="58" t="inlineStr">
        <is>
          <t>Amplify</t>
        </is>
      </c>
      <c r="C714" s="58" t="inlineStr">
        <is>
          <t>Boston Beer Company</t>
        </is>
      </c>
      <c r="D714" s="58" t="inlineStr">
        <is>
          <t>Dogfish Head Spirits</t>
        </is>
      </c>
      <c r="E714" s="53" t="n">
        <v>195</v>
      </c>
      <c r="F714" s="53" t="n">
        <v>220</v>
      </c>
      <c r="G714" s="55" t="n">
        <v>9759</v>
      </c>
      <c r="H714" s="55" t="n">
        <v>10481</v>
      </c>
      <c r="I714" s="55" t="n">
        <v>3716.3</v>
      </c>
      <c r="J714" s="55" t="n">
        <v>3556.85</v>
      </c>
      <c r="K714" s="53" t="n">
        <v>12</v>
      </c>
      <c r="L714" s="53" t="n">
        <v>13</v>
      </c>
      <c r="M714" s="53" t="n">
        <v>2</v>
      </c>
      <c r="N714" s="53" t="n">
        <v>14</v>
      </c>
      <c r="O714" s="53" t="n">
        <v>1</v>
      </c>
      <c r="P714" s="53" t="n">
        <v>10</v>
      </c>
    </row>
    <row r="715">
      <c r="A715" s="58" t="inlineStr">
        <is>
          <t>Shane Barreca</t>
        </is>
      </c>
      <c r="B715" s="58" t="inlineStr">
        <is>
          <t>Amplify</t>
        </is>
      </c>
      <c r="C715" s="58" t="inlineStr">
        <is>
          <t>Cape May</t>
        </is>
      </c>
      <c r="D715" s="58" t="inlineStr">
        <is>
          <t>Cape May</t>
        </is>
      </c>
      <c r="E715" s="53" t="n">
        <v>972</v>
      </c>
      <c r="F715" s="53" t="n">
        <v>964</v>
      </c>
      <c r="G715" s="55" t="n">
        <v>39113.7</v>
      </c>
      <c r="H715" s="55" t="n">
        <v>38797.6</v>
      </c>
      <c r="I715" s="55" t="n">
        <v>11330.24</v>
      </c>
      <c r="J715" s="55" t="n">
        <v>11397.18</v>
      </c>
      <c r="K715" s="53" t="n">
        <v>21</v>
      </c>
      <c r="L715" s="53" t="n">
        <v>19</v>
      </c>
      <c r="M715" s="53" t="n">
        <v>0</v>
      </c>
      <c r="N715" s="53" t="n">
        <v>0</v>
      </c>
      <c r="O715" s="53" t="n">
        <v>2</v>
      </c>
      <c r="P715" s="53" t="n">
        <v>35</v>
      </c>
    </row>
    <row r="716">
      <c r="A716" s="58" t="inlineStr">
        <is>
          <t>Shane Barreca</t>
        </is>
      </c>
      <c r="B716" s="58" t="inlineStr">
        <is>
          <t>Amplify</t>
        </is>
      </c>
      <c r="C716" s="58" t="inlineStr">
        <is>
          <t>Constellation Brands</t>
        </is>
      </c>
      <c r="D716" s="58" t="inlineStr">
        <is>
          <t>Corona Premier</t>
        </is>
      </c>
      <c r="E716" s="53" t="n">
        <v>1059</v>
      </c>
      <c r="F716" s="53" t="n">
        <v>1066</v>
      </c>
      <c r="G716" s="55" t="n">
        <v>32952.1</v>
      </c>
      <c r="H716" s="55" t="n">
        <v>28956.89999999999</v>
      </c>
      <c r="I716" s="55" t="n">
        <v>7023.73</v>
      </c>
      <c r="J716" s="55" t="n">
        <v>7227.93</v>
      </c>
      <c r="K716" s="53" t="n">
        <v>22</v>
      </c>
      <c r="L716" s="53" t="n">
        <v>22</v>
      </c>
      <c r="M716" s="53" t="n">
        <v>2</v>
      </c>
      <c r="N716" s="53" t="n">
        <v>13</v>
      </c>
      <c r="O716" s="53" t="n">
        <v>2</v>
      </c>
      <c r="P716" s="53" t="n">
        <v>9</v>
      </c>
    </row>
    <row r="717">
      <c r="A717" s="58" t="inlineStr">
        <is>
          <t>Shane Barreca</t>
        </is>
      </c>
      <c r="B717" s="58" t="inlineStr">
        <is>
          <t>Amplify</t>
        </is>
      </c>
      <c r="C717" s="58" t="inlineStr">
        <is>
          <t>Constellation Brands</t>
        </is>
      </c>
      <c r="D717" s="58" t="inlineStr">
        <is>
          <t>Modelo Chelada</t>
        </is>
      </c>
      <c r="E717" s="53" t="n">
        <v>2071</v>
      </c>
      <c r="F717" s="53" t="n">
        <v>3461</v>
      </c>
      <c r="G717" s="55" t="n">
        <v>63434.10000000001</v>
      </c>
      <c r="H717" s="55" t="n">
        <v>105132.5</v>
      </c>
      <c r="I717" s="55" t="n">
        <v>14809.59</v>
      </c>
      <c r="J717" s="55" t="n">
        <v>23483.11</v>
      </c>
      <c r="K717" s="53" t="n">
        <v>24</v>
      </c>
      <c r="L717" s="53" t="n">
        <v>26</v>
      </c>
      <c r="M717" s="53" t="n">
        <v>2</v>
      </c>
      <c r="N717" s="53" t="n">
        <v>59</v>
      </c>
      <c r="O717" s="53" t="n">
        <v>0</v>
      </c>
      <c r="P717" s="53" t="n">
        <v>0</v>
      </c>
    </row>
    <row r="718">
      <c r="A718" s="58" t="inlineStr">
        <is>
          <t>Shane Barreca</t>
        </is>
      </c>
      <c r="B718" s="58" t="inlineStr">
        <is>
          <t>Amplify</t>
        </is>
      </c>
      <c r="C718" s="58" t="inlineStr">
        <is>
          <t>Constellation Brands</t>
        </is>
      </c>
      <c r="D718" s="58" t="inlineStr">
        <is>
          <t>Pacifico</t>
        </is>
      </c>
      <c r="E718" s="53" t="n">
        <v>1366</v>
      </c>
      <c r="F718" s="53" t="n">
        <v>1714</v>
      </c>
      <c r="G718" s="55" t="n">
        <v>41989.4</v>
      </c>
      <c r="H718" s="55" t="n">
        <v>52458.85</v>
      </c>
      <c r="I718" s="55" t="n">
        <v>9550.139999999999</v>
      </c>
      <c r="J718" s="55" t="n">
        <v>11948.28</v>
      </c>
      <c r="K718" s="53" t="n">
        <v>25</v>
      </c>
      <c r="L718" s="53" t="n">
        <v>27</v>
      </c>
      <c r="M718" s="53" t="n">
        <v>2</v>
      </c>
      <c r="N718" s="53" t="n">
        <v>9</v>
      </c>
      <c r="O718" s="53" t="n">
        <v>0</v>
      </c>
      <c r="P718" s="53" t="n">
        <v>0</v>
      </c>
    </row>
    <row r="719">
      <c r="A719" s="58" t="inlineStr">
        <is>
          <t>Shane Barreca</t>
        </is>
      </c>
      <c r="B719" s="58" t="inlineStr">
        <is>
          <t>Amplify</t>
        </is>
      </c>
      <c r="C719" s="58" t="inlineStr">
        <is>
          <t>Constellation Brands</t>
        </is>
      </c>
      <c r="D719" s="58" t="inlineStr">
        <is>
          <t>Victoria</t>
        </is>
      </c>
      <c r="E719" s="53" t="n">
        <v>891</v>
      </c>
      <c r="F719" s="53" t="n">
        <v>802</v>
      </c>
      <c r="G719" s="55" t="n">
        <v>26975.5</v>
      </c>
      <c r="H719" s="55" t="n">
        <v>24287.8</v>
      </c>
      <c r="I719" s="55" t="n">
        <v>6405.830000000001</v>
      </c>
      <c r="J719" s="55" t="n">
        <v>5798.88</v>
      </c>
      <c r="K719" s="53" t="n">
        <v>19</v>
      </c>
      <c r="L719" s="53" t="n">
        <v>20</v>
      </c>
      <c r="M719" s="53" t="n">
        <v>2</v>
      </c>
      <c r="N719" s="53" t="n">
        <v>24</v>
      </c>
      <c r="O719" s="53" t="n">
        <v>1</v>
      </c>
      <c r="P719" s="53" t="n">
        <v>20</v>
      </c>
    </row>
    <row r="720">
      <c r="A720" s="58" t="inlineStr">
        <is>
          <t>Shane Barreca</t>
        </is>
      </c>
      <c r="B720" s="58" t="inlineStr">
        <is>
          <t>Amplify</t>
        </is>
      </c>
      <c r="C720" s="58" t="inlineStr">
        <is>
          <t>DG Yuengling Inc</t>
        </is>
      </c>
      <c r="D720" s="58" t="inlineStr">
        <is>
          <t>Yuengling Flight</t>
        </is>
      </c>
      <c r="E720" s="53" t="n">
        <v>387</v>
      </c>
      <c r="F720" s="53" t="n">
        <v>328</v>
      </c>
      <c r="G720" s="55" t="n">
        <v>8913.450000000001</v>
      </c>
      <c r="H720" s="55" t="n">
        <v>7267.699999999999</v>
      </c>
      <c r="I720" s="55" t="n">
        <v>2542.96</v>
      </c>
      <c r="J720" s="55" t="n">
        <v>1953.71</v>
      </c>
      <c r="K720" s="53" t="n">
        <v>14</v>
      </c>
      <c r="L720" s="53" t="n">
        <v>16</v>
      </c>
      <c r="M720" s="53" t="n">
        <v>4</v>
      </c>
      <c r="N720" s="53" t="n">
        <v>19</v>
      </c>
      <c r="O720" s="53" t="n">
        <v>2</v>
      </c>
      <c r="P720" s="53" t="n">
        <v>9</v>
      </c>
    </row>
    <row r="721">
      <c r="A721" s="58" t="inlineStr">
        <is>
          <t>Shane Barreca</t>
        </is>
      </c>
      <c r="B721" s="58" t="inlineStr">
        <is>
          <t>Amplify</t>
        </is>
      </c>
      <c r="C721" s="58" t="inlineStr">
        <is>
          <t>DG Yuengling Inc</t>
        </is>
      </c>
      <c r="D721" s="58" t="inlineStr">
        <is>
          <t>Yuengling Light Lager</t>
        </is>
      </c>
      <c r="E721" s="53" t="n">
        <v>226</v>
      </c>
      <c r="F721" s="53" t="n">
        <v>190</v>
      </c>
      <c r="G721" s="55" t="n">
        <v>5543.900000000001</v>
      </c>
      <c r="H721" s="55" t="n">
        <v>4725.599999999999</v>
      </c>
      <c r="I721" s="55" t="n">
        <v>1606.79</v>
      </c>
      <c r="J721" s="55" t="n">
        <v>1381.14</v>
      </c>
      <c r="K721" s="53" t="n">
        <v>16</v>
      </c>
      <c r="L721" s="53" t="n">
        <v>15</v>
      </c>
      <c r="M721" s="53" t="n">
        <v>1</v>
      </c>
      <c r="N721" s="53" t="n">
        <v>7</v>
      </c>
      <c r="O721" s="53" t="n">
        <v>2</v>
      </c>
      <c r="P721" s="53" t="n">
        <v>5</v>
      </c>
    </row>
    <row r="722">
      <c r="A722" s="58" t="inlineStr">
        <is>
          <t>Shane Barreca</t>
        </is>
      </c>
      <c r="B722" s="58" t="inlineStr">
        <is>
          <t>Amplify</t>
        </is>
      </c>
      <c r="C722" s="58" t="inlineStr">
        <is>
          <t>Heineken USA</t>
        </is>
      </c>
      <c r="D722" s="58" t="inlineStr">
        <is>
          <t>Heineken 0.0</t>
        </is>
      </c>
      <c r="E722" s="53" t="n">
        <v>784</v>
      </c>
      <c r="F722" s="53" t="n">
        <v>717</v>
      </c>
      <c r="G722" s="55" t="n">
        <v>26309.85</v>
      </c>
      <c r="H722" s="55" t="n">
        <v>24058.7</v>
      </c>
      <c r="I722" s="55" t="n">
        <v>6800.599999999999</v>
      </c>
      <c r="J722" s="55" t="n">
        <v>6195.699999999999</v>
      </c>
      <c r="K722" s="53" t="n">
        <v>28</v>
      </c>
      <c r="L722" s="53" t="n">
        <v>26</v>
      </c>
      <c r="M722" s="53" t="n">
        <v>0</v>
      </c>
      <c r="N722" s="53" t="n">
        <v>0</v>
      </c>
      <c r="O722" s="53" t="n">
        <v>2</v>
      </c>
      <c r="P722" s="53" t="n">
        <v>12</v>
      </c>
    </row>
    <row r="723">
      <c r="A723" s="58" t="inlineStr">
        <is>
          <t>Shane Barreca</t>
        </is>
      </c>
      <c r="B723" s="58" t="inlineStr">
        <is>
          <t>Amplify</t>
        </is>
      </c>
      <c r="C723" s="58" t="inlineStr">
        <is>
          <t>Heineken USA</t>
        </is>
      </c>
      <c r="D723" s="58" t="inlineStr">
        <is>
          <t>Heineken Light</t>
        </is>
      </c>
      <c r="E723" s="53" t="n">
        <v>843</v>
      </c>
      <c r="F723" s="53" t="n">
        <v>768</v>
      </c>
      <c r="G723" s="55" t="n">
        <v>26329.05</v>
      </c>
      <c r="H723" s="55" t="n">
        <v>23910.1</v>
      </c>
      <c r="I723" s="55" t="n">
        <v>6287.670000000001</v>
      </c>
      <c r="J723" s="55" t="n">
        <v>5647.9</v>
      </c>
      <c r="K723" s="53" t="n">
        <v>26</v>
      </c>
      <c r="L723" s="53" t="n">
        <v>21</v>
      </c>
      <c r="M723" s="53" t="n">
        <v>1</v>
      </c>
      <c r="N723" s="53" t="n">
        <v>5</v>
      </c>
      <c r="O723" s="53" t="n">
        <v>6</v>
      </c>
      <c r="P723" s="53" t="n">
        <v>15</v>
      </c>
    </row>
    <row r="724">
      <c r="A724" s="58" t="inlineStr">
        <is>
          <t>Shane Barreca</t>
        </is>
      </c>
      <c r="B724" s="58" t="inlineStr">
        <is>
          <t>Amplify</t>
        </is>
      </c>
      <c r="C724" s="58" t="inlineStr">
        <is>
          <t>Mark Anthony</t>
        </is>
      </c>
      <c r="D724" s="58" t="inlineStr">
        <is>
          <t>Cayman Jack</t>
        </is>
      </c>
      <c r="E724" s="53" t="n">
        <v>487</v>
      </c>
      <c r="F724" s="53" t="n">
        <v>476</v>
      </c>
      <c r="G724" s="55" t="n">
        <v>15449</v>
      </c>
      <c r="H724" s="55" t="n">
        <v>15013.5</v>
      </c>
      <c r="I724" s="55" t="n">
        <v>3671</v>
      </c>
      <c r="J724" s="55" t="n">
        <v>3499.75</v>
      </c>
      <c r="K724" s="53" t="n">
        <v>17</v>
      </c>
      <c r="L724" s="53" t="n">
        <v>17</v>
      </c>
      <c r="M724" s="53" t="n">
        <v>1</v>
      </c>
      <c r="N724" s="53" t="n">
        <v>9</v>
      </c>
      <c r="O724" s="53" t="n">
        <v>1</v>
      </c>
      <c r="P724" s="53" t="n">
        <v>3</v>
      </c>
    </row>
    <row r="725">
      <c r="A725" s="58" t="inlineStr">
        <is>
          <t>Shane Barreca</t>
        </is>
      </c>
      <c r="B725" s="58" t="inlineStr">
        <is>
          <t>Amplify</t>
        </is>
      </c>
      <c r="C725" s="58" t="inlineStr">
        <is>
          <t>Mark Anthony</t>
        </is>
      </c>
      <c r="D725" s="58" t="inlineStr">
        <is>
          <t>Mike's Harder</t>
        </is>
      </c>
      <c r="E725" s="53" t="n">
        <v>269</v>
      </c>
      <c r="F725" s="53" t="n">
        <v>324</v>
      </c>
      <c r="G725" s="55" t="n">
        <v>7482.5</v>
      </c>
      <c r="H725" s="55" t="n">
        <v>9583</v>
      </c>
      <c r="I725" s="55" t="n">
        <v>1630.94</v>
      </c>
      <c r="J725" s="55" t="n">
        <v>2028.9</v>
      </c>
      <c r="K725" s="53" t="n">
        <v>15</v>
      </c>
      <c r="L725" s="53" t="n">
        <v>13</v>
      </c>
      <c r="M725" s="53" t="n">
        <v>2</v>
      </c>
      <c r="N725" s="53" t="n">
        <v>7</v>
      </c>
      <c r="O725" s="53" t="n">
        <v>4</v>
      </c>
      <c r="P725" s="53" t="n">
        <v>16</v>
      </c>
    </row>
    <row r="726">
      <c r="A726" s="58" t="inlineStr">
        <is>
          <t>Shane Barreca</t>
        </is>
      </c>
      <c r="B726" s="58" t="inlineStr">
        <is>
          <t>Amplify</t>
        </is>
      </c>
      <c r="C726" s="58" t="inlineStr">
        <is>
          <t>Mark Anthony</t>
        </is>
      </c>
      <c r="D726" s="58" t="inlineStr">
        <is>
          <t>Mxd Cocktails</t>
        </is>
      </c>
      <c r="E726" s="53" t="n">
        <v>0</v>
      </c>
      <c r="F726" s="53" t="n">
        <v>-1</v>
      </c>
      <c r="G726" s="55" t="n">
        <v>0</v>
      </c>
      <c r="H726" s="55" t="n">
        <v>-35.9</v>
      </c>
      <c r="I726" s="55" t="n">
        <v>0</v>
      </c>
      <c r="J726" s="55" t="n">
        <v>-9.91</v>
      </c>
      <c r="K726" s="53" t="n">
        <v>0</v>
      </c>
      <c r="L726" s="53" t="n">
        <v>0</v>
      </c>
      <c r="M726" s="53" t="n">
        <v>0</v>
      </c>
      <c r="N726" s="53" t="n">
        <v>0</v>
      </c>
      <c r="O726" s="53" t="n">
        <v>0</v>
      </c>
      <c r="P726" s="53" t="n">
        <v>0</v>
      </c>
    </row>
    <row r="727">
      <c r="A727" s="58" t="inlineStr">
        <is>
          <t>Shane Barreca</t>
        </is>
      </c>
      <c r="B727" s="58" t="inlineStr">
        <is>
          <t>Amplify</t>
        </is>
      </c>
      <c r="C727" s="58" t="inlineStr">
        <is>
          <t>MolsonCoors Beverage Company</t>
        </is>
      </c>
      <c r="D727" s="58" t="inlineStr">
        <is>
          <t>Coors</t>
        </is>
      </c>
      <c r="E727" s="53" t="n">
        <v>3453</v>
      </c>
      <c r="F727" s="53" t="n">
        <v>3964</v>
      </c>
      <c r="G727" s="55" t="n">
        <v>74222.64999999999</v>
      </c>
      <c r="H727" s="55" t="n">
        <v>87148.49999999999</v>
      </c>
      <c r="I727" s="55" t="n">
        <v>19002.88</v>
      </c>
      <c r="J727" s="55" t="n">
        <v>22764.76</v>
      </c>
      <c r="K727" s="53" t="n">
        <v>27</v>
      </c>
      <c r="L727" s="53" t="n">
        <v>25</v>
      </c>
      <c r="M727" s="53" t="n">
        <v>0</v>
      </c>
      <c r="N727" s="53" t="n">
        <v>0</v>
      </c>
      <c r="O727" s="53" t="n">
        <v>2</v>
      </c>
      <c r="P727" s="53" t="n">
        <v>9</v>
      </c>
    </row>
    <row r="728">
      <c r="A728" s="58" t="inlineStr">
        <is>
          <t>Shane Barreca</t>
        </is>
      </c>
      <c r="B728" s="58" t="inlineStr">
        <is>
          <t>Amplify</t>
        </is>
      </c>
      <c r="C728" s="58" t="inlineStr">
        <is>
          <t>MolsonCoors Beverage Company</t>
        </is>
      </c>
      <c r="D728" s="58" t="inlineStr">
        <is>
          <t>Fever Tree</t>
        </is>
      </c>
      <c r="E728" s="53" t="n">
        <v>241</v>
      </c>
      <c r="F728" s="53" t="n">
        <v>376</v>
      </c>
      <c r="G728" s="55" t="n">
        <v>10698.5</v>
      </c>
      <c r="H728" s="55" t="n">
        <v>16925.3</v>
      </c>
      <c r="I728" s="55" t="n">
        <v>3291.91</v>
      </c>
      <c r="J728" s="55" t="n">
        <v>5390.81</v>
      </c>
      <c r="K728" s="53" t="n">
        <v>15</v>
      </c>
      <c r="L728" s="53" t="n">
        <v>16</v>
      </c>
      <c r="M728" s="53" t="n">
        <v>3</v>
      </c>
      <c r="N728" s="53" t="n">
        <v>6</v>
      </c>
      <c r="O728" s="53" t="n">
        <v>2</v>
      </c>
      <c r="P728" s="53" t="n">
        <v>2</v>
      </c>
    </row>
    <row r="729">
      <c r="A729" s="58" t="inlineStr">
        <is>
          <t>Shane Barreca</t>
        </is>
      </c>
      <c r="B729" s="58" t="inlineStr">
        <is>
          <t>Amplify</t>
        </is>
      </c>
      <c r="C729" s="58" t="inlineStr">
        <is>
          <t>MolsonCoors Beverage Company</t>
        </is>
      </c>
      <c r="D729" s="58" t="inlineStr">
        <is>
          <t>Peroni</t>
        </is>
      </c>
      <c r="E729" s="53" t="n">
        <v>2339</v>
      </c>
      <c r="F729" s="53" t="n">
        <v>2494</v>
      </c>
      <c r="G729" s="55" t="n">
        <v>78796.49999999999</v>
      </c>
      <c r="H729" s="55" t="n">
        <v>82836.5</v>
      </c>
      <c r="I729" s="55" t="n">
        <v>15464.3</v>
      </c>
      <c r="J729" s="55" t="n">
        <v>15392.76</v>
      </c>
      <c r="K729" s="53" t="n">
        <v>27</v>
      </c>
      <c r="L729" s="53" t="n">
        <v>26</v>
      </c>
      <c r="M729" s="53" t="n">
        <v>0</v>
      </c>
      <c r="N729" s="53" t="n">
        <v>0</v>
      </c>
      <c r="O729" s="53" t="n">
        <v>1</v>
      </c>
      <c r="P729" s="53" t="n">
        <v>14</v>
      </c>
    </row>
    <row r="730">
      <c r="A730" s="58" t="inlineStr">
        <is>
          <t>Shane Barreca</t>
        </is>
      </c>
      <c r="B730" s="58" t="inlineStr">
        <is>
          <t>Amplify</t>
        </is>
      </c>
      <c r="C730" s="58" t="inlineStr">
        <is>
          <t>New Belgium Brewing Company</t>
        </is>
      </c>
      <c r="D730" s="58" t="inlineStr">
        <is>
          <t>Fat Tire Family</t>
        </is>
      </c>
      <c r="E730" s="53" t="n">
        <v>307</v>
      </c>
      <c r="F730" s="53" t="n">
        <v>208</v>
      </c>
      <c r="G730" s="55" t="n">
        <v>10067.2</v>
      </c>
      <c r="H730" s="55" t="n">
        <v>6079.85</v>
      </c>
      <c r="I730" s="55" t="n">
        <v>2050.96</v>
      </c>
      <c r="J730" s="55" t="n">
        <v>1258.7</v>
      </c>
      <c r="K730" s="53" t="n">
        <v>23</v>
      </c>
      <c r="L730" s="53" t="n">
        <v>19</v>
      </c>
      <c r="M730" s="53" t="n">
        <v>1</v>
      </c>
      <c r="N730" s="53" t="n">
        <v>3</v>
      </c>
      <c r="O730" s="53" t="n">
        <v>5</v>
      </c>
      <c r="P730" s="53" t="n">
        <v>22</v>
      </c>
    </row>
    <row r="731">
      <c r="A731" s="58" t="inlineStr">
        <is>
          <t>Shane Barreca</t>
        </is>
      </c>
      <c r="B731" s="58" t="inlineStr">
        <is>
          <t>Amplify</t>
        </is>
      </c>
      <c r="C731" s="58" t="inlineStr">
        <is>
          <t>New Belgium Brewing Company</t>
        </is>
      </c>
      <c r="D731" s="58" t="inlineStr">
        <is>
          <t>Kirin Ichiban</t>
        </is>
      </c>
      <c r="E731" s="53" t="n">
        <v>80</v>
      </c>
      <c r="F731" s="53" t="n">
        <v>117</v>
      </c>
      <c r="G731" s="55" t="n">
        <v>2292</v>
      </c>
      <c r="H731" s="55" t="n">
        <v>3369.9</v>
      </c>
      <c r="I731" s="55" t="n">
        <v>527.66</v>
      </c>
      <c r="J731" s="55" t="n">
        <v>805.6799999999999</v>
      </c>
      <c r="K731" s="53" t="n">
        <v>5</v>
      </c>
      <c r="L731" s="53" t="n">
        <v>8</v>
      </c>
      <c r="M731" s="53" t="n">
        <v>3</v>
      </c>
      <c r="N731" s="53" t="n">
        <v>18</v>
      </c>
      <c r="O731" s="53" t="n">
        <v>0</v>
      </c>
      <c r="P731" s="53" t="n">
        <v>0</v>
      </c>
    </row>
    <row r="732">
      <c r="A732" s="58" t="inlineStr">
        <is>
          <t>Shane Barreca</t>
        </is>
      </c>
      <c r="B732" s="58" t="inlineStr">
        <is>
          <t>Amplify</t>
        </is>
      </c>
      <c r="C732" s="58" t="inlineStr">
        <is>
          <t>New Belgium Brewing Company</t>
        </is>
      </c>
      <c r="D732" s="58" t="inlineStr">
        <is>
          <t>Voodoo Family</t>
        </is>
      </c>
      <c r="E732" s="53" t="n">
        <v>1335</v>
      </c>
      <c r="F732" s="53" t="n">
        <v>1314</v>
      </c>
      <c r="G732" s="55" t="n">
        <v>47675.50000000001</v>
      </c>
      <c r="H732" s="55" t="n">
        <v>46826.6</v>
      </c>
      <c r="I732" s="55" t="n">
        <v>11522.46</v>
      </c>
      <c r="J732" s="55" t="n">
        <v>11308.71</v>
      </c>
      <c r="K732" s="53" t="n">
        <v>27</v>
      </c>
      <c r="L732" s="53" t="n">
        <v>24</v>
      </c>
      <c r="M732" s="53" t="n">
        <v>0</v>
      </c>
      <c r="N732" s="53" t="n">
        <v>0</v>
      </c>
      <c r="O732" s="53" t="n">
        <v>3</v>
      </c>
      <c r="P732" s="53" t="n">
        <v>30</v>
      </c>
    </row>
    <row r="733">
      <c r="A733" s="58" t="inlineStr">
        <is>
          <t>Shane Barreca</t>
        </is>
      </c>
      <c r="B733" s="58" t="inlineStr">
        <is>
          <t>Amplify</t>
        </is>
      </c>
      <c r="C733" s="58" t="inlineStr">
        <is>
          <t>Sapporo</t>
        </is>
      </c>
      <c r="D733" s="58" t="inlineStr">
        <is>
          <t>Sapporo</t>
        </is>
      </c>
      <c r="E733" s="53" t="n">
        <v>994</v>
      </c>
      <c r="F733" s="53" t="n">
        <v>1028</v>
      </c>
      <c r="G733" s="55" t="n">
        <v>27624.25</v>
      </c>
      <c r="H733" s="55" t="n">
        <v>28791.5</v>
      </c>
      <c r="I733" s="55" t="n">
        <v>6819.63</v>
      </c>
      <c r="J733" s="55" t="n">
        <v>7147.490000000002</v>
      </c>
      <c r="K733" s="53" t="n">
        <v>26</v>
      </c>
      <c r="L733" s="53" t="n">
        <v>26</v>
      </c>
      <c r="M733" s="53" t="n">
        <v>2</v>
      </c>
      <c r="N733" s="53" t="n">
        <v>20</v>
      </c>
      <c r="O733" s="53" t="n">
        <v>2</v>
      </c>
      <c r="P733" s="53" t="n">
        <v>77</v>
      </c>
    </row>
    <row r="734">
      <c r="A734" s="58" t="inlineStr">
        <is>
          <t>Shane Barreca</t>
        </is>
      </c>
      <c r="B734" s="58" t="inlineStr">
        <is>
          <t>Qualifier</t>
        </is>
      </c>
      <c r="C734" s="58" t="inlineStr">
        <is>
          <t>Boston Beer Company</t>
        </is>
      </c>
      <c r="D734" s="58" t="inlineStr">
        <is>
          <t>Truly</t>
        </is>
      </c>
      <c r="E734" s="53" t="n">
        <v>1171</v>
      </c>
      <c r="F734" s="53" t="n">
        <v>780</v>
      </c>
      <c r="G734" s="55" t="n">
        <v>33245.65</v>
      </c>
      <c r="H734" s="55" t="n">
        <v>21833.4</v>
      </c>
      <c r="I734" s="55" t="n">
        <v>5842.41</v>
      </c>
      <c r="J734" s="55" t="n">
        <v>3976.53</v>
      </c>
      <c r="K734" s="53" t="n">
        <v>16</v>
      </c>
      <c r="L734" s="53" t="n">
        <v>13</v>
      </c>
      <c r="M734" s="53" t="n">
        <v>2</v>
      </c>
      <c r="N734" s="53" t="n">
        <v>20</v>
      </c>
      <c r="O734" s="53" t="n">
        <v>5</v>
      </c>
      <c r="P734" s="53" t="n">
        <v>115</v>
      </c>
    </row>
    <row r="735">
      <c r="A735" s="58" t="inlineStr">
        <is>
          <t>Shane Barreca</t>
        </is>
      </c>
      <c r="B735" s="58" t="inlineStr">
        <is>
          <t>Qualifier</t>
        </is>
      </c>
      <c r="C735" s="58" t="inlineStr">
        <is>
          <t>Boston Beer Company</t>
        </is>
      </c>
      <c r="D735" s="58" t="inlineStr">
        <is>
          <t>Twisted Tea</t>
        </is>
      </c>
      <c r="E735" s="53" t="n">
        <v>2704</v>
      </c>
      <c r="F735" s="53" t="n">
        <v>1671</v>
      </c>
      <c r="G735" s="55" t="n">
        <v>79527</v>
      </c>
      <c r="H735" s="55" t="n">
        <v>49671</v>
      </c>
      <c r="I735" s="55" t="n">
        <v>18992.64</v>
      </c>
      <c r="J735" s="55" t="n">
        <v>12154.01</v>
      </c>
      <c r="K735" s="53" t="n">
        <v>27</v>
      </c>
      <c r="L735" s="53" t="n">
        <v>25</v>
      </c>
      <c r="M735" s="53" t="n">
        <v>0</v>
      </c>
      <c r="N735" s="53" t="n">
        <v>0</v>
      </c>
      <c r="O735" s="53" t="n">
        <v>2</v>
      </c>
      <c r="P735" s="53" t="n">
        <v>21</v>
      </c>
    </row>
    <row r="736">
      <c r="A736" s="58" t="inlineStr">
        <is>
          <t>Shane Barreca</t>
        </is>
      </c>
      <c r="B736" s="58" t="inlineStr">
        <is>
          <t>Qualifier</t>
        </is>
      </c>
      <c r="C736" s="58" t="inlineStr">
        <is>
          <t>Constellation Brands</t>
        </is>
      </c>
      <c r="D736" s="58" t="inlineStr">
        <is>
          <t>Corona Extra</t>
        </is>
      </c>
      <c r="E736" s="53" t="n">
        <v>13109</v>
      </c>
      <c r="F736" s="53" t="n">
        <v>13231</v>
      </c>
      <c r="G736" s="55" t="n">
        <v>415086.05</v>
      </c>
      <c r="H736" s="55" t="n">
        <v>420024.6</v>
      </c>
      <c r="I736" s="55" t="n">
        <v>95840.72999999998</v>
      </c>
      <c r="J736" s="55" t="n">
        <v>99346.88</v>
      </c>
      <c r="K736" s="53" t="n">
        <v>29</v>
      </c>
      <c r="L736" s="53" t="n">
        <v>29</v>
      </c>
      <c r="M736" s="53" t="n">
        <v>0</v>
      </c>
      <c r="N736" s="53" t="n">
        <v>0</v>
      </c>
      <c r="O736" s="53" t="n">
        <v>0</v>
      </c>
      <c r="P736" s="53" t="n">
        <v>0</v>
      </c>
    </row>
    <row r="737">
      <c r="A737" s="58" t="inlineStr">
        <is>
          <t>Shane Barreca</t>
        </is>
      </c>
      <c r="B737" s="58" t="inlineStr">
        <is>
          <t>Qualifier</t>
        </is>
      </c>
      <c r="C737" s="58" t="inlineStr">
        <is>
          <t>Constellation Brands</t>
        </is>
      </c>
      <c r="D737" s="58" t="inlineStr">
        <is>
          <t>Modelo Especial</t>
        </is>
      </c>
      <c r="E737" s="53" t="n">
        <v>16214</v>
      </c>
      <c r="F737" s="53" t="n">
        <v>16993</v>
      </c>
      <c r="G737" s="55" t="n">
        <v>491661.2499999999</v>
      </c>
      <c r="H737" s="55" t="n">
        <v>516010.15</v>
      </c>
      <c r="I737" s="55" t="n">
        <v>107346.81</v>
      </c>
      <c r="J737" s="55" t="n">
        <v>117625.86</v>
      </c>
      <c r="K737" s="53" t="n">
        <v>29</v>
      </c>
      <c r="L737" s="53" t="n">
        <v>29</v>
      </c>
      <c r="M737" s="53" t="n">
        <v>0</v>
      </c>
      <c r="N737" s="53" t="n">
        <v>0</v>
      </c>
      <c r="O737" s="53" t="n">
        <v>0</v>
      </c>
      <c r="P737" s="53" t="n">
        <v>0</v>
      </c>
    </row>
    <row r="738">
      <c r="A738" s="58" t="inlineStr">
        <is>
          <t>Shane Barreca</t>
        </is>
      </c>
      <c r="B738" s="58" t="inlineStr">
        <is>
          <t>Qualifier</t>
        </is>
      </c>
      <c r="C738" s="58" t="inlineStr">
        <is>
          <t>DG Yuengling Inc</t>
        </is>
      </c>
      <c r="D738" s="58" t="inlineStr">
        <is>
          <t>Yuengling Lager</t>
        </is>
      </c>
      <c r="E738" s="53" t="n">
        <v>3712</v>
      </c>
      <c r="F738" s="53" t="n">
        <v>3715</v>
      </c>
      <c r="G738" s="55" t="n">
        <v>83474.70000000001</v>
      </c>
      <c r="H738" s="55" t="n">
        <v>83466.70000000001</v>
      </c>
      <c r="I738" s="55" t="n">
        <v>22641.73</v>
      </c>
      <c r="J738" s="55" t="n">
        <v>22448.3</v>
      </c>
      <c r="K738" s="53" t="n">
        <v>29</v>
      </c>
      <c r="L738" s="53" t="n">
        <v>25</v>
      </c>
      <c r="M738" s="53" t="n">
        <v>0</v>
      </c>
      <c r="N738" s="53" t="n">
        <v>0</v>
      </c>
      <c r="O738" s="53" t="n">
        <v>4</v>
      </c>
      <c r="P738" s="53" t="n">
        <v>35</v>
      </c>
    </row>
    <row r="739">
      <c r="A739" s="58" t="inlineStr">
        <is>
          <t>Shane Barreca</t>
        </is>
      </c>
      <c r="B739" s="58" t="inlineStr">
        <is>
          <t>Qualifier</t>
        </is>
      </c>
      <c r="C739" s="58" t="inlineStr">
        <is>
          <t>Heineken USA</t>
        </is>
      </c>
      <c r="D739" s="58" t="inlineStr">
        <is>
          <t>Heineken USA</t>
        </is>
      </c>
      <c r="E739" s="53" t="n">
        <v>6533</v>
      </c>
      <c r="F739" s="53" t="n">
        <v>5710</v>
      </c>
      <c r="G739" s="55" t="n">
        <v>203013.75</v>
      </c>
      <c r="H739" s="55" t="n">
        <v>176792.25</v>
      </c>
      <c r="I739" s="55" t="n">
        <v>48118.41</v>
      </c>
      <c r="J739" s="55" t="n">
        <v>41756.05</v>
      </c>
      <c r="K739" s="53" t="n">
        <v>29</v>
      </c>
      <c r="L739" s="53" t="n">
        <v>28</v>
      </c>
      <c r="M739" s="53" t="n">
        <v>0</v>
      </c>
      <c r="N739" s="53" t="n">
        <v>0</v>
      </c>
      <c r="O739" s="53" t="n">
        <v>1</v>
      </c>
      <c r="P739" s="53" t="n">
        <v>6</v>
      </c>
    </row>
    <row r="740">
      <c r="A740" s="58" t="inlineStr">
        <is>
          <t>Shane Barreca</t>
        </is>
      </c>
      <c r="B740" s="58" t="inlineStr">
        <is>
          <t>Qualifier</t>
        </is>
      </c>
      <c r="C740" s="58" t="inlineStr">
        <is>
          <t>Mark Anthony</t>
        </is>
      </c>
      <c r="D740" s="58" t="inlineStr">
        <is>
          <t>White Claw</t>
        </is>
      </c>
      <c r="E740" s="53" t="n">
        <v>8648</v>
      </c>
      <c r="F740" s="53" t="n">
        <v>8103</v>
      </c>
      <c r="G740" s="55" t="n">
        <v>264928</v>
      </c>
      <c r="H740" s="55" t="n">
        <v>252096.5</v>
      </c>
      <c r="I740" s="55" t="n">
        <v>51457.10000000001</v>
      </c>
      <c r="J740" s="55" t="n">
        <v>48576.91</v>
      </c>
      <c r="K740" s="53" t="n">
        <v>27</v>
      </c>
      <c r="L740" s="53" t="n">
        <v>25</v>
      </c>
      <c r="M740" s="53" t="n">
        <v>0</v>
      </c>
      <c r="N740" s="53" t="n">
        <v>0</v>
      </c>
      <c r="O740" s="53" t="n">
        <v>2</v>
      </c>
      <c r="P740" s="53" t="n">
        <v>132</v>
      </c>
    </row>
    <row r="741">
      <c r="A741" s="58" t="inlineStr">
        <is>
          <t>Shane Barreca</t>
        </is>
      </c>
      <c r="B741" s="58" t="inlineStr">
        <is>
          <t>Qualifier</t>
        </is>
      </c>
      <c r="C741" s="58" t="inlineStr">
        <is>
          <t>MolsonCoors Beverage Company</t>
        </is>
      </c>
      <c r="D741" s="58" t="inlineStr">
        <is>
          <t>Blue Moon</t>
        </is>
      </c>
      <c r="E741" s="53" t="n">
        <v>2698</v>
      </c>
      <c r="F741" s="53" t="n">
        <v>2611</v>
      </c>
      <c r="G741" s="55" t="n">
        <v>87426.45000000001</v>
      </c>
      <c r="H741" s="55" t="n">
        <v>84165.44999999998</v>
      </c>
      <c r="I741" s="55" t="n">
        <v>19054.29</v>
      </c>
      <c r="J741" s="55" t="n">
        <v>18485.14</v>
      </c>
      <c r="K741" s="53" t="n">
        <v>29</v>
      </c>
      <c r="L741" s="53" t="n">
        <v>28</v>
      </c>
      <c r="M741" s="53" t="n">
        <v>0</v>
      </c>
      <c r="N741" s="53" t="n">
        <v>0</v>
      </c>
      <c r="O741" s="53" t="n">
        <v>1</v>
      </c>
      <c r="P741" s="53" t="n">
        <v>19</v>
      </c>
    </row>
    <row r="742">
      <c r="A742" s="58" t="inlineStr">
        <is>
          <t>Shane Barreca</t>
        </is>
      </c>
      <c r="B742" s="58" t="inlineStr">
        <is>
          <t>Qualifier</t>
        </is>
      </c>
      <c r="C742" s="58" t="inlineStr">
        <is>
          <t>MolsonCoors Beverage Company</t>
        </is>
      </c>
      <c r="D742" s="58" t="inlineStr">
        <is>
          <t>Coors Light</t>
        </is>
      </c>
      <c r="E742" s="53" t="n">
        <v>18261</v>
      </c>
      <c r="F742" s="53" t="n">
        <v>17072</v>
      </c>
      <c r="G742" s="55" t="n">
        <v>385719.15</v>
      </c>
      <c r="H742" s="55" t="n">
        <v>372232.85</v>
      </c>
      <c r="I742" s="55" t="n">
        <v>97531.97</v>
      </c>
      <c r="J742" s="55" t="n">
        <v>96449.41</v>
      </c>
      <c r="K742" s="53" t="n">
        <v>29</v>
      </c>
      <c r="L742" s="53" t="n">
        <v>29</v>
      </c>
      <c r="M742" s="53" t="n">
        <v>0</v>
      </c>
      <c r="N742" s="53" t="n">
        <v>0</v>
      </c>
      <c r="O742" s="53" t="n">
        <v>0</v>
      </c>
      <c r="P742" s="53" t="n">
        <v>0</v>
      </c>
    </row>
    <row r="743">
      <c r="A743" s="58" t="inlineStr">
        <is>
          <t>Shane Barreca</t>
        </is>
      </c>
      <c r="B743" s="58" t="inlineStr">
        <is>
          <t>Qualifier</t>
        </is>
      </c>
      <c r="C743" s="58" t="inlineStr">
        <is>
          <t>MolsonCoors Beverage Company</t>
        </is>
      </c>
      <c r="D743" s="58" t="inlineStr">
        <is>
          <t>Lite</t>
        </is>
      </c>
      <c r="E743" s="53" t="n">
        <v>15846</v>
      </c>
      <c r="F743" s="53" t="n">
        <v>14416</v>
      </c>
      <c r="G743" s="55" t="n">
        <v>338790.3</v>
      </c>
      <c r="H743" s="55" t="n">
        <v>318528.85</v>
      </c>
      <c r="I743" s="55" t="n">
        <v>78091.39</v>
      </c>
      <c r="J743" s="55" t="n">
        <v>75992.79999999999</v>
      </c>
      <c r="K743" s="53" t="n">
        <v>28</v>
      </c>
      <c r="L743" s="53" t="n">
        <v>26</v>
      </c>
      <c r="M743" s="53" t="n">
        <v>0</v>
      </c>
      <c r="N743" s="53" t="n">
        <v>0</v>
      </c>
      <c r="O743" s="53" t="n">
        <v>2</v>
      </c>
      <c r="P743" s="53" t="n">
        <v>22</v>
      </c>
    </row>
    <row r="745">
      <c r="A745" s="2" t="inlineStr">
        <is>
          <t>Blue = from the RDE export, summed to segment × supplier × brand. The export itself is one row per rep × brand × ACCOUNT; no tab reads it at that grain, so it is summed here.</t>
        </is>
      </c>
    </row>
    <row r="746">
      <c r="A746" s="2" t="inlineStr">
        <is>
          <t>POD = a point of distribution, one account × brand that bought. New / lost are measured at that grain, and the counts are additive across brands, which is why they can live on this tab and still roll up correctly.</t>
        </is>
      </c>
    </row>
    <row r="747">
      <c r="A747" s="2" t="inlineStr">
        <is>
          <t>Account-grain analysis runs off the Data - Accounts tab instead.</t>
        </is>
      </c>
    </row>
  </sheetData>
  <autoFilter ref="A4:P74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40"/>
  <sheetViews>
    <sheetView showGridLines="0" workbookViewId="0">
      <pane ySplit="4" topLeftCell="A5" activePane="bottomLeft" state="frozen"/>
      <selection pane="bottomLeft" activeCell="A1" sqref="A1"/>
    </sheetView>
  </sheetViews>
  <sheetFormatPr baseColWidth="8" defaultRowHeight="15"/>
  <cols>
    <col width="11" customWidth="1" min="1" max="1"/>
    <col width="28" customWidth="1" min="2" max="2"/>
    <col width="22" customWidth="1" min="3" max="3"/>
    <col width="11" customWidth="1" min="4" max="4"/>
    <col width="11" customWidth="1" min="5" max="5"/>
    <col width="14" customWidth="1" min="6" max="6"/>
    <col width="14" customWidth="1" min="7" max="7"/>
    <col width="13" customWidth="1" min="8" max="8"/>
    <col width="13" customWidth="1" min="9" max="9"/>
    <col width="12" customWidth="1" min="10" max="10"/>
    <col width="12" customWidth="1" min="11" max="11"/>
    <col width="12" customWidth="1" min="12" max="12"/>
    <col width="12" customWidth="1" min="13" max="13"/>
    <col width="12" customWidth="1" min="14" max="14"/>
    <col width="12" customWidth="1" min="15" max="15"/>
  </cols>
  <sheetData>
    <row r="1">
      <c r="A1" s="24" t="inlineStr">
        <is>
          <t>Source data — Pre</t>
        </is>
      </c>
    </row>
    <row r="2">
      <c r="A2" s="2" t="inlineStr">
        <is>
          <t>Program brands, 1/1–5/31 (2026 vs 2025) — pre-program baseline   ·   Source: RDE_2026_Summer_of_Success_Jan__May_1.csv</t>
        </is>
      </c>
    </row>
    <row r="4" ht="32" customHeight="1">
      <c r="A4" s="6" t="inlineStr">
        <is>
          <t>Segment</t>
        </is>
      </c>
      <c r="B4" s="6" t="inlineStr">
        <is>
          <t>Supplier</t>
        </is>
      </c>
      <c r="C4" s="6" t="inlineStr">
        <is>
          <t>Brand Family</t>
        </is>
      </c>
      <c r="D4" s="6" t="inlineStr">
        <is>
          <t>CE 2025</t>
        </is>
      </c>
      <c r="E4" s="6" t="inlineStr">
        <is>
          <t>CE 2026</t>
        </is>
      </c>
      <c r="F4" s="6" t="inlineStr">
        <is>
          <t>Revenue 2025</t>
        </is>
      </c>
      <c r="G4" s="6" t="inlineStr">
        <is>
          <t>Revenue 2026</t>
        </is>
      </c>
      <c r="H4" s="6" t="inlineStr">
        <is>
          <t>GP 2025</t>
        </is>
      </c>
      <c r="I4" s="6" t="inlineStr">
        <is>
          <t>GP 2026</t>
        </is>
      </c>
      <c r="J4" s="6" t="inlineStr">
        <is>
          <t>PODs 2025</t>
        </is>
      </c>
      <c r="K4" s="6" t="inlineStr">
        <is>
          <t>PODs 2026</t>
        </is>
      </c>
      <c r="L4" s="6" t="inlineStr">
        <is>
          <t>New PODs</t>
        </is>
      </c>
      <c r="M4" s="6" t="inlineStr">
        <is>
          <t>CE from new</t>
        </is>
      </c>
      <c r="N4" s="6" t="inlineStr">
        <is>
          <t>Lost PODs</t>
        </is>
      </c>
      <c r="O4" s="6" t="inlineStr">
        <is>
          <t>CE from lost</t>
        </is>
      </c>
    </row>
    <row r="5">
      <c r="A5" s="58" t="inlineStr">
        <is>
          <t>Amplify</t>
        </is>
      </c>
      <c r="B5" s="58" t="inlineStr">
        <is>
          <t>Bell's</t>
        </is>
      </c>
      <c r="C5" s="58" t="inlineStr">
        <is>
          <t>Bell's</t>
        </is>
      </c>
      <c r="D5" s="53" t="n">
        <v>339</v>
      </c>
      <c r="E5" s="53" t="n">
        <v>642</v>
      </c>
      <c r="F5" s="55" t="n">
        <v>11761.15</v>
      </c>
      <c r="G5" s="55" t="n">
        <v>19507.6</v>
      </c>
      <c r="H5" s="55" t="n">
        <v>3630.5</v>
      </c>
      <c r="I5" s="55" t="n">
        <v>4883.719999999998</v>
      </c>
      <c r="J5" s="53" t="n">
        <v>53</v>
      </c>
      <c r="K5" s="53" t="n">
        <v>49</v>
      </c>
      <c r="L5" s="53" t="n">
        <v>14</v>
      </c>
      <c r="M5" s="53" t="n">
        <v>438</v>
      </c>
      <c r="N5" s="53" t="n">
        <v>18</v>
      </c>
      <c r="O5" s="53" t="n">
        <v>57</v>
      </c>
    </row>
    <row r="6">
      <c r="A6" s="58" t="inlineStr">
        <is>
          <t>Amplify</t>
        </is>
      </c>
      <c r="B6" s="58" t="inlineStr">
        <is>
          <t>Boston Beer Company</t>
        </is>
      </c>
      <c r="C6" s="58" t="inlineStr">
        <is>
          <t>Dogfish Head Beer</t>
        </is>
      </c>
      <c r="D6" s="53" t="n">
        <v>14075</v>
      </c>
      <c r="E6" s="53" t="n">
        <v>14348</v>
      </c>
      <c r="F6" s="55" t="n">
        <v>504774.3899999995</v>
      </c>
      <c r="G6" s="55" t="n">
        <v>504142.1099999998</v>
      </c>
      <c r="H6" s="55" t="n">
        <v>131621.17</v>
      </c>
      <c r="I6" s="55" t="n">
        <v>128721.5699999998</v>
      </c>
      <c r="J6" s="53" t="n">
        <v>580</v>
      </c>
      <c r="K6" s="53" t="n">
        <v>584</v>
      </c>
      <c r="L6" s="53" t="n">
        <v>94</v>
      </c>
      <c r="M6" s="53" t="n">
        <v>770</v>
      </c>
      <c r="N6" s="53" t="n">
        <v>90</v>
      </c>
      <c r="O6" s="53" t="n">
        <v>583</v>
      </c>
    </row>
    <row r="7">
      <c r="A7" s="58" t="inlineStr">
        <is>
          <t>Amplify</t>
        </is>
      </c>
      <c r="B7" s="58" t="inlineStr">
        <is>
          <t>Boston Beer Company</t>
        </is>
      </c>
      <c r="C7" s="58" t="inlineStr">
        <is>
          <t>Dogfish Head Spirits</t>
        </is>
      </c>
      <c r="D7" s="53" t="n">
        <v>1894</v>
      </c>
      <c r="E7" s="53" t="n">
        <v>1820</v>
      </c>
      <c r="F7" s="55" t="n">
        <v>102250.97</v>
      </c>
      <c r="G7" s="55" t="n">
        <v>90439.45000000001</v>
      </c>
      <c r="H7" s="55" t="n">
        <v>39851.25999999999</v>
      </c>
      <c r="I7" s="55" t="n">
        <v>31020.24999999999</v>
      </c>
      <c r="J7" s="53" t="n">
        <v>112</v>
      </c>
      <c r="K7" s="53" t="n">
        <v>122</v>
      </c>
      <c r="L7" s="53" t="n">
        <v>42</v>
      </c>
      <c r="M7" s="53" t="n">
        <v>296</v>
      </c>
      <c r="N7" s="53" t="n">
        <v>32</v>
      </c>
      <c r="O7" s="53" t="n">
        <v>229</v>
      </c>
    </row>
    <row r="8">
      <c r="A8" s="58" t="inlineStr">
        <is>
          <t>Amplify</t>
        </is>
      </c>
      <c r="B8" s="58" t="inlineStr">
        <is>
          <t>Cape May</t>
        </is>
      </c>
      <c r="C8" s="58" t="inlineStr">
        <is>
          <t>Cape May</t>
        </is>
      </c>
      <c r="D8" s="53" t="n">
        <v>10157</v>
      </c>
      <c r="E8" s="53" t="n">
        <v>10352</v>
      </c>
      <c r="F8" s="55" t="n">
        <v>409580.0100000001</v>
      </c>
      <c r="G8" s="55" t="n">
        <v>412420.0600000001</v>
      </c>
      <c r="H8" s="55" t="n">
        <v>119246.62</v>
      </c>
      <c r="I8" s="55" t="n">
        <v>119479.5</v>
      </c>
      <c r="J8" s="53" t="n">
        <v>311</v>
      </c>
      <c r="K8" s="53" t="n">
        <v>329</v>
      </c>
      <c r="L8" s="53" t="n">
        <v>74</v>
      </c>
      <c r="M8" s="53" t="n">
        <v>910</v>
      </c>
      <c r="N8" s="53" t="n">
        <v>56</v>
      </c>
      <c r="O8" s="53" t="n">
        <v>406</v>
      </c>
    </row>
    <row r="9">
      <c r="A9" s="58" t="inlineStr">
        <is>
          <t>Amplify</t>
        </is>
      </c>
      <c r="B9" s="58" t="inlineStr">
        <is>
          <t>Constellation Brands</t>
        </is>
      </c>
      <c r="C9" s="58" t="inlineStr">
        <is>
          <t>Corona Premier</t>
        </is>
      </c>
      <c r="D9" s="53" t="n">
        <v>11387</v>
      </c>
      <c r="E9" s="53" t="n">
        <v>10572</v>
      </c>
      <c r="F9" s="55" t="n">
        <v>354677.5299999997</v>
      </c>
      <c r="G9" s="55" t="n">
        <v>288577.1499999998</v>
      </c>
      <c r="H9" s="55" t="n">
        <v>80869.84000000013</v>
      </c>
      <c r="I9" s="55" t="n">
        <v>69688.69999999998</v>
      </c>
      <c r="J9" s="53" t="n">
        <v>526</v>
      </c>
      <c r="K9" s="53" t="n">
        <v>464</v>
      </c>
      <c r="L9" s="53" t="n">
        <v>71</v>
      </c>
      <c r="M9" s="53" t="n">
        <v>341</v>
      </c>
      <c r="N9" s="53" t="n">
        <v>133</v>
      </c>
      <c r="O9" s="53" t="n">
        <v>519</v>
      </c>
    </row>
    <row r="10">
      <c r="A10" s="58" t="inlineStr">
        <is>
          <t>Amplify</t>
        </is>
      </c>
      <c r="B10" s="58" t="inlineStr">
        <is>
          <t>Constellation Brands</t>
        </is>
      </c>
      <c r="C10" s="58" t="inlineStr">
        <is>
          <t>Modelo Chelada</t>
        </is>
      </c>
      <c r="D10" s="53" t="n">
        <v>26948</v>
      </c>
      <c r="E10" s="53" t="n">
        <v>34538</v>
      </c>
      <c r="F10" s="55" t="n">
        <v>834793.5999999994</v>
      </c>
      <c r="G10" s="55" t="n">
        <v>1060327.7</v>
      </c>
      <c r="H10" s="55" t="n">
        <v>211754.6699999999</v>
      </c>
      <c r="I10" s="55" t="n">
        <v>263732.2900000001</v>
      </c>
      <c r="J10" s="53" t="n">
        <v>431</v>
      </c>
      <c r="K10" s="53" t="n">
        <v>444</v>
      </c>
      <c r="L10" s="53" t="n">
        <v>30</v>
      </c>
      <c r="M10" s="53" t="n">
        <v>444</v>
      </c>
      <c r="N10" s="53" t="n">
        <v>17</v>
      </c>
      <c r="O10" s="53" t="n">
        <v>174</v>
      </c>
    </row>
    <row r="11">
      <c r="A11" s="58" t="inlineStr">
        <is>
          <t>Amplify</t>
        </is>
      </c>
      <c r="B11" s="58" t="inlineStr">
        <is>
          <t>Constellation Brands</t>
        </is>
      </c>
      <c r="C11" s="58" t="inlineStr">
        <is>
          <t>Pacifico</t>
        </is>
      </c>
      <c r="D11" s="53" t="n">
        <v>10533</v>
      </c>
      <c r="E11" s="53" t="n">
        <v>13329</v>
      </c>
      <c r="F11" s="55" t="n">
        <v>325545.0999999999</v>
      </c>
      <c r="G11" s="55" t="n">
        <v>412489.7499999999</v>
      </c>
      <c r="H11" s="55" t="n">
        <v>75921.61000000003</v>
      </c>
      <c r="I11" s="55" t="n">
        <v>96456.24999999997</v>
      </c>
      <c r="J11" s="53" t="n">
        <v>487</v>
      </c>
      <c r="K11" s="53" t="n">
        <v>509</v>
      </c>
      <c r="L11" s="53" t="n">
        <v>111</v>
      </c>
      <c r="M11" s="53" t="n">
        <v>829</v>
      </c>
      <c r="N11" s="53" t="n">
        <v>89</v>
      </c>
      <c r="O11" s="53" t="n">
        <v>345</v>
      </c>
    </row>
    <row r="12">
      <c r="A12" s="58" t="inlineStr">
        <is>
          <t>Amplify</t>
        </is>
      </c>
      <c r="B12" s="58" t="inlineStr">
        <is>
          <t>Constellation Brands</t>
        </is>
      </c>
      <c r="C12" s="58" t="inlineStr">
        <is>
          <t>Victoria</t>
        </is>
      </c>
      <c r="D12" s="53" t="n">
        <v>21044</v>
      </c>
      <c r="E12" s="53" t="n">
        <v>25253</v>
      </c>
      <c r="F12" s="55" t="n">
        <v>634688.8999999998</v>
      </c>
      <c r="G12" s="55" t="n">
        <v>761409.949999999</v>
      </c>
      <c r="H12" s="55" t="n">
        <v>149923.11</v>
      </c>
      <c r="I12" s="55" t="n">
        <v>180910.7500000001</v>
      </c>
      <c r="J12" s="53" t="n">
        <v>371</v>
      </c>
      <c r="K12" s="53" t="n">
        <v>399</v>
      </c>
      <c r="L12" s="53" t="n">
        <v>54</v>
      </c>
      <c r="M12" s="53" t="n">
        <v>538</v>
      </c>
      <c r="N12" s="53" t="n">
        <v>26</v>
      </c>
      <c r="O12" s="53" t="n">
        <v>208</v>
      </c>
    </row>
    <row r="13">
      <c r="A13" s="58" t="inlineStr">
        <is>
          <t>Amplify</t>
        </is>
      </c>
      <c r="B13" s="58" t="inlineStr">
        <is>
          <t>DG Yuengling Inc</t>
        </is>
      </c>
      <c r="C13" s="58" t="inlineStr">
        <is>
          <t>Yuengling Flight</t>
        </is>
      </c>
      <c r="D13" s="53" t="n">
        <v>3113</v>
      </c>
      <c r="E13" s="53" t="n">
        <v>3199</v>
      </c>
      <c r="F13" s="55" t="n">
        <v>72006.5</v>
      </c>
      <c r="G13" s="55" t="n">
        <v>74629.01000000001</v>
      </c>
      <c r="H13" s="55" t="n">
        <v>20518.48000000001</v>
      </c>
      <c r="I13" s="55" t="n">
        <v>21443.11</v>
      </c>
      <c r="J13" s="53" t="n">
        <v>210</v>
      </c>
      <c r="K13" s="53" t="n">
        <v>233</v>
      </c>
      <c r="L13" s="53" t="n">
        <v>71</v>
      </c>
      <c r="M13" s="53" t="n">
        <v>182</v>
      </c>
      <c r="N13" s="53" t="n">
        <v>48</v>
      </c>
      <c r="O13" s="53" t="n">
        <v>183</v>
      </c>
    </row>
    <row r="14">
      <c r="A14" s="58" t="inlineStr">
        <is>
          <t>Amplify</t>
        </is>
      </c>
      <c r="B14" s="58" t="inlineStr">
        <is>
          <t>DG Yuengling Inc</t>
        </is>
      </c>
      <c r="C14" s="58" t="inlineStr">
        <is>
          <t>Yuengling Light Lager</t>
        </is>
      </c>
      <c r="D14" s="53" t="n">
        <v>2738</v>
      </c>
      <c r="E14" s="53" t="n">
        <v>2612</v>
      </c>
      <c r="F14" s="55" t="n">
        <v>63781.55999999998</v>
      </c>
      <c r="G14" s="55" t="n">
        <v>60600.03</v>
      </c>
      <c r="H14" s="55" t="n">
        <v>17501.89999999999</v>
      </c>
      <c r="I14" s="55" t="n">
        <v>16258.59</v>
      </c>
      <c r="J14" s="53" t="n">
        <v>150</v>
      </c>
      <c r="K14" s="53" t="n">
        <v>164</v>
      </c>
      <c r="L14" s="53" t="n">
        <v>38</v>
      </c>
      <c r="M14" s="53" t="n">
        <v>159</v>
      </c>
      <c r="N14" s="53" t="n">
        <v>24</v>
      </c>
      <c r="O14" s="53" t="n">
        <v>56</v>
      </c>
    </row>
    <row r="15">
      <c r="A15" s="58" t="inlineStr">
        <is>
          <t>Amplify</t>
        </is>
      </c>
      <c r="B15" s="58" t="inlineStr">
        <is>
          <t>Heineken USA</t>
        </is>
      </c>
      <c r="C15" s="58" t="inlineStr">
        <is>
          <t>Heineken 0.0</t>
        </is>
      </c>
      <c r="D15" s="53" t="n">
        <v>10097</v>
      </c>
      <c r="E15" s="53" t="n">
        <v>9458</v>
      </c>
      <c r="F15" s="55" t="n">
        <v>340246.8499999993</v>
      </c>
      <c r="G15" s="55" t="n">
        <v>320164.3999999995</v>
      </c>
      <c r="H15" s="55" t="n">
        <v>91362.33000000029</v>
      </c>
      <c r="I15" s="55" t="n">
        <v>87095.68000000012</v>
      </c>
      <c r="J15" s="53" t="n">
        <v>754</v>
      </c>
      <c r="K15" s="53" t="n">
        <v>770</v>
      </c>
      <c r="L15" s="53" t="n">
        <v>118</v>
      </c>
      <c r="M15" s="53" t="n">
        <v>555</v>
      </c>
      <c r="N15" s="53" t="n">
        <v>102</v>
      </c>
      <c r="O15" s="53" t="n">
        <v>732</v>
      </c>
    </row>
    <row r="16">
      <c r="A16" s="58" t="inlineStr">
        <is>
          <t>Amplify</t>
        </is>
      </c>
      <c r="B16" s="58" t="inlineStr">
        <is>
          <t>Heineken USA</t>
        </is>
      </c>
      <c r="C16" s="58" t="inlineStr">
        <is>
          <t>Heineken Light</t>
        </is>
      </c>
      <c r="D16" s="53" t="n">
        <v>12726</v>
      </c>
      <c r="E16" s="53" t="n">
        <v>11640</v>
      </c>
      <c r="F16" s="55" t="n">
        <v>400028.4500000001</v>
      </c>
      <c r="G16" s="55" t="n">
        <v>365349.9</v>
      </c>
      <c r="H16" s="55" t="n">
        <v>97501.40999999993</v>
      </c>
      <c r="I16" s="55" t="n">
        <v>88658.97000000006</v>
      </c>
      <c r="J16" s="53" t="n">
        <v>504</v>
      </c>
      <c r="K16" s="53" t="n">
        <v>457</v>
      </c>
      <c r="L16" s="53" t="n">
        <v>72</v>
      </c>
      <c r="M16" s="53" t="n">
        <v>364</v>
      </c>
      <c r="N16" s="53" t="n">
        <v>119</v>
      </c>
      <c r="O16" s="53" t="n">
        <v>793</v>
      </c>
    </row>
    <row r="17">
      <c r="A17" s="58" t="inlineStr">
        <is>
          <t>Amplify</t>
        </is>
      </c>
      <c r="B17" s="58" t="inlineStr">
        <is>
          <t>Mark Anthony</t>
        </is>
      </c>
      <c r="C17" s="58" t="inlineStr">
        <is>
          <t>Cayman Jack</t>
        </is>
      </c>
      <c r="D17" s="53" t="n">
        <v>9610</v>
      </c>
      <c r="E17" s="53" t="n">
        <v>11478</v>
      </c>
      <c r="F17" s="55" t="n">
        <v>301233.75</v>
      </c>
      <c r="G17" s="55" t="n">
        <v>361870.23</v>
      </c>
      <c r="H17" s="55" t="n">
        <v>73521.77000000003</v>
      </c>
      <c r="I17" s="55" t="n">
        <v>88332.81999999999</v>
      </c>
      <c r="J17" s="53" t="n">
        <v>304</v>
      </c>
      <c r="K17" s="53" t="n">
        <v>336</v>
      </c>
      <c r="L17" s="53" t="n">
        <v>55</v>
      </c>
      <c r="M17" s="53" t="n">
        <v>600</v>
      </c>
      <c r="N17" s="53" t="n">
        <v>23</v>
      </c>
      <c r="O17" s="53" t="n">
        <v>182</v>
      </c>
    </row>
    <row r="18">
      <c r="A18" s="58" t="inlineStr">
        <is>
          <t>Amplify</t>
        </is>
      </c>
      <c r="B18" s="58" t="inlineStr">
        <is>
          <t>Mark Anthony</t>
        </is>
      </c>
      <c r="C18" s="58" t="inlineStr">
        <is>
          <t>Mike's Harder</t>
        </is>
      </c>
      <c r="D18" s="53" t="n">
        <v>4497</v>
      </c>
      <c r="E18" s="53" t="n">
        <v>4062</v>
      </c>
      <c r="F18" s="55" t="n">
        <v>124304.5</v>
      </c>
      <c r="G18" s="55" t="n">
        <v>119914.5</v>
      </c>
      <c r="H18" s="55" t="n">
        <v>27222.18000000001</v>
      </c>
      <c r="I18" s="55" t="n">
        <v>26383.04</v>
      </c>
      <c r="J18" s="53" t="n">
        <v>248</v>
      </c>
      <c r="K18" s="53" t="n">
        <v>244</v>
      </c>
      <c r="L18" s="53" t="n">
        <v>41</v>
      </c>
      <c r="M18" s="53" t="n">
        <v>265</v>
      </c>
      <c r="N18" s="53" t="n">
        <v>45</v>
      </c>
      <c r="O18" s="53" t="n">
        <v>264</v>
      </c>
    </row>
    <row r="19">
      <c r="A19" s="58" t="inlineStr">
        <is>
          <t>Amplify</t>
        </is>
      </c>
      <c r="B19" s="58" t="inlineStr">
        <is>
          <t>Mark Anthony</t>
        </is>
      </c>
      <c r="C19" s="58" t="inlineStr">
        <is>
          <t>Mxd Cocktails</t>
        </is>
      </c>
      <c r="D19" s="53" t="n">
        <v>1162</v>
      </c>
      <c r="E19" s="53" t="n">
        <v>1674</v>
      </c>
      <c r="F19" s="55" t="n">
        <v>27811.1</v>
      </c>
      <c r="G19" s="55" t="n">
        <v>40707.1</v>
      </c>
      <c r="H19" s="55" t="n">
        <v>5255.740000000003</v>
      </c>
      <c r="I19" s="55" t="n">
        <v>7666.409999999998</v>
      </c>
      <c r="J19" s="53" t="n">
        <v>64</v>
      </c>
      <c r="K19" s="53" t="n">
        <v>86</v>
      </c>
      <c r="L19" s="53" t="n">
        <v>36</v>
      </c>
      <c r="M19" s="53" t="n">
        <v>306</v>
      </c>
      <c r="N19" s="53" t="n">
        <v>14</v>
      </c>
      <c r="O19" s="53" t="n">
        <v>87</v>
      </c>
    </row>
    <row r="20">
      <c r="A20" s="58" t="inlineStr">
        <is>
          <t>Amplify</t>
        </is>
      </c>
      <c r="B20" s="58" t="inlineStr">
        <is>
          <t>MolsonCoors Beverage Company</t>
        </is>
      </c>
      <c r="C20" s="58" t="inlineStr">
        <is>
          <t>Coors</t>
        </is>
      </c>
      <c r="D20" s="53" t="n">
        <v>43359</v>
      </c>
      <c r="E20" s="53" t="n">
        <v>45537</v>
      </c>
      <c r="F20" s="55" t="n">
        <v>890665.0700000001</v>
      </c>
      <c r="G20" s="55" t="n">
        <v>935835.7899999996</v>
      </c>
      <c r="H20" s="55" t="n">
        <v>219499.0100000001</v>
      </c>
      <c r="I20" s="55" t="n">
        <v>227396.2099999998</v>
      </c>
      <c r="J20" s="53" t="n">
        <v>553</v>
      </c>
      <c r="K20" s="53" t="n">
        <v>568</v>
      </c>
      <c r="L20" s="53" t="n">
        <v>72</v>
      </c>
      <c r="M20" s="53" t="n">
        <v>611</v>
      </c>
      <c r="N20" s="53" t="n">
        <v>57</v>
      </c>
      <c r="O20" s="53" t="n">
        <v>302</v>
      </c>
    </row>
    <row r="21">
      <c r="A21" s="58" t="inlineStr">
        <is>
          <t>Amplify</t>
        </is>
      </c>
      <c r="B21" s="58" t="inlineStr">
        <is>
          <t>MolsonCoors Beverage Company</t>
        </is>
      </c>
      <c r="C21" s="58" t="inlineStr">
        <is>
          <t>Fever Tree</t>
        </is>
      </c>
      <c r="D21" s="53" t="n">
        <v>58</v>
      </c>
      <c r="E21" s="53" t="n">
        <v>2440</v>
      </c>
      <c r="F21" s="55" t="n">
        <v>2556.1</v>
      </c>
      <c r="G21" s="55" t="n">
        <v>109915.26</v>
      </c>
      <c r="H21" s="55" t="n">
        <v>887.96</v>
      </c>
      <c r="I21" s="55" t="n">
        <v>34565.12000000002</v>
      </c>
      <c r="J21" s="53" t="n">
        <v>28</v>
      </c>
      <c r="K21" s="53" t="n">
        <v>277</v>
      </c>
      <c r="L21" s="53" t="n">
        <v>257</v>
      </c>
      <c r="M21" s="53" t="n">
        <v>2110</v>
      </c>
      <c r="N21" s="53" t="n">
        <v>8</v>
      </c>
      <c r="O21" s="53" t="n">
        <v>13</v>
      </c>
    </row>
    <row r="22">
      <c r="A22" s="58" t="inlineStr">
        <is>
          <t>Amplify</t>
        </is>
      </c>
      <c r="B22" s="58" t="inlineStr">
        <is>
          <t>MolsonCoors Beverage Company</t>
        </is>
      </c>
      <c r="C22" s="58" t="inlineStr">
        <is>
          <t>Peroni</t>
        </is>
      </c>
      <c r="D22" s="53" t="n">
        <v>19777</v>
      </c>
      <c r="E22" s="53" t="n">
        <v>22149</v>
      </c>
      <c r="F22" s="55" t="n">
        <v>682684.4999999999</v>
      </c>
      <c r="G22" s="55" t="n">
        <v>748431.7900000003</v>
      </c>
      <c r="H22" s="55" t="n">
        <v>148065.7599999999</v>
      </c>
      <c r="I22" s="55" t="n">
        <v>155887.0099999998</v>
      </c>
      <c r="J22" s="53" t="n">
        <v>646</v>
      </c>
      <c r="K22" s="53" t="n">
        <v>697</v>
      </c>
      <c r="L22" s="53" t="n">
        <v>134</v>
      </c>
      <c r="M22" s="53" t="n">
        <v>1632</v>
      </c>
      <c r="N22" s="53" t="n">
        <v>83</v>
      </c>
      <c r="O22" s="53" t="n">
        <v>489</v>
      </c>
    </row>
    <row r="23">
      <c r="A23" s="58" t="inlineStr">
        <is>
          <t>Amplify</t>
        </is>
      </c>
      <c r="B23" s="58" t="inlineStr">
        <is>
          <t>New Belgium Brewing Company</t>
        </is>
      </c>
      <c r="C23" s="58" t="inlineStr">
        <is>
          <t>Fat Tire Family</t>
        </is>
      </c>
      <c r="D23" s="53" t="n">
        <v>3122</v>
      </c>
      <c r="E23" s="53" t="n">
        <v>2832</v>
      </c>
      <c r="F23" s="55" t="n">
        <v>105985.7</v>
      </c>
      <c r="G23" s="55" t="n">
        <v>91700.30000000002</v>
      </c>
      <c r="H23" s="55" t="n">
        <v>24209.82000000001</v>
      </c>
      <c r="I23" s="55" t="n">
        <v>19832.75000000001</v>
      </c>
      <c r="J23" s="53" t="n">
        <v>311</v>
      </c>
      <c r="K23" s="53" t="n">
        <v>277</v>
      </c>
      <c r="L23" s="53" t="n">
        <v>43</v>
      </c>
      <c r="M23" s="53" t="n">
        <v>282</v>
      </c>
      <c r="N23" s="53" t="n">
        <v>77</v>
      </c>
      <c r="O23" s="53" t="n">
        <v>372</v>
      </c>
    </row>
    <row r="24">
      <c r="A24" s="58" t="inlineStr">
        <is>
          <t>Amplify</t>
        </is>
      </c>
      <c r="B24" s="58" t="inlineStr">
        <is>
          <t>New Belgium Brewing Company</t>
        </is>
      </c>
      <c r="C24" s="58" t="inlineStr">
        <is>
          <t>Kirin Ichiban</t>
        </is>
      </c>
      <c r="D24" s="53" t="n">
        <v>827</v>
      </c>
      <c r="E24" s="53" t="n">
        <v>2430</v>
      </c>
      <c r="F24" s="55" t="n">
        <v>22783.93</v>
      </c>
      <c r="G24" s="55" t="n">
        <v>60055.60000000001</v>
      </c>
      <c r="H24" s="55" t="n">
        <v>4761.990000000002</v>
      </c>
      <c r="I24" s="55" t="n">
        <v>13078.6</v>
      </c>
      <c r="J24" s="53" t="n">
        <v>56</v>
      </c>
      <c r="K24" s="53" t="n">
        <v>67</v>
      </c>
      <c r="L24" s="53" t="n">
        <v>32</v>
      </c>
      <c r="M24" s="53" t="n">
        <v>713</v>
      </c>
      <c r="N24" s="53" t="n">
        <v>21</v>
      </c>
      <c r="O24" s="53" t="n">
        <v>126</v>
      </c>
    </row>
    <row r="25">
      <c r="A25" s="58" t="inlineStr">
        <is>
          <t>Amplify</t>
        </is>
      </c>
      <c r="B25" s="58" t="inlineStr">
        <is>
          <t>New Belgium Brewing Company</t>
        </is>
      </c>
      <c r="C25" s="58" t="inlineStr">
        <is>
          <t>Voodoo Family</t>
        </is>
      </c>
      <c r="D25" s="53" t="n">
        <v>16539</v>
      </c>
      <c r="E25" s="53" t="n">
        <v>18186</v>
      </c>
      <c r="F25" s="55" t="n">
        <v>597750.4599999998</v>
      </c>
      <c r="G25" s="55" t="n">
        <v>652083.7700000001</v>
      </c>
      <c r="H25" s="55" t="n">
        <v>150884.83</v>
      </c>
      <c r="I25" s="55" t="n">
        <v>164751.36</v>
      </c>
      <c r="J25" s="53" t="n">
        <v>473</v>
      </c>
      <c r="K25" s="53" t="n">
        <v>484</v>
      </c>
      <c r="L25" s="53" t="n">
        <v>74</v>
      </c>
      <c r="M25" s="53" t="n">
        <v>855</v>
      </c>
      <c r="N25" s="53" t="n">
        <v>63</v>
      </c>
      <c r="O25" s="53" t="n">
        <v>439</v>
      </c>
    </row>
    <row r="26">
      <c r="A26" s="58" t="inlineStr">
        <is>
          <t>Amplify</t>
        </is>
      </c>
      <c r="B26" s="58" t="inlineStr">
        <is>
          <t>Sapporo</t>
        </is>
      </c>
      <c r="C26" s="58" t="inlineStr">
        <is>
          <t>Sapporo</t>
        </is>
      </c>
      <c r="D26" s="53" t="n">
        <v>29165</v>
      </c>
      <c r="E26" s="53" t="n">
        <v>35086</v>
      </c>
      <c r="F26" s="55" t="n">
        <v>784958.0800000001</v>
      </c>
      <c r="G26" s="55" t="n">
        <v>952648.65</v>
      </c>
      <c r="H26" s="55" t="n">
        <v>196677.43</v>
      </c>
      <c r="I26" s="55" t="n">
        <v>239239.91</v>
      </c>
      <c r="J26" s="53" t="n">
        <v>822</v>
      </c>
      <c r="K26" s="53" t="n">
        <v>871</v>
      </c>
      <c r="L26" s="53" t="n">
        <v>142</v>
      </c>
      <c r="M26" s="53" t="n">
        <v>2512</v>
      </c>
      <c r="N26" s="53" t="n">
        <v>93</v>
      </c>
      <c r="O26" s="53" t="n">
        <v>1196</v>
      </c>
    </row>
    <row r="27">
      <c r="A27" s="58" t="inlineStr">
        <is>
          <t>Qualifier</t>
        </is>
      </c>
      <c r="B27" s="58" t="inlineStr">
        <is>
          <t>Boston Beer Company</t>
        </is>
      </c>
      <c r="C27" s="58" t="inlineStr">
        <is>
          <t>Truly</t>
        </is>
      </c>
      <c r="D27" s="53" t="n">
        <v>14470</v>
      </c>
      <c r="E27" s="53" t="n">
        <v>11600</v>
      </c>
      <c r="F27" s="55" t="n">
        <v>413583.8799999998</v>
      </c>
      <c r="G27" s="55" t="n">
        <v>332307.9499999999</v>
      </c>
      <c r="H27" s="55" t="n">
        <v>90085.28000000006</v>
      </c>
      <c r="I27" s="55" t="n">
        <v>73173.60000000002</v>
      </c>
      <c r="J27" s="53" t="n">
        <v>279</v>
      </c>
      <c r="K27" s="53" t="n">
        <v>252</v>
      </c>
      <c r="L27" s="53" t="n">
        <v>45</v>
      </c>
      <c r="M27" s="53" t="n">
        <v>404</v>
      </c>
      <c r="N27" s="53" t="n">
        <v>72</v>
      </c>
      <c r="O27" s="53" t="n">
        <v>935</v>
      </c>
    </row>
    <row r="28">
      <c r="A28" s="58" t="inlineStr">
        <is>
          <t>Qualifier</t>
        </is>
      </c>
      <c r="B28" s="58" t="inlineStr">
        <is>
          <t>Boston Beer Company</t>
        </is>
      </c>
      <c r="C28" s="58" t="inlineStr">
        <is>
          <t>Twisted Tea</t>
        </is>
      </c>
      <c r="D28" s="53" t="n">
        <v>40381</v>
      </c>
      <c r="E28" s="53" t="n">
        <v>36775</v>
      </c>
      <c r="F28" s="55" t="n">
        <v>1192656.26</v>
      </c>
      <c r="G28" s="55" t="n">
        <v>1073894.7</v>
      </c>
      <c r="H28" s="55" t="n">
        <v>306795.11</v>
      </c>
      <c r="I28" s="55" t="n">
        <v>260221.2499999998</v>
      </c>
      <c r="J28" s="53" t="n">
        <v>618</v>
      </c>
      <c r="K28" s="53" t="n">
        <v>598</v>
      </c>
      <c r="L28" s="53" t="n">
        <v>56</v>
      </c>
      <c r="M28" s="53" t="n">
        <v>382</v>
      </c>
      <c r="N28" s="53" t="n">
        <v>76</v>
      </c>
      <c r="O28" s="53" t="n">
        <v>624</v>
      </c>
    </row>
    <row r="29">
      <c r="A29" s="58" t="inlineStr">
        <is>
          <t>Qualifier</t>
        </is>
      </c>
      <c r="B29" s="58" t="inlineStr">
        <is>
          <t>Constellation Brands</t>
        </is>
      </c>
      <c r="C29" s="58" t="inlineStr">
        <is>
          <t>Corona Extra</t>
        </is>
      </c>
      <c r="D29" s="53" t="n">
        <v>423402</v>
      </c>
      <c r="E29" s="53" t="n">
        <v>414682</v>
      </c>
      <c r="F29" s="55" t="n">
        <v>13683397.43000001</v>
      </c>
      <c r="G29" s="55" t="n">
        <v>13440606.59</v>
      </c>
      <c r="H29" s="55" t="n">
        <v>3307567.130000003</v>
      </c>
      <c r="I29" s="55" t="n">
        <v>3237016.830000003</v>
      </c>
      <c r="J29" s="53" t="n">
        <v>1369</v>
      </c>
      <c r="K29" s="53" t="n">
        <v>1343</v>
      </c>
      <c r="L29" s="53" t="n">
        <v>67</v>
      </c>
      <c r="M29" s="53" t="n">
        <v>3690</v>
      </c>
      <c r="N29" s="53" t="n">
        <v>93</v>
      </c>
      <c r="O29" s="53" t="n">
        <v>2901</v>
      </c>
    </row>
    <row r="30">
      <c r="A30" s="58" t="inlineStr">
        <is>
          <t>Qualifier</t>
        </is>
      </c>
      <c r="B30" s="58" t="inlineStr">
        <is>
          <t>Constellation Brands</t>
        </is>
      </c>
      <c r="C30" s="58" t="inlineStr">
        <is>
          <t>Modelo Especial</t>
        </is>
      </c>
      <c r="D30" s="53" t="n">
        <v>368552</v>
      </c>
      <c r="E30" s="53" t="n">
        <v>374392</v>
      </c>
      <c r="F30" s="55" t="n">
        <v>11218218.47</v>
      </c>
      <c r="G30" s="55" t="n">
        <v>11361557.37000001</v>
      </c>
      <c r="H30" s="55" t="n">
        <v>2563420.780000011</v>
      </c>
      <c r="I30" s="55" t="n">
        <v>2581144.230000008</v>
      </c>
      <c r="J30" s="53" t="n">
        <v>1131</v>
      </c>
      <c r="K30" s="53" t="n">
        <v>1098</v>
      </c>
      <c r="L30" s="53" t="n">
        <v>91</v>
      </c>
      <c r="M30" s="53" t="n">
        <v>3236</v>
      </c>
      <c r="N30" s="53" t="n">
        <v>124</v>
      </c>
      <c r="O30" s="53" t="n">
        <v>2160</v>
      </c>
    </row>
    <row r="31">
      <c r="A31" s="58" t="inlineStr">
        <is>
          <t>Qualifier</t>
        </is>
      </c>
      <c r="B31" s="58" t="inlineStr">
        <is>
          <t>DG Yuengling Inc</t>
        </is>
      </c>
      <c r="C31" s="58" t="inlineStr">
        <is>
          <t>Yuengling Lager</t>
        </is>
      </c>
      <c r="D31" s="53" t="n">
        <v>71859</v>
      </c>
      <c r="E31" s="53" t="n">
        <v>69013</v>
      </c>
      <c r="F31" s="55" t="n">
        <v>1526327.239999999</v>
      </c>
      <c r="G31" s="55" t="n">
        <v>1459363.12</v>
      </c>
      <c r="H31" s="55" t="n">
        <v>422083.669999999</v>
      </c>
      <c r="I31" s="55" t="n">
        <v>403216.1700000003</v>
      </c>
      <c r="J31" s="53" t="n">
        <v>959</v>
      </c>
      <c r="K31" s="53" t="n">
        <v>950</v>
      </c>
      <c r="L31" s="53" t="n">
        <v>69</v>
      </c>
      <c r="M31" s="53" t="n">
        <v>1070</v>
      </c>
      <c r="N31" s="53" t="n">
        <v>78</v>
      </c>
      <c r="O31" s="53" t="n">
        <v>694</v>
      </c>
    </row>
    <row r="32">
      <c r="A32" s="58" t="inlineStr">
        <is>
          <t>Qualifier</t>
        </is>
      </c>
      <c r="B32" s="58" t="inlineStr">
        <is>
          <t>Heineken USA</t>
        </is>
      </c>
      <c r="C32" s="58" t="inlineStr">
        <is>
          <t>Heineken USA</t>
        </is>
      </c>
      <c r="D32" s="53" t="n">
        <v>160414</v>
      </c>
      <c r="E32" s="53" t="n">
        <v>139951</v>
      </c>
      <c r="F32" s="55" t="n">
        <v>5041524.700000001</v>
      </c>
      <c r="G32" s="55" t="n">
        <v>4365929.939999999</v>
      </c>
      <c r="H32" s="55" t="n">
        <v>1235868.540000001</v>
      </c>
      <c r="I32" s="55" t="n">
        <v>1049917.53</v>
      </c>
      <c r="J32" s="53" t="n">
        <v>1104</v>
      </c>
      <c r="K32" s="53" t="n">
        <v>1080</v>
      </c>
      <c r="L32" s="53" t="n">
        <v>71</v>
      </c>
      <c r="M32" s="53" t="n">
        <v>1679</v>
      </c>
      <c r="N32" s="53" t="n">
        <v>95</v>
      </c>
      <c r="O32" s="53" t="n">
        <v>1644</v>
      </c>
    </row>
    <row r="33">
      <c r="A33" s="58" t="inlineStr">
        <is>
          <t>Qualifier</t>
        </is>
      </c>
      <c r="B33" s="58" t="inlineStr">
        <is>
          <t>Mark Anthony</t>
        </is>
      </c>
      <c r="C33" s="58" t="inlineStr">
        <is>
          <t>White Claw</t>
        </is>
      </c>
      <c r="D33" s="53" t="n">
        <v>112559</v>
      </c>
      <c r="E33" s="53" t="n">
        <v>99200</v>
      </c>
      <c r="F33" s="55" t="n">
        <v>3507669.879999999</v>
      </c>
      <c r="G33" s="55" t="n">
        <v>3181539.120000006</v>
      </c>
      <c r="H33" s="55" t="n">
        <v>717276.2899999999</v>
      </c>
      <c r="I33" s="55" t="n">
        <v>660638.9800000016</v>
      </c>
      <c r="J33" s="53" t="n">
        <v>825</v>
      </c>
      <c r="K33" s="53" t="n">
        <v>853</v>
      </c>
      <c r="L33" s="53" t="n">
        <v>112</v>
      </c>
      <c r="M33" s="53" t="n">
        <v>1449</v>
      </c>
      <c r="N33" s="53" t="n">
        <v>84</v>
      </c>
      <c r="O33" s="53" t="n">
        <v>892</v>
      </c>
    </row>
    <row r="34">
      <c r="A34" s="58" t="inlineStr">
        <is>
          <t>Qualifier</t>
        </is>
      </c>
      <c r="B34" s="58" t="inlineStr">
        <is>
          <t>MolsonCoors Beverage Company</t>
        </is>
      </c>
      <c r="C34" s="58" t="inlineStr">
        <is>
          <t>Blue Moon</t>
        </is>
      </c>
      <c r="D34" s="53" t="n">
        <v>45343</v>
      </c>
      <c r="E34" s="53" t="n">
        <v>43017</v>
      </c>
      <c r="F34" s="55" t="n">
        <v>1447847.37</v>
      </c>
      <c r="G34" s="55" t="n">
        <v>1382575.62</v>
      </c>
      <c r="H34" s="55" t="n">
        <v>390210.3000000007</v>
      </c>
      <c r="I34" s="55" t="n">
        <v>381704.700000001</v>
      </c>
      <c r="J34" s="53" t="n">
        <v>1072</v>
      </c>
      <c r="K34" s="53" t="n">
        <v>1049</v>
      </c>
      <c r="L34" s="53" t="n">
        <v>90</v>
      </c>
      <c r="M34" s="53" t="n">
        <v>1113</v>
      </c>
      <c r="N34" s="53" t="n">
        <v>113</v>
      </c>
      <c r="O34" s="53" t="n">
        <v>1098</v>
      </c>
    </row>
    <row r="35">
      <c r="A35" s="58" t="inlineStr">
        <is>
          <t>Qualifier</t>
        </is>
      </c>
      <c r="B35" s="58" t="inlineStr">
        <is>
          <t>MolsonCoors Beverage Company</t>
        </is>
      </c>
      <c r="C35" s="58" t="inlineStr">
        <is>
          <t>Coors Light</t>
        </is>
      </c>
      <c r="D35" s="53" t="n">
        <v>288554</v>
      </c>
      <c r="E35" s="53" t="n">
        <v>291086</v>
      </c>
      <c r="F35" s="55" t="n">
        <v>5941752.72</v>
      </c>
      <c r="G35" s="55" t="n">
        <v>6014704.060000001</v>
      </c>
      <c r="H35" s="55" t="n">
        <v>1480359.209999999</v>
      </c>
      <c r="I35" s="55" t="n">
        <v>1494352.000000001</v>
      </c>
      <c r="J35" s="53" t="n">
        <v>1345</v>
      </c>
      <c r="K35" s="53" t="n">
        <v>1305</v>
      </c>
      <c r="L35" s="53" t="n">
        <v>59</v>
      </c>
      <c r="M35" s="53" t="n">
        <v>2820</v>
      </c>
      <c r="N35" s="53" t="n">
        <v>99</v>
      </c>
      <c r="O35" s="53" t="n">
        <v>1997</v>
      </c>
    </row>
    <row r="36">
      <c r="A36" s="58" t="inlineStr">
        <is>
          <t>Qualifier</t>
        </is>
      </c>
      <c r="B36" s="58" t="inlineStr">
        <is>
          <t>MolsonCoors Beverage Company</t>
        </is>
      </c>
      <c r="C36" s="58" t="inlineStr">
        <is>
          <t>Lite</t>
        </is>
      </c>
      <c r="D36" s="53" t="n">
        <v>184909</v>
      </c>
      <c r="E36" s="53" t="n">
        <v>188262</v>
      </c>
      <c r="F36" s="55" t="n">
        <v>3999586.299999997</v>
      </c>
      <c r="G36" s="55" t="n">
        <v>4080313.730000001</v>
      </c>
      <c r="H36" s="55" t="n">
        <v>959196.1799999989</v>
      </c>
      <c r="I36" s="55" t="n">
        <v>970730.0399999998</v>
      </c>
      <c r="J36" s="53" t="n">
        <v>1093</v>
      </c>
      <c r="K36" s="53" t="n">
        <v>1107</v>
      </c>
      <c r="L36" s="53" t="n">
        <v>87</v>
      </c>
      <c r="M36" s="53" t="n">
        <v>4812</v>
      </c>
      <c r="N36" s="53" t="n">
        <v>73</v>
      </c>
      <c r="O36" s="53" t="n">
        <v>904</v>
      </c>
    </row>
    <row r="38">
      <c r="A38" s="2" t="inlineStr">
        <is>
          <t>Blue = from the RDE export, summed to segment × supplier × brand. The export itself is one row per rep × brand × ACCOUNT; no tab reads it at that grain, so it is summed here.</t>
        </is>
      </c>
    </row>
    <row r="39">
      <c r="A39" s="2" t="inlineStr">
        <is>
          <t>POD = a point of distribution, one account × brand that bought. New / lost are measured at that grain, and the counts are additive across brands, which is why they can live on this tab and still roll up correctly.</t>
        </is>
      </c>
    </row>
    <row r="40">
      <c r="A40" s="2" t="inlineStr">
        <is>
          <t>Account-grain analysis runs off the Data - Accounts tab instead.</t>
        </is>
      </c>
    </row>
  </sheetData>
  <autoFilter ref="A4:O3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300"/>
  <sheetViews>
    <sheetView showGridLines="0" workbookViewId="0">
      <pane ySplit="4" topLeftCell="A5" activePane="bottomLeft" state="frozen"/>
      <selection pane="bottomLeft" activeCell="A1" sqref="A1"/>
    </sheetView>
  </sheetViews>
  <sheetFormatPr baseColWidth="8" defaultRowHeight="15"/>
  <cols>
    <col width="28" customWidth="1" min="1" max="1"/>
    <col width="22" customWidth="1" min="2" max="2"/>
    <col width="11" customWidth="1" min="3" max="3"/>
    <col width="11" customWidth="1" min="4" max="4"/>
    <col width="14" customWidth="1" min="5" max="5"/>
    <col width="14" customWidth="1" min="6" max="6"/>
    <col width="13" customWidth="1" min="7" max="7"/>
    <col width="13" customWidth="1" min="8" max="8"/>
    <col width="12" customWidth="1" min="9" max="9"/>
    <col width="12" customWidth="1" min="10" max="10"/>
    <col width="12" customWidth="1" min="11" max="11"/>
    <col width="12" customWidth="1" min="12" max="12"/>
    <col width="12" customWidth="1" min="13" max="13"/>
    <col width="12" customWidth="1" min="14" max="14"/>
  </cols>
  <sheetData>
    <row r="1">
      <c r="A1" s="24" t="inlineStr">
        <is>
          <t>Source data — Control</t>
        </is>
      </c>
    </row>
    <row r="2">
      <c r="A2" s="2" t="inlineStr">
        <is>
          <t>Brands NOT in Summer of Success, 6/1–8/31 (2026 vs 2025)   ·   Source: RDE_2026_..._Brands_Not_Included_in_SoS_1.csv</t>
        </is>
      </c>
    </row>
    <row r="4" ht="32" customHeight="1">
      <c r="A4" s="6" t="inlineStr">
        <is>
          <t>Supplier</t>
        </is>
      </c>
      <c r="B4" s="6" t="inlineStr">
        <is>
          <t>Brand Family</t>
        </is>
      </c>
      <c r="C4" s="6" t="inlineStr">
        <is>
          <t>CE 2025</t>
        </is>
      </c>
      <c r="D4" s="6" t="inlineStr">
        <is>
          <t>CE 2026</t>
        </is>
      </c>
      <c r="E4" s="6" t="inlineStr">
        <is>
          <t>Revenue 2025</t>
        </is>
      </c>
      <c r="F4" s="6" t="inlineStr">
        <is>
          <t>Revenue 2026</t>
        </is>
      </c>
      <c r="G4" s="6" t="inlineStr">
        <is>
          <t>GP 2025</t>
        </is>
      </c>
      <c r="H4" s="6" t="inlineStr">
        <is>
          <t>GP 2026</t>
        </is>
      </c>
      <c r="I4" s="6" t="inlineStr">
        <is>
          <t>PODs 2025</t>
        </is>
      </c>
      <c r="J4" s="6" t="inlineStr">
        <is>
          <t>PODs 2026</t>
        </is>
      </c>
      <c r="K4" s="6" t="inlineStr">
        <is>
          <t>New PODs</t>
        </is>
      </c>
      <c r="L4" s="6" t="inlineStr">
        <is>
          <t>CE from new</t>
        </is>
      </c>
      <c r="M4" s="6" t="inlineStr">
        <is>
          <t>Lost PODs</t>
        </is>
      </c>
      <c r="N4" s="6" t="inlineStr">
        <is>
          <t>CE from lost</t>
        </is>
      </c>
    </row>
    <row r="5">
      <c r="A5" s="58" t="inlineStr">
        <is>
          <t>1925 Spirits LLC</t>
        </is>
      </c>
      <c r="B5" s="58" t="inlineStr">
        <is>
          <t>Leyenda 1925</t>
        </is>
      </c>
      <c r="C5" s="53" t="n">
        <v>0</v>
      </c>
      <c r="D5" s="53" t="n">
        <v>11</v>
      </c>
      <c r="E5" s="55" t="n">
        <v>0</v>
      </c>
      <c r="F5" s="55" t="n">
        <v>22539.14000000001</v>
      </c>
      <c r="G5" s="55" t="n">
        <v>0</v>
      </c>
      <c r="H5" s="55" t="n">
        <v>6420.159999999996</v>
      </c>
      <c r="I5" s="53" t="n">
        <v>0</v>
      </c>
      <c r="J5" s="53" t="n">
        <v>10</v>
      </c>
      <c r="K5" s="53" t="n">
        <v>10</v>
      </c>
      <c r="L5" s="53" t="n">
        <v>11</v>
      </c>
      <c r="M5" s="53" t="n">
        <v>0</v>
      </c>
      <c r="N5" s="53" t="n">
        <v>0</v>
      </c>
    </row>
    <row r="6">
      <c r="A6" s="58" t="inlineStr">
        <is>
          <t>2 Towns Ciderhouse</t>
        </is>
      </c>
      <c r="B6" s="58" t="inlineStr">
        <is>
          <t>Craftwell</t>
        </is>
      </c>
      <c r="C6" s="53" t="n">
        <v>2</v>
      </c>
      <c r="D6" s="53" t="n">
        <v>0</v>
      </c>
      <c r="E6" s="55" t="n">
        <v>164</v>
      </c>
      <c r="F6" s="55" t="n">
        <v>0</v>
      </c>
      <c r="G6" s="55" t="n">
        <v>47.26000000000001</v>
      </c>
      <c r="H6" s="55" t="n">
        <v>0</v>
      </c>
      <c r="I6" s="53" t="n">
        <v>2</v>
      </c>
      <c r="J6" s="53" t="n">
        <v>0</v>
      </c>
      <c r="K6" s="53" t="n">
        <v>0</v>
      </c>
      <c r="L6" s="53" t="n">
        <v>0</v>
      </c>
      <c r="M6" s="53" t="n">
        <v>2</v>
      </c>
      <c r="N6" s="53" t="n">
        <v>2</v>
      </c>
    </row>
    <row r="7">
      <c r="A7" s="58" t="inlineStr">
        <is>
          <t>Alias Brew Works</t>
        </is>
      </c>
      <c r="B7" s="58" t="inlineStr">
        <is>
          <t>Alias Brew Works</t>
        </is>
      </c>
      <c r="C7" s="53" t="n">
        <v>250</v>
      </c>
      <c r="D7" s="53" t="n">
        <v>0</v>
      </c>
      <c r="E7" s="55" t="n">
        <v>10532</v>
      </c>
      <c r="F7" s="55" t="n">
        <v>0</v>
      </c>
      <c r="G7" s="55" t="n">
        <v>2785.450000000001</v>
      </c>
      <c r="H7" s="55" t="n">
        <v>0</v>
      </c>
      <c r="I7" s="53" t="n">
        <v>22</v>
      </c>
      <c r="J7" s="53" t="n">
        <v>0</v>
      </c>
      <c r="K7" s="53" t="n">
        <v>0</v>
      </c>
      <c r="L7" s="53" t="n">
        <v>0</v>
      </c>
      <c r="M7" s="53" t="n">
        <v>22</v>
      </c>
      <c r="N7" s="53" t="n">
        <v>251</v>
      </c>
    </row>
    <row r="8">
      <c r="A8" s="58" t="inlineStr">
        <is>
          <t>Alte Beverage</t>
        </is>
      </c>
      <c r="B8" s="58" t="inlineStr">
        <is>
          <t>Alte Beverage</t>
        </is>
      </c>
      <c r="C8" s="53" t="n">
        <v>0</v>
      </c>
      <c r="D8" s="53" t="n">
        <v>42</v>
      </c>
      <c r="E8" s="55" t="n">
        <v>0</v>
      </c>
      <c r="F8" s="55" t="n">
        <v>3984</v>
      </c>
      <c r="G8" s="55" t="n">
        <v>0</v>
      </c>
      <c r="H8" s="55" t="n">
        <v>1470.660000000001</v>
      </c>
      <c r="I8" s="53" t="n">
        <v>0</v>
      </c>
      <c r="J8" s="53" t="n">
        <v>15</v>
      </c>
      <c r="K8" s="53" t="n">
        <v>15</v>
      </c>
      <c r="L8" s="53" t="n">
        <v>42</v>
      </c>
      <c r="M8" s="53" t="n">
        <v>0</v>
      </c>
      <c r="N8" s="53" t="n">
        <v>0</v>
      </c>
    </row>
    <row r="9">
      <c r="A9" s="58" t="inlineStr">
        <is>
          <t>American Fruits</t>
        </is>
      </c>
      <c r="B9" s="58" t="inlineStr">
        <is>
          <t>American Fruit</t>
        </is>
      </c>
      <c r="C9" s="53" t="n">
        <v>6</v>
      </c>
      <c r="D9" s="53" t="n">
        <v>5</v>
      </c>
      <c r="E9" s="55" t="n">
        <v>1590</v>
      </c>
      <c r="F9" s="55" t="n">
        <v>900</v>
      </c>
      <c r="G9" s="55" t="n">
        <v>460.88</v>
      </c>
      <c r="H9" s="55" t="n">
        <v>284.76</v>
      </c>
      <c r="I9" s="53" t="n">
        <v>4</v>
      </c>
      <c r="J9" s="53" t="n">
        <v>5</v>
      </c>
      <c r="K9" s="53" t="n">
        <v>3</v>
      </c>
      <c r="L9" s="53" t="n">
        <v>3</v>
      </c>
      <c r="M9" s="53" t="n">
        <v>2</v>
      </c>
      <c r="N9" s="53" t="n">
        <v>3</v>
      </c>
    </row>
    <row r="10">
      <c r="A10" s="58" t="inlineStr">
        <is>
          <t>Artisanal Imports</t>
        </is>
      </c>
      <c r="B10" s="58" t="inlineStr">
        <is>
          <t>Palma</t>
        </is>
      </c>
      <c r="C10" s="53" t="n">
        <v>2006</v>
      </c>
      <c r="D10" s="53" t="n">
        <v>925</v>
      </c>
      <c r="E10" s="55" t="n">
        <v>58338.32</v>
      </c>
      <c r="F10" s="55" t="n">
        <v>23888.25</v>
      </c>
      <c r="G10" s="55" t="n">
        <v>15328.33</v>
      </c>
      <c r="H10" s="55" t="n">
        <v>4364.2</v>
      </c>
      <c r="I10" s="53" t="n">
        <v>70</v>
      </c>
      <c r="J10" s="53" t="n">
        <v>45</v>
      </c>
      <c r="K10" s="53" t="n">
        <v>11</v>
      </c>
      <c r="L10" s="53" t="n">
        <v>80</v>
      </c>
      <c r="M10" s="53" t="n">
        <v>36</v>
      </c>
      <c r="N10" s="53" t="n">
        <v>531</v>
      </c>
    </row>
    <row r="11">
      <c r="A11" s="58" t="inlineStr">
        <is>
          <t>Artisanal Imports</t>
        </is>
      </c>
      <c r="B11" s="58" t="inlineStr">
        <is>
          <t>Tona</t>
        </is>
      </c>
      <c r="C11" s="53" t="n">
        <v>1465</v>
      </c>
      <c r="D11" s="53" t="n">
        <v>960</v>
      </c>
      <c r="E11" s="55" t="n">
        <v>41646</v>
      </c>
      <c r="F11" s="55" t="n">
        <v>28242</v>
      </c>
      <c r="G11" s="55" t="n">
        <v>11602.84999999999</v>
      </c>
      <c r="H11" s="55" t="n">
        <v>8420.300000000003</v>
      </c>
      <c r="I11" s="53" t="n">
        <v>75</v>
      </c>
      <c r="J11" s="53" t="n">
        <v>81</v>
      </c>
      <c r="K11" s="53" t="n">
        <v>32</v>
      </c>
      <c r="L11" s="53" t="n">
        <v>268</v>
      </c>
      <c r="M11" s="53" t="n">
        <v>26</v>
      </c>
      <c r="N11" s="53" t="n">
        <v>311</v>
      </c>
    </row>
    <row r="12">
      <c r="A12" s="58" t="inlineStr">
        <is>
          <t>Athletic Brewing Company</t>
        </is>
      </c>
      <c r="B12" s="58" t="inlineStr">
        <is>
          <t>Athletic</t>
        </is>
      </c>
      <c r="C12" s="53" t="n">
        <v>6309</v>
      </c>
      <c r="D12" s="53" t="n">
        <v>6840</v>
      </c>
      <c r="E12" s="55" t="n">
        <v>195603.7000000002</v>
      </c>
      <c r="F12" s="55" t="n">
        <v>210942.8899999999</v>
      </c>
      <c r="G12" s="55" t="n">
        <v>46975.69999999997</v>
      </c>
      <c r="H12" s="55" t="n">
        <v>50377.99000000001</v>
      </c>
      <c r="I12" s="53" t="n">
        <v>276</v>
      </c>
      <c r="J12" s="53" t="n">
        <v>300</v>
      </c>
      <c r="K12" s="53" t="n">
        <v>80</v>
      </c>
      <c r="L12" s="53" t="n">
        <v>887</v>
      </c>
      <c r="M12" s="53" t="n">
        <v>56</v>
      </c>
      <c r="N12" s="53" t="n">
        <v>426</v>
      </c>
    </row>
    <row r="13">
      <c r="A13" s="58" t="inlineStr">
        <is>
          <t>BJ'S Private Label Brew</t>
        </is>
      </c>
      <c r="B13" s="58" t="inlineStr">
        <is>
          <t>BJ'S Private Label Brewa</t>
        </is>
      </c>
      <c r="C13" s="53" t="n">
        <v>851</v>
      </c>
      <c r="D13" s="53" t="n">
        <v>904</v>
      </c>
      <c r="E13" s="55" t="n">
        <v>14704.24</v>
      </c>
      <c r="F13" s="55" t="n">
        <v>17866.83</v>
      </c>
      <c r="G13" s="55" t="n">
        <v>3273.68</v>
      </c>
      <c r="H13" s="55" t="n">
        <v>4178.699999999999</v>
      </c>
      <c r="I13" s="53" t="n">
        <v>6</v>
      </c>
      <c r="J13" s="53" t="n">
        <v>8</v>
      </c>
      <c r="K13" s="53" t="n">
        <v>4</v>
      </c>
      <c r="L13" s="53" t="n">
        <v>29</v>
      </c>
      <c r="M13" s="53" t="n">
        <v>2</v>
      </c>
      <c r="N13" s="53" t="n">
        <v>9</v>
      </c>
    </row>
    <row r="14">
      <c r="A14" s="58" t="inlineStr">
        <is>
          <t>Bardstown Bourbon Co</t>
        </is>
      </c>
      <c r="B14" s="58" t="inlineStr">
        <is>
          <t>Bardstown Bourbon</t>
        </is>
      </c>
      <c r="C14" s="53" t="n">
        <v>94</v>
      </c>
      <c r="D14" s="53" t="n">
        <v>63</v>
      </c>
      <c r="E14" s="55" t="n">
        <v>59574.9</v>
      </c>
      <c r="F14" s="55" t="n">
        <v>37875.74999999999</v>
      </c>
      <c r="G14" s="55" t="n">
        <v>17009.19</v>
      </c>
      <c r="H14" s="55" t="n">
        <v>11018.74999999999</v>
      </c>
      <c r="I14" s="53" t="n">
        <v>47</v>
      </c>
      <c r="J14" s="53" t="n">
        <v>40</v>
      </c>
      <c r="K14" s="53" t="n">
        <v>13</v>
      </c>
      <c r="L14" s="53" t="n">
        <v>19</v>
      </c>
      <c r="M14" s="53" t="n">
        <v>20</v>
      </c>
      <c r="N14" s="53" t="n">
        <v>28</v>
      </c>
    </row>
    <row r="15">
      <c r="A15" s="58" t="inlineStr">
        <is>
          <t>Bardstown Bourbon Co</t>
        </is>
      </c>
      <c r="B15" s="58" t="inlineStr">
        <is>
          <t>Bardstown Green River</t>
        </is>
      </c>
      <c r="C15" s="53" t="n">
        <v>32</v>
      </c>
      <c r="D15" s="53" t="n">
        <v>51</v>
      </c>
      <c r="E15" s="55" t="n">
        <v>16250.28</v>
      </c>
      <c r="F15" s="55" t="n">
        <v>18716.8</v>
      </c>
      <c r="G15" s="55" t="n">
        <v>4971.799999999999</v>
      </c>
      <c r="H15" s="55" t="n">
        <v>5946.059999999995</v>
      </c>
      <c r="I15" s="53" t="n">
        <v>16</v>
      </c>
      <c r="J15" s="53" t="n">
        <v>35</v>
      </c>
      <c r="K15" s="53" t="n">
        <v>25</v>
      </c>
      <c r="L15" s="53" t="n">
        <v>36</v>
      </c>
      <c r="M15" s="53" t="n">
        <v>6</v>
      </c>
      <c r="N15" s="53" t="n">
        <v>11</v>
      </c>
    </row>
    <row r="16">
      <c r="A16" s="58" t="inlineStr">
        <is>
          <t>Barn Brew Co</t>
        </is>
      </c>
      <c r="B16" s="58" t="inlineStr">
        <is>
          <t>Barn Brew</t>
        </is>
      </c>
      <c r="C16" s="53" t="n">
        <v>165</v>
      </c>
      <c r="D16" s="53" t="n">
        <v>117</v>
      </c>
      <c r="E16" s="55" t="n">
        <v>10210</v>
      </c>
      <c r="F16" s="55" t="n">
        <v>6814</v>
      </c>
      <c r="G16" s="55" t="n">
        <v>2665.440000000001</v>
      </c>
      <c r="H16" s="55" t="n">
        <v>2134.28</v>
      </c>
      <c r="I16" s="53" t="n">
        <v>36</v>
      </c>
      <c r="J16" s="53" t="n">
        <v>16</v>
      </c>
      <c r="K16" s="53" t="n">
        <v>7</v>
      </c>
      <c r="L16" s="53" t="n">
        <v>16</v>
      </c>
      <c r="M16" s="53" t="n">
        <v>27</v>
      </c>
      <c r="N16" s="53" t="n">
        <v>82</v>
      </c>
    </row>
    <row r="17">
      <c r="A17" s="58" t="inlineStr">
        <is>
          <t>Beak &amp; Skiff</t>
        </is>
      </c>
      <c r="B17" s="58" t="inlineStr">
        <is>
          <t>1911 Hard Cider</t>
        </is>
      </c>
      <c r="C17" s="53" t="n">
        <v>1967</v>
      </c>
      <c r="D17" s="53" t="n">
        <v>2332</v>
      </c>
      <c r="E17" s="55" t="n">
        <v>78175</v>
      </c>
      <c r="F17" s="55" t="n">
        <v>93525.5</v>
      </c>
      <c r="G17" s="55" t="n">
        <v>20647.31999999999</v>
      </c>
      <c r="H17" s="55" t="n">
        <v>25453.54</v>
      </c>
      <c r="I17" s="53" t="n">
        <v>148</v>
      </c>
      <c r="J17" s="53" t="n">
        <v>184</v>
      </c>
      <c r="K17" s="53" t="n">
        <v>72</v>
      </c>
      <c r="L17" s="53" t="n">
        <v>424</v>
      </c>
      <c r="M17" s="53" t="n">
        <v>36</v>
      </c>
      <c r="N17" s="53" t="n">
        <v>199</v>
      </c>
    </row>
    <row r="18">
      <c r="A18" s="58" t="inlineStr">
        <is>
          <t>Beak &amp; Skiff</t>
        </is>
      </c>
      <c r="B18" s="58" t="inlineStr">
        <is>
          <t>1911 Spirits</t>
        </is>
      </c>
      <c r="C18" s="53" t="n">
        <v>15</v>
      </c>
      <c r="D18" s="53" t="n">
        <v>6</v>
      </c>
      <c r="E18" s="55" t="n">
        <v>370</v>
      </c>
      <c r="F18" s="55" t="n">
        <v>155</v>
      </c>
      <c r="G18" s="55" t="n">
        <v>-237.58</v>
      </c>
      <c r="H18" s="55" t="n">
        <v>-98.88</v>
      </c>
      <c r="I18" s="53" t="n">
        <v>5</v>
      </c>
      <c r="J18" s="53" t="n">
        <v>2</v>
      </c>
      <c r="K18" s="53" t="n">
        <v>1</v>
      </c>
      <c r="L18" s="53" t="n">
        <v>5</v>
      </c>
      <c r="M18" s="53" t="n">
        <v>4</v>
      </c>
      <c r="N18" s="53" t="n">
        <v>15</v>
      </c>
    </row>
    <row r="19">
      <c r="A19" s="58" t="inlineStr">
        <is>
          <t>Bell's</t>
        </is>
      </c>
      <c r="B19" s="58" t="inlineStr">
        <is>
          <t>Bell's Hearted Family</t>
        </is>
      </c>
      <c r="C19" s="53" t="n">
        <v>858</v>
      </c>
      <c r="D19" s="53" t="n">
        <v>1064</v>
      </c>
      <c r="E19" s="55" t="n">
        <v>29965.7</v>
      </c>
      <c r="F19" s="55" t="n">
        <v>36959.59999999999</v>
      </c>
      <c r="G19" s="55" t="n">
        <v>9551.050000000001</v>
      </c>
      <c r="H19" s="55" t="n">
        <v>11872.13</v>
      </c>
      <c r="I19" s="53" t="n">
        <v>88</v>
      </c>
      <c r="J19" s="53" t="n">
        <v>106</v>
      </c>
      <c r="K19" s="53" t="n">
        <v>43</v>
      </c>
      <c r="L19" s="53" t="n">
        <v>316</v>
      </c>
      <c r="M19" s="53" t="n">
        <v>25</v>
      </c>
      <c r="N19" s="53" t="n">
        <v>222</v>
      </c>
    </row>
    <row r="20">
      <c r="A20" s="58" t="inlineStr">
        <is>
          <t>Bella Ray Beverage</t>
        </is>
      </c>
      <c r="B20" s="58" t="inlineStr">
        <is>
          <t>Bella Ray</t>
        </is>
      </c>
      <c r="C20" s="53" t="n">
        <v>0</v>
      </c>
      <c r="D20" s="53" t="n">
        <v>84</v>
      </c>
      <c r="E20" s="55" t="n">
        <v>0</v>
      </c>
      <c r="F20" s="55" t="n">
        <v>5491</v>
      </c>
      <c r="G20" s="55" t="n">
        <v>0</v>
      </c>
      <c r="H20" s="55" t="n">
        <v>2654.320000000001</v>
      </c>
      <c r="I20" s="53" t="n">
        <v>0</v>
      </c>
      <c r="J20" s="53" t="n">
        <v>13</v>
      </c>
      <c r="K20" s="53" t="n">
        <v>13</v>
      </c>
      <c r="L20" s="53" t="n">
        <v>84</v>
      </c>
      <c r="M20" s="53" t="n">
        <v>0</v>
      </c>
      <c r="N20" s="53" t="n">
        <v>0</v>
      </c>
    </row>
    <row r="21">
      <c r="A21" s="58" t="inlineStr">
        <is>
          <t>Blaze Life LLC</t>
        </is>
      </c>
      <c r="B21" s="58" t="inlineStr">
        <is>
          <t>Bodega Chiller</t>
        </is>
      </c>
      <c r="C21" s="53" t="n">
        <v>15</v>
      </c>
      <c r="D21" s="53" t="n">
        <v>-1</v>
      </c>
      <c r="E21" s="55" t="n">
        <v>1054</v>
      </c>
      <c r="F21" s="55" t="n">
        <v>-72</v>
      </c>
      <c r="G21" s="55" t="n">
        <v>299.9499999999999</v>
      </c>
      <c r="H21" s="55" t="n">
        <v>-21.73</v>
      </c>
      <c r="I21" s="53" t="n">
        <v>9</v>
      </c>
      <c r="J21" s="53" t="n">
        <v>0</v>
      </c>
      <c r="K21" s="53" t="n">
        <v>0</v>
      </c>
      <c r="L21" s="53" t="n">
        <v>0</v>
      </c>
      <c r="M21" s="53" t="n">
        <v>9</v>
      </c>
      <c r="N21" s="53" t="n">
        <v>15</v>
      </c>
    </row>
    <row r="22">
      <c r="A22" s="58" t="inlineStr">
        <is>
          <t>Blaze Life LLC</t>
        </is>
      </c>
      <c r="B22" s="58" t="inlineStr">
        <is>
          <t>Mota'Lada</t>
        </is>
      </c>
      <c r="C22" s="53" t="n">
        <v>6</v>
      </c>
      <c r="D22" s="53" t="n">
        <v>0</v>
      </c>
      <c r="E22" s="55" t="n">
        <v>512</v>
      </c>
      <c r="F22" s="55" t="n">
        <v>0</v>
      </c>
      <c r="G22" s="55" t="n">
        <v>155.84</v>
      </c>
      <c r="H22" s="55" t="n">
        <v>0</v>
      </c>
      <c r="I22" s="53" t="n">
        <v>6</v>
      </c>
      <c r="J22" s="53" t="n">
        <v>0</v>
      </c>
      <c r="K22" s="53" t="n">
        <v>0</v>
      </c>
      <c r="L22" s="53" t="n">
        <v>0</v>
      </c>
      <c r="M22" s="53" t="n">
        <v>6</v>
      </c>
      <c r="N22" s="53" t="n">
        <v>6</v>
      </c>
    </row>
    <row r="23">
      <c r="A23" s="58" t="inlineStr">
        <is>
          <t>Bold Rock Hard Cider</t>
        </is>
      </c>
      <c r="B23" s="58" t="inlineStr">
        <is>
          <t>Bold Rock</t>
        </is>
      </c>
      <c r="C23" s="53" t="n">
        <v>89</v>
      </c>
      <c r="D23" s="53" t="n">
        <v>65</v>
      </c>
      <c r="E23" s="55" t="n">
        <v>2615.5</v>
      </c>
      <c r="F23" s="55" t="n">
        <v>1746.5</v>
      </c>
      <c r="G23" s="55" t="n">
        <v>628.2500000000001</v>
      </c>
      <c r="H23" s="55" t="n">
        <v>386.89</v>
      </c>
      <c r="I23" s="53" t="n">
        <v>18</v>
      </c>
      <c r="J23" s="53" t="n">
        <v>12</v>
      </c>
      <c r="K23" s="53" t="n">
        <v>4</v>
      </c>
      <c r="L23" s="53" t="n">
        <v>16</v>
      </c>
      <c r="M23" s="53" t="n">
        <v>10</v>
      </c>
      <c r="N23" s="53" t="n">
        <v>33</v>
      </c>
    </row>
    <row r="24">
      <c r="A24" s="58" t="inlineStr">
        <is>
          <t>Boston Beer Company</t>
        </is>
      </c>
      <c r="B24" s="58" t="inlineStr">
        <is>
          <t>Angry Orchard</t>
        </is>
      </c>
      <c r="C24" s="53" t="n">
        <v>11163</v>
      </c>
      <c r="D24" s="53" t="n">
        <v>11402</v>
      </c>
      <c r="E24" s="55" t="n">
        <v>377644.07</v>
      </c>
      <c r="F24" s="55" t="n">
        <v>380551.96</v>
      </c>
      <c r="G24" s="55" t="n">
        <v>100028.83</v>
      </c>
      <c r="H24" s="55" t="n">
        <v>95341.32999999997</v>
      </c>
      <c r="I24" s="53" t="n">
        <v>580</v>
      </c>
      <c r="J24" s="53" t="n">
        <v>592</v>
      </c>
      <c r="K24" s="53" t="n">
        <v>91</v>
      </c>
      <c r="L24" s="53" t="n">
        <v>462</v>
      </c>
      <c r="M24" s="53" t="n">
        <v>79</v>
      </c>
      <c r="N24" s="53" t="n">
        <v>456</v>
      </c>
    </row>
    <row r="25">
      <c r="A25" s="58" t="inlineStr">
        <is>
          <t>Boston Beer Company</t>
        </is>
      </c>
      <c r="B25" s="58" t="inlineStr">
        <is>
          <t>Coney Island</t>
        </is>
      </c>
      <c r="C25" s="53" t="n">
        <v>0</v>
      </c>
      <c r="D25" s="53" t="n">
        <v>0</v>
      </c>
      <c r="E25" s="55" t="n">
        <v>0</v>
      </c>
      <c r="F25" s="55" t="n">
        <v>0</v>
      </c>
      <c r="G25" s="55" t="n">
        <v>0</v>
      </c>
      <c r="H25" s="55" t="n">
        <v>0</v>
      </c>
      <c r="I25" s="53" t="n">
        <v>0</v>
      </c>
      <c r="J25" s="53" t="n">
        <v>0</v>
      </c>
      <c r="K25" s="53" t="n">
        <v>0</v>
      </c>
      <c r="L25" s="53" t="n">
        <v>0</v>
      </c>
      <c r="M25" s="53" t="n">
        <v>0</v>
      </c>
      <c r="N25" s="53" t="n">
        <v>0</v>
      </c>
    </row>
    <row r="26">
      <c r="A26" s="58" t="inlineStr">
        <is>
          <t>Boston Beer Company</t>
        </is>
      </c>
      <c r="B26" s="58" t="inlineStr">
        <is>
          <t>Hard Mountain Dew</t>
        </is>
      </c>
      <c r="C26" s="53" t="n">
        <v>1421</v>
      </c>
      <c r="D26" s="53" t="n">
        <v>1008</v>
      </c>
      <c r="E26" s="55" t="n">
        <v>41524.46</v>
      </c>
      <c r="F26" s="55" t="n">
        <v>29695</v>
      </c>
      <c r="G26" s="55" t="n">
        <v>9944.700000000001</v>
      </c>
      <c r="H26" s="55" t="n">
        <v>7441.39</v>
      </c>
      <c r="I26" s="53" t="n">
        <v>93</v>
      </c>
      <c r="J26" s="53" t="n">
        <v>75</v>
      </c>
      <c r="K26" s="53" t="n">
        <v>16</v>
      </c>
      <c r="L26" s="53" t="n">
        <v>114</v>
      </c>
      <c r="M26" s="53" t="n">
        <v>34</v>
      </c>
      <c r="N26" s="53" t="n">
        <v>233</v>
      </c>
    </row>
    <row r="27">
      <c r="A27" s="58" t="inlineStr">
        <is>
          <t>Boston Beer Company</t>
        </is>
      </c>
      <c r="B27" s="58" t="inlineStr">
        <is>
          <t>Lytt</t>
        </is>
      </c>
      <c r="C27" s="53" t="n">
        <v>0</v>
      </c>
      <c r="D27" s="53" t="n">
        <v>385</v>
      </c>
      <c r="E27" s="55" t="n">
        <v>0</v>
      </c>
      <c r="F27" s="55" t="n">
        <v>39923.59999999998</v>
      </c>
      <c r="G27" s="55" t="n">
        <v>0</v>
      </c>
      <c r="H27" s="55" t="n">
        <v>7102.810000000002</v>
      </c>
      <c r="I27" s="53" t="n">
        <v>0</v>
      </c>
      <c r="J27" s="53" t="n">
        <v>143</v>
      </c>
      <c r="K27" s="53" t="n">
        <v>143</v>
      </c>
      <c r="L27" s="53" t="n">
        <v>385</v>
      </c>
      <c r="M27" s="53" t="n">
        <v>0</v>
      </c>
      <c r="N27" s="53" t="n">
        <v>0</v>
      </c>
    </row>
    <row r="28">
      <c r="A28" s="58" t="inlineStr">
        <is>
          <t>Boston Beer Company</t>
        </is>
      </c>
      <c r="B28" s="58" t="inlineStr">
        <is>
          <t>Samuel Adams</t>
        </is>
      </c>
      <c r="C28" s="53" t="n">
        <v>32488</v>
      </c>
      <c r="D28" s="53" t="n">
        <v>29244</v>
      </c>
      <c r="E28" s="55" t="n">
        <v>1024845.600000001</v>
      </c>
      <c r="F28" s="55" t="n">
        <v>977822.4500000007</v>
      </c>
      <c r="G28" s="55" t="n">
        <v>240619.7200000001</v>
      </c>
      <c r="H28" s="55" t="n">
        <v>275957.1600000005</v>
      </c>
      <c r="I28" s="53" t="n">
        <v>765</v>
      </c>
      <c r="J28" s="53" t="n">
        <v>747</v>
      </c>
      <c r="K28" s="53" t="n">
        <v>109</v>
      </c>
      <c r="L28" s="53" t="n">
        <v>820</v>
      </c>
      <c r="M28" s="53" t="n">
        <v>127</v>
      </c>
      <c r="N28" s="53" t="n">
        <v>1096</v>
      </c>
    </row>
    <row r="29">
      <c r="A29" s="58" t="inlineStr">
        <is>
          <t>Boston Beer Company</t>
        </is>
      </c>
      <c r="B29" s="58" t="inlineStr">
        <is>
          <t>Sinless Vodka Cocktail</t>
        </is>
      </c>
      <c r="C29" s="53" t="n">
        <v>0</v>
      </c>
      <c r="D29" s="53" t="n">
        <v>313</v>
      </c>
      <c r="E29" s="55" t="n">
        <v>0</v>
      </c>
      <c r="F29" s="55" t="n">
        <v>14729</v>
      </c>
      <c r="G29" s="55" t="n">
        <v>0</v>
      </c>
      <c r="H29" s="55" t="n">
        <v>7148.940000000002</v>
      </c>
      <c r="I29" s="53" t="n">
        <v>0</v>
      </c>
      <c r="J29" s="53" t="n">
        <v>50</v>
      </c>
      <c r="K29" s="53" t="n">
        <v>50</v>
      </c>
      <c r="L29" s="53" t="n">
        <v>327</v>
      </c>
      <c r="M29" s="53" t="n">
        <v>0</v>
      </c>
      <c r="N29" s="53" t="n">
        <v>0</v>
      </c>
    </row>
    <row r="30">
      <c r="A30" s="58" t="inlineStr">
        <is>
          <t>Boston Beer Company</t>
        </is>
      </c>
      <c r="B30" s="58" t="inlineStr">
        <is>
          <t>Sun Cruiser</t>
        </is>
      </c>
      <c r="C30" s="53" t="n">
        <v>22021</v>
      </c>
      <c r="D30" s="53" t="n">
        <v>35754</v>
      </c>
      <c r="E30" s="55" t="n">
        <v>933610.3999999998</v>
      </c>
      <c r="F30" s="55" t="n">
        <v>1447120.25</v>
      </c>
      <c r="G30" s="55" t="n">
        <v>460326.3800000004</v>
      </c>
      <c r="H30" s="55" t="n">
        <v>697508.2100000016</v>
      </c>
      <c r="I30" s="53" t="n">
        <v>460</v>
      </c>
      <c r="J30" s="53" t="n">
        <v>500</v>
      </c>
      <c r="K30" s="53" t="n">
        <v>136</v>
      </c>
      <c r="L30" s="53" t="n">
        <v>2187</v>
      </c>
      <c r="M30" s="53" t="n">
        <v>96</v>
      </c>
      <c r="N30" s="53" t="n">
        <v>778</v>
      </c>
    </row>
    <row r="31">
      <c r="A31" s="58" t="inlineStr">
        <is>
          <t>Brewt's LLC</t>
        </is>
      </c>
      <c r="B31" s="58" t="inlineStr">
        <is>
          <t>Brewt's</t>
        </is>
      </c>
      <c r="C31" s="53" t="n">
        <v>14</v>
      </c>
      <c r="D31" s="53" t="n">
        <v>4</v>
      </c>
      <c r="E31" s="55" t="n">
        <v>912</v>
      </c>
      <c r="F31" s="55" t="n">
        <v>237</v>
      </c>
      <c r="G31" s="55" t="n">
        <v>218.5</v>
      </c>
      <c r="H31" s="55" t="n">
        <v>54.5</v>
      </c>
      <c r="I31" s="53" t="n">
        <v>9</v>
      </c>
      <c r="J31" s="53" t="n">
        <v>4</v>
      </c>
      <c r="K31" s="53" t="n">
        <v>3</v>
      </c>
      <c r="L31" s="53" t="n">
        <v>3</v>
      </c>
      <c r="M31" s="53" t="n">
        <v>8</v>
      </c>
      <c r="N31" s="53" t="n">
        <v>13</v>
      </c>
    </row>
    <row r="32">
      <c r="A32" s="58" t="inlineStr">
        <is>
          <t>Buzbee's Beverages USA LLC</t>
        </is>
      </c>
      <c r="B32" s="58" t="inlineStr">
        <is>
          <t>Buzbee's</t>
        </is>
      </c>
      <c r="C32" s="53" t="n">
        <v>8</v>
      </c>
      <c r="D32" s="53" t="n">
        <v>1</v>
      </c>
      <c r="E32" s="55" t="n">
        <v>297</v>
      </c>
      <c r="F32" s="55" t="n">
        <v>28.5</v>
      </c>
      <c r="G32" s="55" t="n">
        <v>77</v>
      </c>
      <c r="H32" s="55" t="n">
        <v>8.5</v>
      </c>
      <c r="I32" s="53" t="n">
        <v>6</v>
      </c>
      <c r="J32" s="53" t="n">
        <v>1</v>
      </c>
      <c r="K32" s="53" t="n">
        <v>0</v>
      </c>
      <c r="L32" s="53" t="n">
        <v>0</v>
      </c>
      <c r="M32" s="53" t="n">
        <v>5</v>
      </c>
      <c r="N32" s="53" t="n">
        <v>7</v>
      </c>
    </row>
    <row r="33">
      <c r="A33" s="58" t="inlineStr">
        <is>
          <t>Caravella Inc</t>
        </is>
      </c>
      <c r="B33" s="58" t="inlineStr">
        <is>
          <t>2 Canos</t>
        </is>
      </c>
      <c r="C33" s="53" t="n">
        <v>11</v>
      </c>
      <c r="D33" s="53" t="n">
        <v>5</v>
      </c>
      <c r="E33" s="55" t="n">
        <v>711.4000000000001</v>
      </c>
      <c r="F33" s="55" t="n">
        <v>294.5</v>
      </c>
      <c r="G33" s="55" t="n">
        <v>-41.98</v>
      </c>
      <c r="H33" s="55" t="n">
        <v>-51.9</v>
      </c>
      <c r="I33" s="53" t="n">
        <v>4</v>
      </c>
      <c r="J33" s="53" t="n">
        <v>4</v>
      </c>
      <c r="K33" s="53" t="n">
        <v>3</v>
      </c>
      <c r="L33" s="53" t="n">
        <v>3</v>
      </c>
      <c r="M33" s="53" t="n">
        <v>3</v>
      </c>
      <c r="N33" s="53" t="n">
        <v>8</v>
      </c>
    </row>
    <row r="34">
      <c r="A34" s="58" t="inlineStr">
        <is>
          <t>Caravella Inc</t>
        </is>
      </c>
      <c r="B34" s="58" t="inlineStr">
        <is>
          <t>Caravella</t>
        </is>
      </c>
      <c r="C34" s="53" t="n">
        <v>125</v>
      </c>
      <c r="D34" s="53" t="n">
        <v>42</v>
      </c>
      <c r="E34" s="55" t="n">
        <v>4310.200000000001</v>
      </c>
      <c r="F34" s="55" t="n">
        <v>1440.5</v>
      </c>
      <c r="G34" s="55" t="n">
        <v>282.2</v>
      </c>
      <c r="H34" s="55" t="n">
        <v>65.84</v>
      </c>
      <c r="I34" s="53" t="n">
        <v>24</v>
      </c>
      <c r="J34" s="53" t="n">
        <v>8</v>
      </c>
      <c r="K34" s="53" t="n">
        <v>1</v>
      </c>
      <c r="L34" s="53" t="n">
        <v>2</v>
      </c>
      <c r="M34" s="53" t="n">
        <v>17</v>
      </c>
      <c r="N34" s="53" t="n">
        <v>49</v>
      </c>
    </row>
    <row r="35">
      <c r="A35" s="58" t="inlineStr">
        <is>
          <t>Caravella Inc</t>
        </is>
      </c>
      <c r="B35" s="58" t="inlineStr">
        <is>
          <t>Dancing Vines</t>
        </is>
      </c>
      <c r="C35" s="53" t="n">
        <v>4</v>
      </c>
      <c r="D35" s="53" t="n">
        <v>6</v>
      </c>
      <c r="E35" s="55" t="n">
        <v>336</v>
      </c>
      <c r="F35" s="55" t="n">
        <v>760</v>
      </c>
      <c r="G35" s="55" t="n">
        <v>-72.31999999999999</v>
      </c>
      <c r="H35" s="55" t="n">
        <v>147.52</v>
      </c>
      <c r="I35" s="53" t="n">
        <v>2</v>
      </c>
      <c r="J35" s="53" t="n">
        <v>4</v>
      </c>
      <c r="K35" s="53" t="n">
        <v>3</v>
      </c>
      <c r="L35" s="53" t="n">
        <v>5</v>
      </c>
      <c r="M35" s="53" t="n">
        <v>1</v>
      </c>
      <c r="N35" s="53" t="n">
        <v>2</v>
      </c>
    </row>
    <row r="36">
      <c r="A36" s="58" t="inlineStr">
        <is>
          <t>Caravella Inc</t>
        </is>
      </c>
      <c r="B36" s="58" t="inlineStr">
        <is>
          <t>Poca Loca</t>
        </is>
      </c>
      <c r="C36" s="53" t="n">
        <v>11</v>
      </c>
      <c r="D36" s="53" t="n">
        <v>36</v>
      </c>
      <c r="E36" s="55" t="n">
        <v>619.2</v>
      </c>
      <c r="F36" s="55" t="n">
        <v>1855.2</v>
      </c>
      <c r="G36" s="55" t="n">
        <v>145.28</v>
      </c>
      <c r="H36" s="55" t="n">
        <v>304.23</v>
      </c>
      <c r="I36" s="53" t="n">
        <v>5</v>
      </c>
      <c r="J36" s="53" t="n">
        <v>17</v>
      </c>
      <c r="K36" s="53" t="n">
        <v>17</v>
      </c>
      <c r="L36" s="53" t="n">
        <v>36</v>
      </c>
      <c r="M36" s="53" t="n">
        <v>5</v>
      </c>
      <c r="N36" s="53" t="n">
        <v>13</v>
      </c>
    </row>
    <row r="37">
      <c r="A37" s="58" t="inlineStr">
        <is>
          <t>Cavalier Ventures, LLC</t>
        </is>
      </c>
      <c r="B37" s="58" t="inlineStr">
        <is>
          <t>Coastal Cocktails</t>
        </is>
      </c>
      <c r="C37" s="53" t="n">
        <v>378</v>
      </c>
      <c r="D37" s="53" t="n">
        <v>388</v>
      </c>
      <c r="E37" s="55" t="n">
        <v>20806.75</v>
      </c>
      <c r="F37" s="55" t="n">
        <v>21591.90000000001</v>
      </c>
      <c r="G37" s="55" t="n">
        <v>8813.1</v>
      </c>
      <c r="H37" s="55" t="n">
        <v>8647.349999999999</v>
      </c>
      <c r="I37" s="53" t="n">
        <v>76</v>
      </c>
      <c r="J37" s="53" t="n">
        <v>49</v>
      </c>
      <c r="K37" s="53" t="n">
        <v>33</v>
      </c>
      <c r="L37" s="53" t="n">
        <v>270</v>
      </c>
      <c r="M37" s="53" t="n">
        <v>60</v>
      </c>
      <c r="N37" s="53" t="n">
        <v>262</v>
      </c>
    </row>
    <row r="38">
      <c r="A38" s="58" t="inlineStr">
        <is>
          <t>Cerveceria La Tropical</t>
        </is>
      </c>
      <c r="B38" s="58" t="inlineStr">
        <is>
          <t>La Tropical</t>
        </is>
      </c>
      <c r="C38" s="53" t="n">
        <v>48</v>
      </c>
      <c r="D38" s="53" t="n">
        <v>0</v>
      </c>
      <c r="E38" s="55" t="n">
        <v>1212.5</v>
      </c>
      <c r="F38" s="55" t="n">
        <v>0</v>
      </c>
      <c r="G38" s="55" t="n">
        <v>143.54</v>
      </c>
      <c r="H38" s="55" t="n">
        <v>0</v>
      </c>
      <c r="I38" s="53" t="n">
        <v>11</v>
      </c>
      <c r="J38" s="53" t="n">
        <v>0</v>
      </c>
      <c r="K38" s="53" t="n">
        <v>0</v>
      </c>
      <c r="L38" s="53" t="n">
        <v>0</v>
      </c>
      <c r="M38" s="53" t="n">
        <v>11</v>
      </c>
      <c r="N38" s="53" t="n">
        <v>58</v>
      </c>
    </row>
    <row r="39">
      <c r="A39" s="58" t="inlineStr">
        <is>
          <t>Chateau Diana Winery</t>
        </is>
      </c>
      <c r="B39" s="58" t="inlineStr">
        <is>
          <t>Chateau Diana</t>
        </is>
      </c>
      <c r="C39" s="53" t="n">
        <v>0</v>
      </c>
      <c r="D39" s="53" t="n">
        <v>30</v>
      </c>
      <c r="E39" s="55" t="n">
        <v>0</v>
      </c>
      <c r="F39" s="55" t="n">
        <v>2370</v>
      </c>
      <c r="G39" s="55" t="n">
        <v>0</v>
      </c>
      <c r="H39" s="55" t="n">
        <v>597.6</v>
      </c>
      <c r="I39" s="53" t="n">
        <v>0</v>
      </c>
      <c r="J39" s="53" t="n">
        <v>20</v>
      </c>
      <c r="K39" s="53" t="n">
        <v>20</v>
      </c>
      <c r="L39" s="53" t="n">
        <v>36</v>
      </c>
      <c r="M39" s="53" t="n">
        <v>0</v>
      </c>
      <c r="N39" s="53" t="n">
        <v>0</v>
      </c>
    </row>
    <row r="40">
      <c r="A40" s="58" t="inlineStr">
        <is>
          <t>Citizen Cider</t>
        </is>
      </c>
      <c r="B40" s="58" t="inlineStr">
        <is>
          <t>Citizen Cider</t>
        </is>
      </c>
      <c r="C40" s="53" t="n">
        <v>152</v>
      </c>
      <c r="D40" s="53" t="n">
        <v>0</v>
      </c>
      <c r="E40" s="55" t="n">
        <v>7137</v>
      </c>
      <c r="F40" s="55" t="n">
        <v>0</v>
      </c>
      <c r="G40" s="55" t="n">
        <v>2205.06</v>
      </c>
      <c r="H40" s="55" t="n">
        <v>0</v>
      </c>
      <c r="I40" s="53" t="n">
        <v>24</v>
      </c>
      <c r="J40" s="53" t="n">
        <v>0</v>
      </c>
      <c r="K40" s="53" t="n">
        <v>0</v>
      </c>
      <c r="L40" s="53" t="n">
        <v>0</v>
      </c>
      <c r="M40" s="53" t="n">
        <v>24</v>
      </c>
      <c r="N40" s="53" t="n">
        <v>153</v>
      </c>
    </row>
    <row r="41">
      <c r="A41" s="58" t="inlineStr">
        <is>
          <t>Constellation Brands</t>
        </is>
      </c>
      <c r="B41" s="58" t="inlineStr">
        <is>
          <t>Corona Familiar</t>
        </is>
      </c>
      <c r="C41" s="53" t="n">
        <v>10549</v>
      </c>
      <c r="D41" s="53" t="n">
        <v>11142</v>
      </c>
      <c r="E41" s="55" t="n">
        <v>305790.1899999999</v>
      </c>
      <c r="F41" s="55" t="n">
        <v>322536.1999999998</v>
      </c>
      <c r="G41" s="55" t="n">
        <v>79887.32000000001</v>
      </c>
      <c r="H41" s="55" t="n">
        <v>86664.79000000012</v>
      </c>
      <c r="I41" s="53" t="n">
        <v>314</v>
      </c>
      <c r="J41" s="53" t="n">
        <v>338</v>
      </c>
      <c r="K41" s="53" t="n">
        <v>48</v>
      </c>
      <c r="L41" s="53" t="n">
        <v>400</v>
      </c>
      <c r="M41" s="53" t="n">
        <v>24</v>
      </c>
      <c r="N41" s="53" t="n">
        <v>165</v>
      </c>
    </row>
    <row r="42">
      <c r="A42" s="58" t="inlineStr">
        <is>
          <t>Constellation Brands</t>
        </is>
      </c>
      <c r="B42" s="58" t="inlineStr">
        <is>
          <t>Corona Light</t>
        </is>
      </c>
      <c r="C42" s="53" t="n">
        <v>18935</v>
      </c>
      <c r="D42" s="53" t="n">
        <v>17856</v>
      </c>
      <c r="E42" s="55" t="n">
        <v>594408.3199999997</v>
      </c>
      <c r="F42" s="55" t="n">
        <v>559908.23</v>
      </c>
      <c r="G42" s="55" t="n">
        <v>131053.36</v>
      </c>
      <c r="H42" s="55" t="n">
        <v>131328.3700000002</v>
      </c>
      <c r="I42" s="53" t="n">
        <v>672</v>
      </c>
      <c r="J42" s="53" t="n">
        <v>642</v>
      </c>
      <c r="K42" s="53" t="n">
        <v>82</v>
      </c>
      <c r="L42" s="53" t="n">
        <v>487</v>
      </c>
      <c r="M42" s="53" t="n">
        <v>112</v>
      </c>
      <c r="N42" s="53" t="n">
        <v>735</v>
      </c>
    </row>
    <row r="43">
      <c r="A43" s="58" t="inlineStr">
        <is>
          <t>Constellation Brands</t>
        </is>
      </c>
      <c r="B43" s="58" t="inlineStr">
        <is>
          <t>Corona NA</t>
        </is>
      </c>
      <c r="C43" s="53" t="n">
        <v>2804</v>
      </c>
      <c r="D43" s="53" t="n">
        <v>3291</v>
      </c>
      <c r="E43" s="55" t="n">
        <v>87648.27</v>
      </c>
      <c r="F43" s="55" t="n">
        <v>102768.19</v>
      </c>
      <c r="G43" s="55" t="n">
        <v>20744.83000000002</v>
      </c>
      <c r="H43" s="55" t="n">
        <v>24244.92999999998</v>
      </c>
      <c r="I43" s="53" t="n">
        <v>311</v>
      </c>
      <c r="J43" s="53" t="n">
        <v>363</v>
      </c>
      <c r="K43" s="53" t="n">
        <v>107</v>
      </c>
      <c r="L43" s="53" t="n">
        <v>544</v>
      </c>
      <c r="M43" s="53" t="n">
        <v>55</v>
      </c>
      <c r="N43" s="53" t="n">
        <v>215</v>
      </c>
    </row>
    <row r="44">
      <c r="A44" s="58" t="inlineStr">
        <is>
          <t>Constellation Brands</t>
        </is>
      </c>
      <c r="B44" s="58" t="inlineStr">
        <is>
          <t>Corona Refresca</t>
        </is>
      </c>
      <c r="C44" s="53" t="n">
        <v>216</v>
      </c>
      <c r="D44" s="53" t="n">
        <v>0</v>
      </c>
      <c r="E44" s="55" t="n">
        <v>6611.190000000001</v>
      </c>
      <c r="F44" s="55" t="n">
        <v>0</v>
      </c>
      <c r="G44" s="55" t="n">
        <v>1399.92</v>
      </c>
      <c r="H44" s="55" t="n">
        <v>0</v>
      </c>
      <c r="I44" s="53" t="n">
        <v>50</v>
      </c>
      <c r="J44" s="53" t="n">
        <v>0</v>
      </c>
      <c r="K44" s="53" t="n">
        <v>0</v>
      </c>
      <c r="L44" s="53" t="n">
        <v>0</v>
      </c>
      <c r="M44" s="53" t="n">
        <v>50</v>
      </c>
      <c r="N44" s="53" t="n">
        <v>226</v>
      </c>
    </row>
    <row r="45">
      <c r="A45" s="58" t="inlineStr">
        <is>
          <t>Constellation Brands</t>
        </is>
      </c>
      <c r="B45" s="58" t="inlineStr">
        <is>
          <t>Corona Sunbrew</t>
        </is>
      </c>
      <c r="C45" s="53" t="n">
        <v>3904</v>
      </c>
      <c r="D45" s="53" t="n">
        <v>3871</v>
      </c>
      <c r="E45" s="55" t="n">
        <v>120936.5000000001</v>
      </c>
      <c r="F45" s="55" t="n">
        <v>119790.18</v>
      </c>
      <c r="G45" s="55" t="n">
        <v>27078.21</v>
      </c>
      <c r="H45" s="55" t="n">
        <v>26675.97</v>
      </c>
      <c r="I45" s="53" t="n">
        <v>283</v>
      </c>
      <c r="J45" s="53" t="n">
        <v>288</v>
      </c>
      <c r="K45" s="53" t="n">
        <v>61</v>
      </c>
      <c r="L45" s="53" t="n">
        <v>278</v>
      </c>
      <c r="M45" s="53" t="n">
        <v>56</v>
      </c>
      <c r="N45" s="53" t="n">
        <v>329</v>
      </c>
    </row>
    <row r="46">
      <c r="A46" s="58" t="inlineStr">
        <is>
          <t>Constellation Brands</t>
        </is>
      </c>
      <c r="B46" s="58" t="inlineStr">
        <is>
          <t>Modelo Aquas Frescas</t>
        </is>
      </c>
      <c r="C46" s="53" t="n">
        <v>888</v>
      </c>
      <c r="D46" s="53" t="n">
        <v>261</v>
      </c>
      <c r="E46" s="55" t="n">
        <v>27189.24999999999</v>
      </c>
      <c r="F46" s="55" t="n">
        <v>8112.5</v>
      </c>
      <c r="G46" s="55" t="n">
        <v>5895.77</v>
      </c>
      <c r="H46" s="55" t="n">
        <v>1814.57</v>
      </c>
      <c r="I46" s="53" t="n">
        <v>114</v>
      </c>
      <c r="J46" s="53" t="n">
        <v>45</v>
      </c>
      <c r="K46" s="53" t="n">
        <v>15</v>
      </c>
      <c r="L46" s="53" t="n">
        <v>62</v>
      </c>
      <c r="M46" s="53" t="n">
        <v>84</v>
      </c>
      <c r="N46" s="53" t="n">
        <v>560</v>
      </c>
    </row>
    <row r="47">
      <c r="A47" s="58" t="inlineStr">
        <is>
          <t>Constellation Brands</t>
        </is>
      </c>
      <c r="B47" s="58" t="inlineStr">
        <is>
          <t>Modelo Negra</t>
        </is>
      </c>
      <c r="C47" s="53" t="n">
        <v>7286</v>
      </c>
      <c r="D47" s="53" t="n">
        <v>7860</v>
      </c>
      <c r="E47" s="55" t="n">
        <v>229727.3999999999</v>
      </c>
      <c r="F47" s="55" t="n">
        <v>246502.5</v>
      </c>
      <c r="G47" s="55" t="n">
        <v>53835.11999999997</v>
      </c>
      <c r="H47" s="55" t="n">
        <v>58219.73999999999</v>
      </c>
      <c r="I47" s="53" t="n">
        <v>522</v>
      </c>
      <c r="J47" s="53" t="n">
        <v>525</v>
      </c>
      <c r="K47" s="53" t="n">
        <v>60</v>
      </c>
      <c r="L47" s="53" t="n">
        <v>310</v>
      </c>
      <c r="M47" s="53" t="n">
        <v>57</v>
      </c>
      <c r="N47" s="53" t="n">
        <v>268</v>
      </c>
    </row>
    <row r="48">
      <c r="A48" s="58" t="inlineStr">
        <is>
          <t>Constellation Brands</t>
        </is>
      </c>
      <c r="B48" s="58" t="inlineStr">
        <is>
          <t>Modelo Oro</t>
        </is>
      </c>
      <c r="C48" s="53" t="n">
        <v>2032</v>
      </c>
      <c r="D48" s="53" t="n">
        <v>1335</v>
      </c>
      <c r="E48" s="55" t="n">
        <v>53754.79999999999</v>
      </c>
      <c r="F48" s="55" t="n">
        <v>35049.25999999998</v>
      </c>
      <c r="G48" s="55" t="n">
        <v>10662.24</v>
      </c>
      <c r="H48" s="55" t="n">
        <v>8528.609999999997</v>
      </c>
      <c r="I48" s="53" t="n">
        <v>184</v>
      </c>
      <c r="J48" s="53" t="n">
        <v>132</v>
      </c>
      <c r="K48" s="53" t="n">
        <v>21</v>
      </c>
      <c r="L48" s="53" t="n">
        <v>83</v>
      </c>
      <c r="M48" s="53" t="n">
        <v>73</v>
      </c>
      <c r="N48" s="53" t="n">
        <v>442</v>
      </c>
    </row>
    <row r="49">
      <c r="A49" s="58" t="inlineStr">
        <is>
          <t>Constellation Brands</t>
        </is>
      </c>
      <c r="B49" s="58" t="inlineStr">
        <is>
          <t>The Drop</t>
        </is>
      </c>
      <c r="C49" s="53" t="n">
        <v>192</v>
      </c>
      <c r="D49" s="53" t="n">
        <v>0</v>
      </c>
      <c r="E49" s="55" t="n">
        <v>7762</v>
      </c>
      <c r="F49" s="55" t="n">
        <v>0</v>
      </c>
      <c r="G49" s="55" t="n">
        <v>2314.3</v>
      </c>
      <c r="H49" s="55" t="n">
        <v>0</v>
      </c>
      <c r="I49" s="53" t="n">
        <v>35</v>
      </c>
      <c r="J49" s="53" t="n">
        <v>0</v>
      </c>
      <c r="K49" s="53" t="n">
        <v>0</v>
      </c>
      <c r="L49" s="53" t="n">
        <v>0</v>
      </c>
      <c r="M49" s="53" t="n">
        <v>35</v>
      </c>
      <c r="N49" s="53" t="n">
        <v>195</v>
      </c>
    </row>
    <row r="50">
      <c r="A50" s="58" t="inlineStr">
        <is>
          <t>Crescent Canna</t>
        </is>
      </c>
      <c r="B50" s="58" t="inlineStr">
        <is>
          <t>Crescent 9</t>
        </is>
      </c>
      <c r="C50" s="53" t="n">
        <v>325</v>
      </c>
      <c r="D50" s="53" t="n">
        <v>264</v>
      </c>
      <c r="E50" s="55" t="n">
        <v>18988</v>
      </c>
      <c r="F50" s="55" t="n">
        <v>17047</v>
      </c>
      <c r="G50" s="55" t="n">
        <v>5972.789999999995</v>
      </c>
      <c r="H50" s="55" t="n">
        <v>6653.719999999998</v>
      </c>
      <c r="I50" s="53" t="n">
        <v>81</v>
      </c>
      <c r="J50" s="53" t="n">
        <v>39</v>
      </c>
      <c r="K50" s="53" t="n">
        <v>26</v>
      </c>
      <c r="L50" s="53" t="n">
        <v>171</v>
      </c>
      <c r="M50" s="53" t="n">
        <v>68</v>
      </c>
      <c r="N50" s="53" t="n">
        <v>232</v>
      </c>
    </row>
    <row r="51">
      <c r="A51" s="58" t="inlineStr">
        <is>
          <t>Cricket Hill</t>
        </is>
      </c>
      <c r="B51" s="58" t="inlineStr">
        <is>
          <t>Cricket Hill</t>
        </is>
      </c>
      <c r="C51" s="53" t="n">
        <v>196</v>
      </c>
      <c r="D51" s="53" t="n">
        <v>0</v>
      </c>
      <c r="E51" s="55" t="n">
        <v>7345.63</v>
      </c>
      <c r="F51" s="55" t="n">
        <v>0</v>
      </c>
      <c r="G51" s="55" t="n">
        <v>1928.04</v>
      </c>
      <c r="H51" s="55" t="n">
        <v>0</v>
      </c>
      <c r="I51" s="53" t="n">
        <v>14</v>
      </c>
      <c r="J51" s="53" t="n">
        <v>0</v>
      </c>
      <c r="K51" s="53" t="n">
        <v>0</v>
      </c>
      <c r="L51" s="53" t="n">
        <v>0</v>
      </c>
      <c r="M51" s="53" t="n">
        <v>14</v>
      </c>
      <c r="N51" s="53" t="n">
        <v>198</v>
      </c>
    </row>
    <row r="52">
      <c r="A52" s="58" t="inlineStr">
        <is>
          <t>Crook &amp; Marker</t>
        </is>
      </c>
      <c r="B52" s="58" t="inlineStr">
        <is>
          <t>Crook&amp;Marker</t>
        </is>
      </c>
      <c r="C52" s="53" t="n">
        <v>30</v>
      </c>
      <c r="D52" s="53" t="n">
        <v>-1</v>
      </c>
      <c r="E52" s="55" t="n">
        <v>1223.7</v>
      </c>
      <c r="F52" s="55" t="n">
        <v>-38.5</v>
      </c>
      <c r="G52" s="55" t="n">
        <v>265.58</v>
      </c>
      <c r="H52" s="55" t="n">
        <v>-8.789999999999999</v>
      </c>
      <c r="I52" s="53" t="n">
        <v>10</v>
      </c>
      <c r="J52" s="53" t="n">
        <v>0</v>
      </c>
      <c r="K52" s="53" t="n">
        <v>0</v>
      </c>
      <c r="L52" s="53" t="n">
        <v>0</v>
      </c>
      <c r="M52" s="53" t="n">
        <v>10</v>
      </c>
      <c r="N52" s="53" t="n">
        <v>55</v>
      </c>
    </row>
    <row r="53">
      <c r="A53" s="58" t="inlineStr">
        <is>
          <t>Crook &amp; Marker</t>
        </is>
      </c>
      <c r="B53" s="58" t="inlineStr">
        <is>
          <t>Crooked Tea</t>
        </is>
      </c>
      <c r="C53" s="53" t="n">
        <v>416</v>
      </c>
      <c r="D53" s="53" t="n">
        <v>-10</v>
      </c>
      <c r="E53" s="55" t="n">
        <v>15748.6</v>
      </c>
      <c r="F53" s="55" t="n">
        <v>-367</v>
      </c>
      <c r="G53" s="55" t="n">
        <v>3033.3</v>
      </c>
      <c r="H53" s="55" t="n">
        <v>-69.91</v>
      </c>
      <c r="I53" s="53" t="n">
        <v>40</v>
      </c>
      <c r="J53" s="53" t="n">
        <v>0</v>
      </c>
      <c r="K53" s="53" t="n">
        <v>0</v>
      </c>
      <c r="L53" s="53" t="n">
        <v>0</v>
      </c>
      <c r="M53" s="53" t="n">
        <v>40</v>
      </c>
      <c r="N53" s="53" t="n">
        <v>442</v>
      </c>
    </row>
    <row r="54">
      <c r="A54" s="58" t="inlineStr">
        <is>
          <t>Cruz Beverage</t>
        </is>
      </c>
      <c r="B54" s="58" t="inlineStr">
        <is>
          <t>YaVe Tequila</t>
        </is>
      </c>
      <c r="C54" s="53" t="n">
        <v>0</v>
      </c>
      <c r="D54" s="53" t="n">
        <v>13</v>
      </c>
      <c r="E54" s="55" t="n">
        <v>0</v>
      </c>
      <c r="F54" s="55" t="n">
        <v>5976</v>
      </c>
      <c r="G54" s="55" t="n">
        <v>0</v>
      </c>
      <c r="H54" s="55" t="n">
        <v>981.9300000000002</v>
      </c>
      <c r="I54" s="53" t="n">
        <v>0</v>
      </c>
      <c r="J54" s="53" t="n">
        <v>8</v>
      </c>
      <c r="K54" s="53" t="n">
        <v>8</v>
      </c>
      <c r="L54" s="53" t="n">
        <v>13</v>
      </c>
      <c r="M54" s="53" t="n">
        <v>0</v>
      </c>
      <c r="N54" s="53" t="n">
        <v>0</v>
      </c>
    </row>
    <row r="55">
      <c r="A55" s="58" t="inlineStr">
        <is>
          <t>DG Yuengling Inc</t>
        </is>
      </c>
      <c r="B55" s="58" t="inlineStr">
        <is>
          <t>Dg Yuengling Inc</t>
        </is>
      </c>
      <c r="C55" s="53" t="n">
        <v>68</v>
      </c>
      <c r="D55" s="53" t="n">
        <v>-15</v>
      </c>
      <c r="E55" s="55" t="n">
        <v>1739.4</v>
      </c>
      <c r="F55" s="55" t="n">
        <v>-383.25</v>
      </c>
      <c r="G55" s="55" t="n">
        <v>490.65</v>
      </c>
      <c r="H55" s="55" t="n">
        <v>-107.51</v>
      </c>
      <c r="I55" s="53" t="n">
        <v>12</v>
      </c>
      <c r="J55" s="53" t="n">
        <v>0</v>
      </c>
      <c r="K55" s="53" t="n">
        <v>0</v>
      </c>
      <c r="L55" s="53" t="n">
        <v>0</v>
      </c>
      <c r="M55" s="53" t="n">
        <v>12</v>
      </c>
      <c r="N55" s="53" t="n">
        <v>68</v>
      </c>
    </row>
    <row r="56">
      <c r="A56" s="58" t="inlineStr">
        <is>
          <t>DG Yuengling Inc</t>
        </is>
      </c>
      <c r="B56" s="58" t="inlineStr">
        <is>
          <t>Yuengling Black &amp; Tan</t>
        </is>
      </c>
      <c r="C56" s="53" t="n">
        <v>1619</v>
      </c>
      <c r="D56" s="53" t="n">
        <v>1461</v>
      </c>
      <c r="E56" s="55" t="n">
        <v>41476.11000000002</v>
      </c>
      <c r="F56" s="55" t="n">
        <v>37464.78000000001</v>
      </c>
      <c r="G56" s="55" t="n">
        <v>12137.76000000001</v>
      </c>
      <c r="H56" s="55" t="n">
        <v>11050.36</v>
      </c>
      <c r="I56" s="53" t="n">
        <v>177</v>
      </c>
      <c r="J56" s="53" t="n">
        <v>178</v>
      </c>
      <c r="K56" s="53" t="n">
        <v>28</v>
      </c>
      <c r="L56" s="53" t="n">
        <v>69</v>
      </c>
      <c r="M56" s="53" t="n">
        <v>27</v>
      </c>
      <c r="N56" s="53" t="n">
        <v>100</v>
      </c>
    </row>
    <row r="57">
      <c r="A57" s="58" t="inlineStr">
        <is>
          <t>DG Yuengling Inc</t>
        </is>
      </c>
      <c r="B57" s="58" t="inlineStr">
        <is>
          <t>Yuengling Golden Pilsner</t>
        </is>
      </c>
      <c r="C57" s="53" t="n">
        <v>842</v>
      </c>
      <c r="D57" s="53" t="n">
        <v>539</v>
      </c>
      <c r="E57" s="55" t="n">
        <v>21643.2</v>
      </c>
      <c r="F57" s="55" t="n">
        <v>14039.93</v>
      </c>
      <c r="G57" s="55" t="n">
        <v>6455.409999999998</v>
      </c>
      <c r="H57" s="55" t="n">
        <v>4163.91</v>
      </c>
      <c r="I57" s="53" t="n">
        <v>121</v>
      </c>
      <c r="J57" s="53" t="n">
        <v>117</v>
      </c>
      <c r="K57" s="53" t="n">
        <v>19</v>
      </c>
      <c r="L57" s="53" t="n">
        <v>34</v>
      </c>
      <c r="M57" s="53" t="n">
        <v>23</v>
      </c>
      <c r="N57" s="53" t="n">
        <v>89</v>
      </c>
    </row>
    <row r="58">
      <c r="A58" s="58" t="inlineStr">
        <is>
          <t>DG Yuengling Inc</t>
        </is>
      </c>
      <c r="B58" s="58" t="inlineStr">
        <is>
          <t>Yuengling Oktoberfest</t>
        </is>
      </c>
      <c r="C58" s="53" t="n">
        <v>811</v>
      </c>
      <c r="D58" s="53" t="n">
        <v>1191</v>
      </c>
      <c r="E58" s="55" t="n">
        <v>20710.3</v>
      </c>
      <c r="F58" s="55" t="n">
        <v>32369.19</v>
      </c>
      <c r="G58" s="55" t="n">
        <v>5840.699999999996</v>
      </c>
      <c r="H58" s="55" t="n">
        <v>9497.280000000002</v>
      </c>
      <c r="I58" s="53" t="n">
        <v>62</v>
      </c>
      <c r="J58" s="53" t="n">
        <v>90</v>
      </c>
      <c r="K58" s="53" t="n">
        <v>40</v>
      </c>
      <c r="L58" s="53" t="n">
        <v>241</v>
      </c>
      <c r="M58" s="53" t="n">
        <v>12</v>
      </c>
      <c r="N58" s="53" t="n">
        <v>86</v>
      </c>
    </row>
    <row r="59">
      <c r="A59" s="58" t="inlineStr">
        <is>
          <t>DG Yuengling Inc</t>
        </is>
      </c>
      <c r="B59" s="58" t="inlineStr">
        <is>
          <t>Yuengling Premium</t>
        </is>
      </c>
      <c r="C59" s="53" t="n">
        <v>1109</v>
      </c>
      <c r="D59" s="53" t="n">
        <v>1022</v>
      </c>
      <c r="E59" s="55" t="n">
        <v>16589.2</v>
      </c>
      <c r="F59" s="55" t="n">
        <v>15283.9</v>
      </c>
      <c r="G59" s="55" t="n">
        <v>3724.31</v>
      </c>
      <c r="H59" s="55" t="n">
        <v>3513.690000000001</v>
      </c>
      <c r="I59" s="53" t="n">
        <v>29</v>
      </c>
      <c r="J59" s="53" t="n">
        <v>29</v>
      </c>
      <c r="K59" s="53" t="n">
        <v>2</v>
      </c>
      <c r="L59" s="53" t="n">
        <v>26</v>
      </c>
      <c r="M59" s="53" t="n">
        <v>2</v>
      </c>
      <c r="N59" s="53" t="n">
        <v>43</v>
      </c>
    </row>
    <row r="60">
      <c r="A60" s="58" t="inlineStr">
        <is>
          <t>DG Yuengling Inc</t>
        </is>
      </c>
      <c r="B60" s="58" t="inlineStr">
        <is>
          <t>Yuengling Premium Light</t>
        </is>
      </c>
      <c r="C60" s="53" t="n">
        <v>454</v>
      </c>
      <c r="D60" s="53" t="n">
        <v>490</v>
      </c>
      <c r="E60" s="55" t="n">
        <v>6787.299999999999</v>
      </c>
      <c r="F60" s="55" t="n">
        <v>7325.5</v>
      </c>
      <c r="G60" s="55" t="n">
        <v>1569.7</v>
      </c>
      <c r="H60" s="55" t="n">
        <v>1679.59</v>
      </c>
      <c r="I60" s="53" t="n">
        <v>16</v>
      </c>
      <c r="J60" s="53" t="n">
        <v>16</v>
      </c>
      <c r="K60" s="53" t="n">
        <v>0</v>
      </c>
      <c r="L60" s="53" t="n">
        <v>0</v>
      </c>
      <c r="M60" s="53" t="n">
        <v>0</v>
      </c>
      <c r="N60" s="53" t="n">
        <v>0</v>
      </c>
    </row>
    <row r="61">
      <c r="A61" s="58" t="inlineStr">
        <is>
          <t>Dad Grass</t>
        </is>
      </c>
      <c r="B61" s="58" t="inlineStr">
        <is>
          <t>Dad Grass</t>
        </is>
      </c>
      <c r="C61" s="53" t="n">
        <v>77</v>
      </c>
      <c r="D61" s="53" t="n">
        <v>17</v>
      </c>
      <c r="E61" s="55" t="n">
        <v>5693</v>
      </c>
      <c r="F61" s="55" t="n">
        <v>1480</v>
      </c>
      <c r="G61" s="55" t="n">
        <v>1629.71</v>
      </c>
      <c r="H61" s="55" t="n">
        <v>608.26</v>
      </c>
      <c r="I61" s="53" t="n">
        <v>15</v>
      </c>
      <c r="J61" s="53" t="n">
        <v>9</v>
      </c>
      <c r="K61" s="53" t="n">
        <v>5</v>
      </c>
      <c r="L61" s="53" t="n">
        <v>10</v>
      </c>
      <c r="M61" s="53" t="n">
        <v>11</v>
      </c>
      <c r="N61" s="53" t="n">
        <v>71</v>
      </c>
    </row>
    <row r="62">
      <c r="A62" s="58" t="inlineStr">
        <is>
          <t>Defiant Brewing Co.</t>
        </is>
      </c>
      <c r="B62" s="58" t="inlineStr">
        <is>
          <t>Defiant</t>
        </is>
      </c>
      <c r="C62" s="53" t="n">
        <v>46</v>
      </c>
      <c r="D62" s="53" t="n">
        <v>0</v>
      </c>
      <c r="E62" s="55" t="n">
        <v>1671</v>
      </c>
      <c r="F62" s="55" t="n">
        <v>0</v>
      </c>
      <c r="G62" s="55" t="n">
        <v>410.75</v>
      </c>
      <c r="H62" s="55" t="n">
        <v>0</v>
      </c>
      <c r="I62" s="53" t="n">
        <v>7</v>
      </c>
      <c r="J62" s="53" t="n">
        <v>0</v>
      </c>
      <c r="K62" s="53" t="n">
        <v>0</v>
      </c>
      <c r="L62" s="53" t="n">
        <v>0</v>
      </c>
      <c r="M62" s="53" t="n">
        <v>7</v>
      </c>
      <c r="N62" s="53" t="n">
        <v>46</v>
      </c>
    </row>
    <row r="63">
      <c r="A63" s="58" t="inlineStr">
        <is>
          <t>Delta Beverage LLC</t>
        </is>
      </c>
      <c r="B63" s="58" t="inlineStr">
        <is>
          <t>Delta</t>
        </is>
      </c>
      <c r="C63" s="53" t="n">
        <v>1578</v>
      </c>
      <c r="D63" s="53" t="n">
        <v>1168</v>
      </c>
      <c r="E63" s="55" t="n">
        <v>116958</v>
      </c>
      <c r="F63" s="55" t="n">
        <v>90866</v>
      </c>
      <c r="G63" s="55" t="n">
        <v>32925.78</v>
      </c>
      <c r="H63" s="55" t="n">
        <v>33478.67999999997</v>
      </c>
      <c r="I63" s="53" t="n">
        <v>157</v>
      </c>
      <c r="J63" s="53" t="n">
        <v>118</v>
      </c>
      <c r="K63" s="53" t="n">
        <v>54</v>
      </c>
      <c r="L63" s="53" t="n">
        <v>365</v>
      </c>
      <c r="M63" s="53" t="n">
        <v>93</v>
      </c>
      <c r="N63" s="53" t="n">
        <v>805</v>
      </c>
    </row>
    <row r="64">
      <c r="A64" s="58" t="inlineStr">
        <is>
          <t>Dreamz Invenstments LLC</t>
        </is>
      </c>
      <c r="B64" s="58" t="inlineStr">
        <is>
          <t>Brio</t>
        </is>
      </c>
      <c r="C64" s="53" t="n">
        <v>0</v>
      </c>
      <c r="D64" s="53" t="n">
        <v>10</v>
      </c>
      <c r="E64" s="55" t="n">
        <v>0</v>
      </c>
      <c r="F64" s="55" t="n">
        <v>836</v>
      </c>
      <c r="G64" s="55" t="n">
        <v>0</v>
      </c>
      <c r="H64" s="55" t="n">
        <v>353.3</v>
      </c>
      <c r="I64" s="53" t="n">
        <v>0</v>
      </c>
      <c r="J64" s="53" t="n">
        <v>5</v>
      </c>
      <c r="K64" s="53" t="n">
        <v>5</v>
      </c>
      <c r="L64" s="53" t="n">
        <v>10</v>
      </c>
      <c r="M64" s="53" t="n">
        <v>0</v>
      </c>
      <c r="N64" s="53" t="n">
        <v>0</v>
      </c>
    </row>
    <row r="65">
      <c r="A65" s="58" t="inlineStr">
        <is>
          <t>Duclaw Brewing</t>
        </is>
      </c>
      <c r="B65" s="58" t="inlineStr">
        <is>
          <t>Duclaw</t>
        </is>
      </c>
      <c r="C65" s="53" t="n">
        <v>258</v>
      </c>
      <c r="D65" s="53" t="n">
        <v>0</v>
      </c>
      <c r="E65" s="55" t="n">
        <v>9800.5</v>
      </c>
      <c r="F65" s="55" t="n">
        <v>0</v>
      </c>
      <c r="G65" s="55" t="n">
        <v>2824.21</v>
      </c>
      <c r="H65" s="55" t="n">
        <v>0</v>
      </c>
      <c r="I65" s="53" t="n">
        <v>51</v>
      </c>
      <c r="J65" s="53" t="n">
        <v>0</v>
      </c>
      <c r="K65" s="53" t="n">
        <v>0</v>
      </c>
      <c r="L65" s="53" t="n">
        <v>0</v>
      </c>
      <c r="M65" s="53" t="n">
        <v>51</v>
      </c>
      <c r="N65" s="53" t="n">
        <v>259</v>
      </c>
    </row>
    <row r="66">
      <c r="A66" s="58" t="inlineStr">
        <is>
          <t>Efes</t>
        </is>
      </c>
      <c r="B66" s="58" t="inlineStr">
        <is>
          <t>Efes</t>
        </is>
      </c>
      <c r="C66" s="53" t="n">
        <v>29</v>
      </c>
      <c r="D66" s="53" t="n">
        <v>0</v>
      </c>
      <c r="E66" s="55" t="n">
        <v>1075</v>
      </c>
      <c r="F66" s="55" t="n">
        <v>0</v>
      </c>
      <c r="G66" s="55" t="n">
        <v>386.2</v>
      </c>
      <c r="H66" s="55" t="n">
        <v>0</v>
      </c>
      <c r="I66" s="53" t="n">
        <v>10</v>
      </c>
      <c r="J66" s="53" t="n">
        <v>0</v>
      </c>
      <c r="K66" s="53" t="n">
        <v>0</v>
      </c>
      <c r="L66" s="53" t="n">
        <v>0</v>
      </c>
      <c r="M66" s="53" t="n">
        <v>10</v>
      </c>
      <c r="N66" s="53" t="n">
        <v>29</v>
      </c>
    </row>
    <row r="67">
      <c r="A67" s="58" t="inlineStr">
        <is>
          <t>Eleven20</t>
        </is>
      </c>
      <c r="B67" s="58" t="inlineStr">
        <is>
          <t>Eleven20 Tequila</t>
        </is>
      </c>
      <c r="C67" s="53" t="n">
        <v>0</v>
      </c>
      <c r="D67" s="53" t="n">
        <v>1</v>
      </c>
      <c r="E67" s="55" t="n">
        <v>99</v>
      </c>
      <c r="F67" s="55" t="n">
        <v>108</v>
      </c>
      <c r="G67" s="55" t="n">
        <v>95.73</v>
      </c>
      <c r="H67" s="55" t="n">
        <v>-88.54000000000001</v>
      </c>
      <c r="I67" s="53" t="n">
        <v>0</v>
      </c>
      <c r="J67" s="53" t="n">
        <v>1</v>
      </c>
      <c r="K67" s="53" t="n">
        <v>1</v>
      </c>
      <c r="L67" s="53" t="n">
        <v>1</v>
      </c>
      <c r="M67" s="53" t="n">
        <v>0</v>
      </c>
      <c r="N67" s="53" t="n">
        <v>0</v>
      </c>
    </row>
    <row r="68">
      <c r="A68" s="58" t="inlineStr">
        <is>
          <t>Emergent Beverage Partners</t>
        </is>
      </c>
      <c r="B68" s="58" t="inlineStr">
        <is>
          <t>Beckett's D9</t>
        </is>
      </c>
      <c r="C68" s="53" t="n">
        <v>14</v>
      </c>
      <c r="D68" s="53" t="n">
        <v>4</v>
      </c>
      <c r="E68" s="55" t="n">
        <v>1010</v>
      </c>
      <c r="F68" s="55" t="n">
        <v>236</v>
      </c>
      <c r="G68" s="55" t="n">
        <v>198.74</v>
      </c>
      <c r="H68" s="55" t="n">
        <v>60</v>
      </c>
      <c r="I68" s="53" t="n">
        <v>10</v>
      </c>
      <c r="J68" s="53" t="n">
        <v>2</v>
      </c>
      <c r="K68" s="53" t="n">
        <v>2</v>
      </c>
      <c r="L68" s="53" t="n">
        <v>4</v>
      </c>
      <c r="M68" s="53" t="n">
        <v>10</v>
      </c>
      <c r="N68" s="53" t="n">
        <v>14</v>
      </c>
    </row>
    <row r="69">
      <c r="A69" s="58" t="inlineStr">
        <is>
          <t>Emergent Beverage Partners</t>
        </is>
      </c>
      <c r="B69" s="58" t="inlineStr">
        <is>
          <t>Boldt Infused D9</t>
        </is>
      </c>
      <c r="C69" s="53" t="n">
        <v>193</v>
      </c>
      <c r="D69" s="53" t="n">
        <v>32</v>
      </c>
      <c r="E69" s="55" t="n">
        <v>13985</v>
      </c>
      <c r="F69" s="55" t="n">
        <v>2632</v>
      </c>
      <c r="G69" s="55" t="n">
        <v>3357.890000000001</v>
      </c>
      <c r="H69" s="55" t="n">
        <v>1023.36</v>
      </c>
      <c r="I69" s="53" t="n">
        <v>46</v>
      </c>
      <c r="J69" s="53" t="n">
        <v>12</v>
      </c>
      <c r="K69" s="53" t="n">
        <v>8</v>
      </c>
      <c r="L69" s="53" t="n">
        <v>22</v>
      </c>
      <c r="M69" s="53" t="n">
        <v>42</v>
      </c>
      <c r="N69" s="53" t="n">
        <v>164</v>
      </c>
    </row>
    <row r="70">
      <c r="A70" s="58" t="inlineStr">
        <is>
          <t>Emergent Beverage Partners</t>
        </is>
      </c>
      <c r="B70" s="58" t="inlineStr">
        <is>
          <t>Crooked Beverage</t>
        </is>
      </c>
      <c r="C70" s="53" t="n">
        <v>16</v>
      </c>
      <c r="D70" s="53" t="n">
        <v>-2</v>
      </c>
      <c r="E70" s="55" t="n">
        <v>1129</v>
      </c>
      <c r="F70" s="55" t="n">
        <v>0</v>
      </c>
      <c r="G70" s="55" t="n">
        <v>184.6800000000001</v>
      </c>
      <c r="H70" s="55" t="n">
        <v>118.04</v>
      </c>
      <c r="I70" s="53" t="n">
        <v>11</v>
      </c>
      <c r="J70" s="53" t="n">
        <v>0</v>
      </c>
      <c r="K70" s="53" t="n">
        <v>0</v>
      </c>
      <c r="L70" s="53" t="n">
        <v>0</v>
      </c>
      <c r="M70" s="53" t="n">
        <v>11</v>
      </c>
      <c r="N70" s="53" t="n">
        <v>20</v>
      </c>
    </row>
    <row r="71">
      <c r="A71" s="58" t="inlineStr">
        <is>
          <t>Emergent Beverage Partners</t>
        </is>
      </c>
      <c r="B71" s="58" t="inlineStr">
        <is>
          <t>Hectare's</t>
        </is>
      </c>
      <c r="C71" s="53" t="n">
        <v>197</v>
      </c>
      <c r="D71" s="53" t="n">
        <v>79</v>
      </c>
      <c r="E71" s="55" t="n">
        <v>14556</v>
      </c>
      <c r="F71" s="55" t="n">
        <v>6230</v>
      </c>
      <c r="G71" s="55" t="n">
        <v>3220.83</v>
      </c>
      <c r="H71" s="55" t="n">
        <v>2025.22</v>
      </c>
      <c r="I71" s="53" t="n">
        <v>43</v>
      </c>
      <c r="J71" s="53" t="n">
        <v>18</v>
      </c>
      <c r="K71" s="53" t="n">
        <v>7</v>
      </c>
      <c r="L71" s="53" t="n">
        <v>13</v>
      </c>
      <c r="M71" s="53" t="n">
        <v>32</v>
      </c>
      <c r="N71" s="53" t="n">
        <v>104</v>
      </c>
    </row>
    <row r="72">
      <c r="A72" s="58" t="inlineStr">
        <is>
          <t>Emergent Beverage Partners</t>
        </is>
      </c>
      <c r="B72" s="58" t="inlineStr">
        <is>
          <t>Lark Infused D9</t>
        </is>
      </c>
      <c r="C72" s="53" t="n">
        <v>27</v>
      </c>
      <c r="D72" s="53" t="n">
        <v>0</v>
      </c>
      <c r="E72" s="55" t="n">
        <v>1964</v>
      </c>
      <c r="F72" s="55" t="n">
        <v>0</v>
      </c>
      <c r="G72" s="55" t="n">
        <v>370.46</v>
      </c>
      <c r="H72" s="55" t="n">
        <v>0</v>
      </c>
      <c r="I72" s="53" t="n">
        <v>13</v>
      </c>
      <c r="J72" s="53" t="n">
        <v>0</v>
      </c>
      <c r="K72" s="53" t="n">
        <v>0</v>
      </c>
      <c r="L72" s="53" t="n">
        <v>0</v>
      </c>
      <c r="M72" s="53" t="n">
        <v>13</v>
      </c>
      <c r="N72" s="53" t="n">
        <v>28</v>
      </c>
    </row>
    <row r="73">
      <c r="A73" s="58" t="inlineStr">
        <is>
          <t>Ever Grand Group LLC</t>
        </is>
      </c>
      <c r="B73" s="58" t="inlineStr">
        <is>
          <t>Snow Beer</t>
        </is>
      </c>
      <c r="C73" s="53" t="n">
        <v>54</v>
      </c>
      <c r="D73" s="53" t="n">
        <v>31</v>
      </c>
      <c r="E73" s="55" t="n">
        <v>1912.95</v>
      </c>
      <c r="F73" s="55" t="n">
        <v>1099.99</v>
      </c>
      <c r="G73" s="55" t="n">
        <v>554.8199999999999</v>
      </c>
      <c r="H73" s="55" t="n">
        <v>323.93</v>
      </c>
      <c r="I73" s="53" t="n">
        <v>12</v>
      </c>
      <c r="J73" s="53" t="n">
        <v>6</v>
      </c>
      <c r="K73" s="53" t="n">
        <v>2</v>
      </c>
      <c r="L73" s="53" t="n">
        <v>7</v>
      </c>
      <c r="M73" s="53" t="n">
        <v>8</v>
      </c>
      <c r="N73" s="53" t="n">
        <v>32</v>
      </c>
    </row>
    <row r="74">
      <c r="A74" s="58" t="inlineStr">
        <is>
          <t>Evil Genius</t>
        </is>
      </c>
      <c r="B74" s="58" t="inlineStr">
        <is>
          <t>Evil Genius</t>
        </is>
      </c>
      <c r="C74" s="53" t="n">
        <v>1237</v>
      </c>
      <c r="D74" s="53" t="n">
        <v>1075</v>
      </c>
      <c r="E74" s="55" t="n">
        <v>44241.25</v>
      </c>
      <c r="F74" s="55" t="n">
        <v>38719.46</v>
      </c>
      <c r="G74" s="55" t="n">
        <v>9260.54999999999</v>
      </c>
      <c r="H74" s="55" t="n">
        <v>9020.189999999995</v>
      </c>
      <c r="I74" s="53" t="n">
        <v>128</v>
      </c>
      <c r="J74" s="53" t="n">
        <v>106</v>
      </c>
      <c r="K74" s="53" t="n">
        <v>33</v>
      </c>
      <c r="L74" s="53" t="n">
        <v>183</v>
      </c>
      <c r="M74" s="53" t="n">
        <v>55</v>
      </c>
      <c r="N74" s="53" t="n">
        <v>287</v>
      </c>
    </row>
    <row r="75">
      <c r="A75" s="58" t="inlineStr">
        <is>
          <t>FIFCO</t>
        </is>
      </c>
      <c r="B75" s="58" t="inlineStr">
        <is>
          <t>Genesee</t>
        </is>
      </c>
      <c r="C75" s="53" t="n">
        <v>3805</v>
      </c>
      <c r="D75" s="53" t="n">
        <v>3860</v>
      </c>
      <c r="E75" s="55" t="n">
        <v>47402.09999999998</v>
      </c>
      <c r="F75" s="55" t="n">
        <v>49019.35</v>
      </c>
      <c r="G75" s="55" t="n">
        <v>11201.06</v>
      </c>
      <c r="H75" s="55" t="n">
        <v>11705.49</v>
      </c>
      <c r="I75" s="53" t="n">
        <v>96</v>
      </c>
      <c r="J75" s="53" t="n">
        <v>93</v>
      </c>
      <c r="K75" s="53" t="n">
        <v>17</v>
      </c>
      <c r="L75" s="53" t="n">
        <v>332</v>
      </c>
      <c r="M75" s="53" t="n">
        <v>20</v>
      </c>
      <c r="N75" s="53" t="n">
        <v>151</v>
      </c>
    </row>
    <row r="76">
      <c r="A76" s="58" t="inlineStr">
        <is>
          <t>FIFCO</t>
        </is>
      </c>
      <c r="B76" s="58" t="inlineStr">
        <is>
          <t>Imperial</t>
        </is>
      </c>
      <c r="C76" s="53" t="n">
        <v>700</v>
      </c>
      <c r="D76" s="53" t="n">
        <v>-1</v>
      </c>
      <c r="E76" s="55" t="n">
        <v>18119.4</v>
      </c>
      <c r="F76" s="55" t="n">
        <v>-26.5</v>
      </c>
      <c r="G76" s="55" t="n">
        <v>5418.019999999999</v>
      </c>
      <c r="H76" s="55" t="n">
        <v>-10.32</v>
      </c>
      <c r="I76" s="53" t="n">
        <v>61</v>
      </c>
      <c r="J76" s="53" t="n">
        <v>0</v>
      </c>
      <c r="K76" s="53" t="n">
        <v>0</v>
      </c>
      <c r="L76" s="53" t="n">
        <v>0</v>
      </c>
      <c r="M76" s="53" t="n">
        <v>61</v>
      </c>
      <c r="N76" s="53" t="n">
        <v>700</v>
      </c>
    </row>
    <row r="77">
      <c r="A77" s="58" t="inlineStr">
        <is>
          <t>FX Matt</t>
        </is>
      </c>
      <c r="B77" s="58" t="inlineStr">
        <is>
          <t>Flying Dog Brewing Co</t>
        </is>
      </c>
      <c r="C77" s="53" t="n">
        <v>3471</v>
      </c>
      <c r="D77" s="53" t="n">
        <v>2942</v>
      </c>
      <c r="E77" s="55" t="n">
        <v>136516.5</v>
      </c>
      <c r="F77" s="55" t="n">
        <v>118899</v>
      </c>
      <c r="G77" s="55" t="n">
        <v>40731.05000000002</v>
      </c>
      <c r="H77" s="55" t="n">
        <v>34768.17000000001</v>
      </c>
      <c r="I77" s="53" t="n">
        <v>314</v>
      </c>
      <c r="J77" s="53" t="n">
        <v>285</v>
      </c>
      <c r="K77" s="53" t="n">
        <v>50</v>
      </c>
      <c r="L77" s="53" t="n">
        <v>263</v>
      </c>
      <c r="M77" s="53" t="n">
        <v>79</v>
      </c>
      <c r="N77" s="53" t="n">
        <v>479</v>
      </c>
    </row>
    <row r="78">
      <c r="A78" s="58" t="inlineStr">
        <is>
          <t>FX Matt</t>
        </is>
      </c>
      <c r="B78" s="58" t="inlineStr">
        <is>
          <t>Friday Beers</t>
        </is>
      </c>
      <c r="C78" s="53" t="n">
        <v>397</v>
      </c>
      <c r="D78" s="53" t="n">
        <v>266</v>
      </c>
      <c r="E78" s="55" t="n">
        <v>9410</v>
      </c>
      <c r="F78" s="55" t="n">
        <v>6231.5</v>
      </c>
      <c r="G78" s="55" t="n">
        <v>2834.04</v>
      </c>
      <c r="H78" s="55" t="n">
        <v>1791.63</v>
      </c>
      <c r="I78" s="53" t="n">
        <v>40</v>
      </c>
      <c r="J78" s="53" t="n">
        <v>16</v>
      </c>
      <c r="K78" s="53" t="n">
        <v>1</v>
      </c>
      <c r="L78" s="53" t="n">
        <v>1</v>
      </c>
      <c r="M78" s="53" t="n">
        <v>25</v>
      </c>
      <c r="N78" s="53" t="n">
        <v>139</v>
      </c>
    </row>
    <row r="79">
      <c r="A79" s="58" t="inlineStr">
        <is>
          <t>FX Matt</t>
        </is>
      </c>
      <c r="B79" s="58" t="inlineStr">
        <is>
          <t>Kingfisher Premium</t>
        </is>
      </c>
      <c r="C79" s="53" t="n">
        <v>575</v>
      </c>
      <c r="D79" s="53" t="n">
        <v>353</v>
      </c>
      <c r="E79" s="55" t="n">
        <v>18276.5</v>
      </c>
      <c r="F79" s="55" t="n">
        <v>11261.5</v>
      </c>
      <c r="G79" s="55" t="n">
        <v>5078.26</v>
      </c>
      <c r="H79" s="55" t="n">
        <v>2985.399999999998</v>
      </c>
      <c r="I79" s="53" t="n">
        <v>91</v>
      </c>
      <c r="J79" s="53" t="n">
        <v>81</v>
      </c>
      <c r="K79" s="53" t="n">
        <v>39</v>
      </c>
      <c r="L79" s="53" t="n">
        <v>130</v>
      </c>
      <c r="M79" s="53" t="n">
        <v>49</v>
      </c>
      <c r="N79" s="53" t="n">
        <v>256</v>
      </c>
    </row>
    <row r="80">
      <c r="A80" s="58" t="inlineStr">
        <is>
          <t>FX Matt</t>
        </is>
      </c>
      <c r="B80" s="58" t="inlineStr">
        <is>
          <t>Mckenzie's</t>
        </is>
      </c>
      <c r="C80" s="53" t="n">
        <v>93</v>
      </c>
      <c r="D80" s="53" t="n">
        <v>78</v>
      </c>
      <c r="E80" s="55" t="n">
        <v>2908.5</v>
      </c>
      <c r="F80" s="55" t="n">
        <v>2454</v>
      </c>
      <c r="G80" s="55" t="n">
        <v>873.0000000000001</v>
      </c>
      <c r="H80" s="55" t="n">
        <v>723.6799999999999</v>
      </c>
      <c r="I80" s="53" t="n">
        <v>22</v>
      </c>
      <c r="J80" s="53" t="n">
        <v>17</v>
      </c>
      <c r="K80" s="53" t="n">
        <v>4</v>
      </c>
      <c r="L80" s="53" t="n">
        <v>18</v>
      </c>
      <c r="M80" s="53" t="n">
        <v>9</v>
      </c>
      <c r="N80" s="53" t="n">
        <v>27</v>
      </c>
    </row>
    <row r="81">
      <c r="A81" s="58" t="inlineStr">
        <is>
          <t>FX Matt</t>
        </is>
      </c>
      <c r="B81" s="58" t="inlineStr">
        <is>
          <t>Right Coast</t>
        </is>
      </c>
      <c r="C81" s="53" t="n">
        <v>718</v>
      </c>
      <c r="D81" s="53" t="n">
        <v>247</v>
      </c>
      <c r="E81" s="55" t="n">
        <v>41286.5</v>
      </c>
      <c r="F81" s="55" t="n">
        <v>14291.5</v>
      </c>
      <c r="G81" s="55" t="n">
        <v>18442.72</v>
      </c>
      <c r="H81" s="55" t="n">
        <v>6313.92</v>
      </c>
      <c r="I81" s="53" t="n">
        <v>84</v>
      </c>
      <c r="J81" s="53" t="n">
        <v>36</v>
      </c>
      <c r="K81" s="53" t="n">
        <v>10</v>
      </c>
      <c r="L81" s="53" t="n">
        <v>48</v>
      </c>
      <c r="M81" s="53" t="n">
        <v>58</v>
      </c>
      <c r="N81" s="53" t="n">
        <v>399</v>
      </c>
    </row>
    <row r="82">
      <c r="A82" s="58" t="inlineStr">
        <is>
          <t>FX Matt</t>
        </is>
      </c>
      <c r="B82" s="58" t="inlineStr">
        <is>
          <t>Saranac</t>
        </is>
      </c>
      <c r="C82" s="53" t="n">
        <v>2759</v>
      </c>
      <c r="D82" s="53" t="n">
        <v>2107</v>
      </c>
      <c r="E82" s="55" t="n">
        <v>59572.35000000001</v>
      </c>
      <c r="F82" s="55" t="n">
        <v>46656.83</v>
      </c>
      <c r="G82" s="55" t="n">
        <v>14916.56</v>
      </c>
      <c r="H82" s="55" t="n">
        <v>11753.16999999999</v>
      </c>
      <c r="I82" s="53" t="n">
        <v>137</v>
      </c>
      <c r="J82" s="53" t="n">
        <v>131</v>
      </c>
      <c r="K82" s="53" t="n">
        <v>29</v>
      </c>
      <c r="L82" s="53" t="n">
        <v>243</v>
      </c>
      <c r="M82" s="53" t="n">
        <v>35</v>
      </c>
      <c r="N82" s="53" t="n">
        <v>163</v>
      </c>
    </row>
    <row r="83">
      <c r="A83" s="58" t="inlineStr">
        <is>
          <t>Famosa</t>
        </is>
      </c>
      <c r="B83" s="58" t="inlineStr">
        <is>
          <t>Famosa</t>
        </is>
      </c>
      <c r="C83" s="53" t="n">
        <v>7895</v>
      </c>
      <c r="D83" s="53" t="n">
        <v>7702</v>
      </c>
      <c r="E83" s="55" t="n">
        <v>207741.52</v>
      </c>
      <c r="F83" s="55" t="n">
        <v>202867.14</v>
      </c>
      <c r="G83" s="55" t="n">
        <v>51495.78000000004</v>
      </c>
      <c r="H83" s="55" t="n">
        <v>44399.09999999998</v>
      </c>
      <c r="I83" s="53" t="n">
        <v>232</v>
      </c>
      <c r="J83" s="53" t="n">
        <v>261</v>
      </c>
      <c r="K83" s="53" t="n">
        <v>78</v>
      </c>
      <c r="L83" s="53" t="n">
        <v>1037</v>
      </c>
      <c r="M83" s="53" t="n">
        <v>49</v>
      </c>
      <c r="N83" s="53" t="n">
        <v>759</v>
      </c>
    </row>
    <row r="84">
      <c r="A84" s="58" t="inlineStr">
        <is>
          <t>Famosa</t>
        </is>
      </c>
      <c r="B84" s="58" t="inlineStr">
        <is>
          <t>Monte Carlo</t>
        </is>
      </c>
      <c r="C84" s="53" t="n">
        <v>-6</v>
      </c>
      <c r="D84" s="53" t="n">
        <v>0</v>
      </c>
      <c r="E84" s="55" t="n">
        <v>-30</v>
      </c>
      <c r="F84" s="55" t="n">
        <v>0</v>
      </c>
      <c r="G84" s="55" t="n">
        <v>87.42</v>
      </c>
      <c r="H84" s="55" t="n">
        <v>0</v>
      </c>
      <c r="I84" s="53" t="n">
        <v>0</v>
      </c>
      <c r="J84" s="53" t="n">
        <v>0</v>
      </c>
      <c r="K84" s="53" t="n">
        <v>0</v>
      </c>
      <c r="L84" s="53" t="n">
        <v>0</v>
      </c>
      <c r="M84" s="53" t="n">
        <v>0</v>
      </c>
      <c r="N84" s="53" t="n">
        <v>0</v>
      </c>
    </row>
    <row r="85">
      <c r="A85" s="58" t="inlineStr">
        <is>
          <t>Flying Fish</t>
        </is>
      </c>
      <c r="B85" s="58" t="inlineStr">
        <is>
          <t>Big Mans Brew</t>
        </is>
      </c>
      <c r="C85" s="53" t="n">
        <v>61</v>
      </c>
      <c r="D85" s="53" t="n">
        <v>16</v>
      </c>
      <c r="E85" s="55" t="n">
        <v>2050</v>
      </c>
      <c r="F85" s="55" t="n">
        <v>560</v>
      </c>
      <c r="G85" s="55" t="n">
        <v>501.75</v>
      </c>
      <c r="H85" s="55" t="n">
        <v>158.76</v>
      </c>
      <c r="I85" s="53" t="n">
        <v>7</v>
      </c>
      <c r="J85" s="53" t="n">
        <v>3</v>
      </c>
      <c r="K85" s="53" t="n">
        <v>0</v>
      </c>
      <c r="L85" s="53" t="n">
        <v>0</v>
      </c>
      <c r="M85" s="53" t="n">
        <v>4</v>
      </c>
      <c r="N85" s="53" t="n">
        <v>35</v>
      </c>
    </row>
    <row r="86">
      <c r="A86" s="58" t="inlineStr">
        <is>
          <t>Flying Fish</t>
        </is>
      </c>
      <c r="B86" s="58" t="inlineStr">
        <is>
          <t>Flying Fish</t>
        </is>
      </c>
      <c r="C86" s="53" t="n">
        <v>997</v>
      </c>
      <c r="D86" s="53" t="n">
        <v>752</v>
      </c>
      <c r="E86" s="55" t="n">
        <v>35013.25</v>
      </c>
      <c r="F86" s="55" t="n">
        <v>27148.75</v>
      </c>
      <c r="G86" s="55" t="n">
        <v>9319.609999999997</v>
      </c>
      <c r="H86" s="55" t="n">
        <v>7244.030000000006</v>
      </c>
      <c r="I86" s="53" t="n">
        <v>80</v>
      </c>
      <c r="J86" s="53" t="n">
        <v>73</v>
      </c>
      <c r="K86" s="53" t="n">
        <v>28</v>
      </c>
      <c r="L86" s="53" t="n">
        <v>124</v>
      </c>
      <c r="M86" s="53" t="n">
        <v>35</v>
      </c>
      <c r="N86" s="53" t="n">
        <v>269</v>
      </c>
    </row>
    <row r="87">
      <c r="A87" s="58" t="inlineStr">
        <is>
          <t>Food &amp; Bev Enterprise LLC</t>
        </is>
      </c>
      <c r="B87" s="58" t="inlineStr">
        <is>
          <t>Aguila Import</t>
        </is>
      </c>
      <c r="C87" s="53" t="n">
        <v>505</v>
      </c>
      <c r="D87" s="53" t="n">
        <v>610</v>
      </c>
      <c r="E87" s="55" t="n">
        <v>22389</v>
      </c>
      <c r="F87" s="55" t="n">
        <v>27791.5</v>
      </c>
      <c r="G87" s="55" t="n">
        <v>6209.35</v>
      </c>
      <c r="H87" s="55" t="n">
        <v>7731.049999999998</v>
      </c>
      <c r="I87" s="53" t="n">
        <v>48</v>
      </c>
      <c r="J87" s="53" t="n">
        <v>58</v>
      </c>
      <c r="K87" s="53" t="n">
        <v>38</v>
      </c>
      <c r="L87" s="53" t="n">
        <v>315</v>
      </c>
      <c r="M87" s="53" t="n">
        <v>28</v>
      </c>
      <c r="N87" s="53" t="n">
        <v>262</v>
      </c>
    </row>
    <row r="88">
      <c r="A88" s="58" t="inlineStr">
        <is>
          <t>Food &amp; Bev Enterprise LLC</t>
        </is>
      </c>
      <c r="B88" s="58" t="inlineStr">
        <is>
          <t>Costenita</t>
        </is>
      </c>
      <c r="C88" s="53" t="n">
        <v>168</v>
      </c>
      <c r="D88" s="53" t="n">
        <v>129</v>
      </c>
      <c r="E88" s="55" t="n">
        <v>10406</v>
      </c>
      <c r="F88" s="55" t="n">
        <v>7875</v>
      </c>
      <c r="G88" s="55" t="n">
        <v>2780.8</v>
      </c>
      <c r="H88" s="55" t="n">
        <v>2098.35</v>
      </c>
      <c r="I88" s="53" t="n">
        <v>33</v>
      </c>
      <c r="J88" s="53" t="n">
        <v>10</v>
      </c>
      <c r="K88" s="53" t="n">
        <v>3</v>
      </c>
      <c r="L88" s="53" t="n">
        <v>6</v>
      </c>
      <c r="M88" s="53" t="n">
        <v>26</v>
      </c>
      <c r="N88" s="53" t="n">
        <v>119</v>
      </c>
    </row>
    <row r="89">
      <c r="A89" s="58" t="inlineStr">
        <is>
          <t>Food &amp; Bev Enterprise LLC</t>
        </is>
      </c>
      <c r="B89" s="58" t="inlineStr">
        <is>
          <t>Food &amp; Bev</t>
        </is>
      </c>
      <c r="C89" s="53" t="n">
        <v>726</v>
      </c>
      <c r="D89" s="53" t="n">
        <v>723</v>
      </c>
      <c r="E89" s="55" t="n">
        <v>31863.5</v>
      </c>
      <c r="F89" s="55" t="n">
        <v>32505.5</v>
      </c>
      <c r="G89" s="55" t="n">
        <v>8667.17</v>
      </c>
      <c r="H89" s="55" t="n">
        <v>9214.299999999999</v>
      </c>
      <c r="I89" s="53" t="n">
        <v>81</v>
      </c>
      <c r="J89" s="53" t="n">
        <v>83</v>
      </c>
      <c r="K89" s="53" t="n">
        <v>47</v>
      </c>
      <c r="L89" s="53" t="n">
        <v>248</v>
      </c>
      <c r="M89" s="53" t="n">
        <v>45</v>
      </c>
      <c r="N89" s="53" t="n">
        <v>336</v>
      </c>
    </row>
    <row r="90">
      <c r="A90" s="58" t="inlineStr">
        <is>
          <t>Food &amp; Bev Enterprise LLC</t>
        </is>
      </c>
      <c r="B90" s="58" t="inlineStr">
        <is>
          <t>Poker Import</t>
        </is>
      </c>
      <c r="C90" s="53" t="n">
        <v>651</v>
      </c>
      <c r="D90" s="53" t="n">
        <v>505</v>
      </c>
      <c r="E90" s="55" t="n">
        <v>28239.5</v>
      </c>
      <c r="F90" s="55" t="n">
        <v>23394.2</v>
      </c>
      <c r="G90" s="55" t="n">
        <v>7707.559999999999</v>
      </c>
      <c r="H90" s="55" t="n">
        <v>6780.319999999998</v>
      </c>
      <c r="I90" s="53" t="n">
        <v>69</v>
      </c>
      <c r="J90" s="53" t="n">
        <v>77</v>
      </c>
      <c r="K90" s="53" t="n">
        <v>51</v>
      </c>
      <c r="L90" s="53" t="n">
        <v>229</v>
      </c>
      <c r="M90" s="53" t="n">
        <v>43</v>
      </c>
      <c r="N90" s="53" t="n">
        <v>387</v>
      </c>
    </row>
    <row r="91">
      <c r="A91" s="58" t="inlineStr">
        <is>
          <t>Forged Irish Stout</t>
        </is>
      </c>
      <c r="B91" s="58" t="inlineStr">
        <is>
          <t>Forged Irish Stout</t>
        </is>
      </c>
      <c r="C91" s="53" t="n">
        <v>172</v>
      </c>
      <c r="D91" s="53" t="n">
        <v>170</v>
      </c>
      <c r="E91" s="55" t="n">
        <v>6421</v>
      </c>
      <c r="F91" s="55" t="n">
        <v>6295.5</v>
      </c>
      <c r="G91" s="55" t="n">
        <v>1658.28</v>
      </c>
      <c r="H91" s="55" t="n">
        <v>1609.690000000001</v>
      </c>
      <c r="I91" s="53" t="n">
        <v>50</v>
      </c>
      <c r="J91" s="53" t="n">
        <v>44</v>
      </c>
      <c r="K91" s="53" t="n">
        <v>20</v>
      </c>
      <c r="L91" s="53" t="n">
        <v>74</v>
      </c>
      <c r="M91" s="53" t="n">
        <v>26</v>
      </c>
      <c r="N91" s="53" t="n">
        <v>63</v>
      </c>
    </row>
    <row r="92">
      <c r="A92" s="58" t="inlineStr">
        <is>
          <t>GUSH INC</t>
        </is>
      </c>
      <c r="B92" s="58" t="inlineStr">
        <is>
          <t>Gush</t>
        </is>
      </c>
      <c r="C92" s="53" t="n">
        <v>36</v>
      </c>
      <c r="D92" s="53" t="n">
        <v>0</v>
      </c>
      <c r="E92" s="55" t="n">
        <v>6516</v>
      </c>
      <c r="F92" s="55" t="n">
        <v>0</v>
      </c>
      <c r="G92" s="55" t="n">
        <v>1812</v>
      </c>
      <c r="H92" s="55" t="n">
        <v>0</v>
      </c>
      <c r="I92" s="53" t="n">
        <v>20</v>
      </c>
      <c r="J92" s="53" t="n">
        <v>0</v>
      </c>
      <c r="K92" s="53" t="n">
        <v>0</v>
      </c>
      <c r="L92" s="53" t="n">
        <v>0</v>
      </c>
      <c r="M92" s="53" t="n">
        <v>20</v>
      </c>
      <c r="N92" s="53" t="n">
        <v>40</v>
      </c>
    </row>
    <row r="93">
      <c r="A93" s="58" t="inlineStr">
        <is>
          <t>Gambrinus Imports</t>
        </is>
      </c>
      <c r="B93" s="58" t="inlineStr">
        <is>
          <t>Shiner</t>
        </is>
      </c>
      <c r="C93" s="53" t="n">
        <v>627</v>
      </c>
      <c r="D93" s="53" t="n">
        <v>733</v>
      </c>
      <c r="E93" s="55" t="n">
        <v>19978.73</v>
      </c>
      <c r="F93" s="55" t="n">
        <v>23537.92</v>
      </c>
      <c r="G93" s="55" t="n">
        <v>4310.720000000003</v>
      </c>
      <c r="H93" s="55" t="n">
        <v>5035.479999999999</v>
      </c>
      <c r="I93" s="53" t="n">
        <v>80</v>
      </c>
      <c r="J93" s="53" t="n">
        <v>75</v>
      </c>
      <c r="K93" s="53" t="n">
        <v>16</v>
      </c>
      <c r="L93" s="53" t="n">
        <v>114</v>
      </c>
      <c r="M93" s="53" t="n">
        <v>21</v>
      </c>
      <c r="N93" s="53" t="n">
        <v>126</v>
      </c>
    </row>
    <row r="94">
      <c r="A94" s="58" t="inlineStr">
        <is>
          <t>Garage Beer</t>
        </is>
      </c>
      <c r="B94" s="58" t="inlineStr">
        <is>
          <t>Garage Beer</t>
        </is>
      </c>
      <c r="C94" s="53" t="n">
        <v>3874</v>
      </c>
      <c r="D94" s="53" t="n">
        <v>6572</v>
      </c>
      <c r="E94" s="55" t="n">
        <v>92948.45999999999</v>
      </c>
      <c r="F94" s="55" t="n">
        <v>156917.19</v>
      </c>
      <c r="G94" s="55" t="n">
        <v>25656.17000000001</v>
      </c>
      <c r="H94" s="55" t="n">
        <v>40446.96000000001</v>
      </c>
      <c r="I94" s="53" t="n">
        <v>223</v>
      </c>
      <c r="J94" s="53" t="n">
        <v>296</v>
      </c>
      <c r="K94" s="53" t="n">
        <v>131</v>
      </c>
      <c r="L94" s="53" t="n">
        <v>1626</v>
      </c>
      <c r="M94" s="53" t="n">
        <v>58</v>
      </c>
      <c r="N94" s="53" t="n">
        <v>329</v>
      </c>
    </row>
    <row r="95">
      <c r="A95" s="58" t="inlineStr">
        <is>
          <t>Gigli</t>
        </is>
      </c>
      <c r="B95" s="58" t="inlineStr">
        <is>
          <t>Gigli</t>
        </is>
      </c>
      <c r="C95" s="53" t="n">
        <v>120</v>
      </c>
      <c r="D95" s="53" t="n">
        <v>0</v>
      </c>
      <c r="E95" s="55" t="n">
        <v>9057</v>
      </c>
      <c r="F95" s="55" t="n">
        <v>0</v>
      </c>
      <c r="G95" s="55" t="n">
        <v>2424.6</v>
      </c>
      <c r="H95" s="55" t="n">
        <v>0</v>
      </c>
      <c r="I95" s="53" t="n">
        <v>10</v>
      </c>
      <c r="J95" s="53" t="n">
        <v>0</v>
      </c>
      <c r="K95" s="53" t="n">
        <v>0</v>
      </c>
      <c r="L95" s="53" t="n">
        <v>0</v>
      </c>
      <c r="M95" s="53" t="n">
        <v>10</v>
      </c>
      <c r="N95" s="53" t="n">
        <v>120</v>
      </c>
    </row>
    <row r="96">
      <c r="A96" s="58" t="inlineStr">
        <is>
          <t>Global Beer</t>
        </is>
      </c>
      <c r="B96" s="58" t="inlineStr">
        <is>
          <t>Baptist Wit</t>
        </is>
      </c>
      <c r="C96" s="53" t="n">
        <v>12</v>
      </c>
      <c r="D96" s="53" t="n">
        <v>12</v>
      </c>
      <c r="E96" s="55" t="n">
        <v>490</v>
      </c>
      <c r="F96" s="55" t="n">
        <v>520</v>
      </c>
      <c r="G96" s="55" t="n">
        <v>128.56</v>
      </c>
      <c r="H96" s="55" t="n">
        <v>156.44</v>
      </c>
      <c r="I96" s="53" t="n">
        <v>2</v>
      </c>
      <c r="J96" s="53" t="n">
        <v>2</v>
      </c>
      <c r="K96" s="53" t="n">
        <v>0</v>
      </c>
      <c r="L96" s="53" t="n">
        <v>0</v>
      </c>
      <c r="M96" s="53" t="n">
        <v>0</v>
      </c>
      <c r="N96" s="53" t="n">
        <v>0</v>
      </c>
    </row>
    <row r="97">
      <c r="A97" s="58" t="inlineStr">
        <is>
          <t>Global Beer</t>
        </is>
      </c>
      <c r="B97" s="58" t="inlineStr">
        <is>
          <t>Bavik</t>
        </is>
      </c>
      <c r="C97" s="53" t="n">
        <v>21</v>
      </c>
      <c r="D97" s="53" t="n">
        <v>35</v>
      </c>
      <c r="E97" s="55" t="n">
        <v>690</v>
      </c>
      <c r="F97" s="55" t="n">
        <v>1195</v>
      </c>
      <c r="G97" s="55" t="n">
        <v>191.12</v>
      </c>
      <c r="H97" s="55" t="n">
        <v>306.34</v>
      </c>
      <c r="I97" s="53" t="n">
        <v>2</v>
      </c>
      <c r="J97" s="53" t="n">
        <v>3</v>
      </c>
      <c r="K97" s="53" t="n">
        <v>1</v>
      </c>
      <c r="L97" s="53" t="n">
        <v>7</v>
      </c>
      <c r="M97" s="53" t="n">
        <v>0</v>
      </c>
      <c r="N97" s="53" t="n">
        <v>0</v>
      </c>
    </row>
    <row r="98">
      <c r="A98" s="58" t="inlineStr">
        <is>
          <t>Global Beer</t>
        </is>
      </c>
      <c r="B98" s="58" t="inlineStr">
        <is>
          <t>Czechvar</t>
        </is>
      </c>
      <c r="C98" s="53" t="n">
        <v>400</v>
      </c>
      <c r="D98" s="53" t="n">
        <v>194</v>
      </c>
      <c r="E98" s="55" t="n">
        <v>14030</v>
      </c>
      <c r="F98" s="55" t="n">
        <v>6930.5</v>
      </c>
      <c r="G98" s="55" t="n">
        <v>3625.449999999998</v>
      </c>
      <c r="H98" s="55" t="n">
        <v>1593.489999999999</v>
      </c>
      <c r="I98" s="53" t="n">
        <v>56</v>
      </c>
      <c r="J98" s="53" t="n">
        <v>34</v>
      </c>
      <c r="K98" s="53" t="n">
        <v>5</v>
      </c>
      <c r="L98" s="53" t="n">
        <v>18</v>
      </c>
      <c r="M98" s="53" t="n">
        <v>27</v>
      </c>
      <c r="N98" s="53" t="n">
        <v>149</v>
      </c>
    </row>
    <row r="99">
      <c r="A99" s="58" t="inlineStr">
        <is>
          <t>Global Beer</t>
        </is>
      </c>
      <c r="B99" s="58" t="inlineStr">
        <is>
          <t>Gulden Draak</t>
        </is>
      </c>
      <c r="C99" s="53" t="n">
        <v>27</v>
      </c>
      <c r="D99" s="53" t="n">
        <v>26</v>
      </c>
      <c r="E99" s="55" t="n">
        <v>3334</v>
      </c>
      <c r="F99" s="55" t="n">
        <v>3380</v>
      </c>
      <c r="G99" s="55" t="n">
        <v>975.1700000000001</v>
      </c>
      <c r="H99" s="55" t="n">
        <v>1087.23</v>
      </c>
      <c r="I99" s="53" t="n">
        <v>14</v>
      </c>
      <c r="J99" s="53" t="n">
        <v>16</v>
      </c>
      <c r="K99" s="53" t="n">
        <v>8</v>
      </c>
      <c r="L99" s="53" t="n">
        <v>12</v>
      </c>
      <c r="M99" s="53" t="n">
        <v>6</v>
      </c>
      <c r="N99" s="53" t="n">
        <v>9</v>
      </c>
    </row>
    <row r="100">
      <c r="A100" s="58" t="inlineStr">
        <is>
          <t>Global Beer</t>
        </is>
      </c>
      <c r="B100" s="58" t="inlineStr">
        <is>
          <t>Petrus</t>
        </is>
      </c>
      <c r="C100" s="53" t="n">
        <v>32</v>
      </c>
      <c r="D100" s="53" t="n">
        <v>28</v>
      </c>
      <c r="E100" s="55" t="n">
        <v>3420</v>
      </c>
      <c r="F100" s="55" t="n">
        <v>3320</v>
      </c>
      <c r="G100" s="55" t="n">
        <v>1007.09</v>
      </c>
      <c r="H100" s="55" t="n">
        <v>1049.2</v>
      </c>
      <c r="I100" s="53" t="n">
        <v>2</v>
      </c>
      <c r="J100" s="53" t="n">
        <v>2</v>
      </c>
      <c r="K100" s="53" t="n">
        <v>0</v>
      </c>
      <c r="L100" s="53" t="n">
        <v>0</v>
      </c>
      <c r="M100" s="53" t="n">
        <v>0</v>
      </c>
      <c r="N100" s="53" t="n">
        <v>0</v>
      </c>
    </row>
    <row r="101">
      <c r="A101" s="58" t="inlineStr">
        <is>
          <t>Global Beer</t>
        </is>
      </c>
      <c r="B101" s="58" t="inlineStr">
        <is>
          <t>Piraat</t>
        </is>
      </c>
      <c r="C101" s="53" t="n">
        <v>26</v>
      </c>
      <c r="D101" s="53" t="n">
        <v>20</v>
      </c>
      <c r="E101" s="55" t="n">
        <v>1984</v>
      </c>
      <c r="F101" s="55" t="n">
        <v>1891</v>
      </c>
      <c r="G101" s="55" t="n">
        <v>599.2099999999999</v>
      </c>
      <c r="H101" s="55" t="n">
        <v>592.66</v>
      </c>
      <c r="I101" s="53" t="n">
        <v>10</v>
      </c>
      <c r="J101" s="53" t="n">
        <v>9</v>
      </c>
      <c r="K101" s="53" t="n">
        <v>5</v>
      </c>
      <c r="L101" s="53" t="n">
        <v>8</v>
      </c>
      <c r="M101" s="53" t="n">
        <v>6</v>
      </c>
      <c r="N101" s="53" t="n">
        <v>14</v>
      </c>
    </row>
    <row r="102">
      <c r="A102" s="58" t="inlineStr">
        <is>
          <t>Global Beer</t>
        </is>
      </c>
      <c r="B102" s="58" t="inlineStr">
        <is>
          <t>Stiegl</t>
        </is>
      </c>
      <c r="C102" s="53" t="n">
        <v>511</v>
      </c>
      <c r="D102" s="53" t="n">
        <v>425</v>
      </c>
      <c r="E102" s="55" t="n">
        <v>20012</v>
      </c>
      <c r="F102" s="55" t="n">
        <v>19296.5</v>
      </c>
      <c r="G102" s="55" t="n">
        <v>4123.86</v>
      </c>
      <c r="H102" s="55" t="n">
        <v>5366.019999999998</v>
      </c>
      <c r="I102" s="53" t="n">
        <v>38</v>
      </c>
      <c r="J102" s="53" t="n">
        <v>35</v>
      </c>
      <c r="K102" s="53" t="n">
        <v>13</v>
      </c>
      <c r="L102" s="53" t="n">
        <v>41</v>
      </c>
      <c r="M102" s="53" t="n">
        <v>16</v>
      </c>
      <c r="N102" s="53" t="n">
        <v>75</v>
      </c>
    </row>
    <row r="103">
      <c r="A103" s="58" t="inlineStr">
        <is>
          <t>Global Beer</t>
        </is>
      </c>
      <c r="B103" s="58" t="inlineStr">
        <is>
          <t>Sullivan's</t>
        </is>
      </c>
      <c r="C103" s="53" t="n">
        <v>203</v>
      </c>
      <c r="D103" s="53" t="n">
        <v>134</v>
      </c>
      <c r="E103" s="55" t="n">
        <v>9502</v>
      </c>
      <c r="F103" s="55" t="n">
        <v>6500</v>
      </c>
      <c r="G103" s="55" t="n">
        <v>2811.54</v>
      </c>
      <c r="H103" s="55" t="n">
        <v>2195.279999999999</v>
      </c>
      <c r="I103" s="53" t="n">
        <v>28</v>
      </c>
      <c r="J103" s="53" t="n">
        <v>28</v>
      </c>
      <c r="K103" s="53" t="n">
        <v>13</v>
      </c>
      <c r="L103" s="53" t="n">
        <v>60</v>
      </c>
      <c r="M103" s="53" t="n">
        <v>13</v>
      </c>
      <c r="N103" s="53" t="n">
        <v>68</v>
      </c>
    </row>
    <row r="104">
      <c r="A104" s="58" t="inlineStr">
        <is>
          <t>Global Beer</t>
        </is>
      </c>
      <c r="B104" s="58" t="inlineStr">
        <is>
          <t>Van Steenberge</t>
        </is>
      </c>
      <c r="C104" s="53" t="n">
        <v>0</v>
      </c>
      <c r="D104" s="53" t="n">
        <v>22</v>
      </c>
      <c r="E104" s="55" t="n">
        <v>0</v>
      </c>
      <c r="F104" s="55" t="n">
        <v>1795.5</v>
      </c>
      <c r="G104" s="55" t="n">
        <v>0</v>
      </c>
      <c r="H104" s="55" t="n">
        <v>439.7</v>
      </c>
      <c r="I104" s="53" t="n">
        <v>0</v>
      </c>
      <c r="J104" s="53" t="n">
        <v>2</v>
      </c>
      <c r="K104" s="53" t="n">
        <v>2</v>
      </c>
      <c r="L104" s="53" t="n">
        <v>22</v>
      </c>
      <c r="M104" s="53" t="n">
        <v>0</v>
      </c>
      <c r="N104" s="53" t="n">
        <v>0</v>
      </c>
    </row>
    <row r="105">
      <c r="A105" s="58" t="inlineStr">
        <is>
          <t>Global Beer</t>
        </is>
      </c>
      <c r="B105" s="58" t="inlineStr">
        <is>
          <t>Yard House</t>
        </is>
      </c>
      <c r="C105" s="53" t="n">
        <v>90</v>
      </c>
      <c r="D105" s="53" t="n">
        <v>73</v>
      </c>
      <c r="E105" s="55" t="n">
        <v>4620</v>
      </c>
      <c r="F105" s="55" t="n">
        <v>3850</v>
      </c>
      <c r="G105" s="55" t="n">
        <v>1384.1</v>
      </c>
      <c r="H105" s="55" t="n">
        <v>1150.34</v>
      </c>
      <c r="I105" s="53" t="n">
        <v>2</v>
      </c>
      <c r="J105" s="53" t="n">
        <v>2</v>
      </c>
      <c r="K105" s="53" t="n">
        <v>0</v>
      </c>
      <c r="L105" s="53" t="n">
        <v>0</v>
      </c>
      <c r="M105" s="53" t="n">
        <v>0</v>
      </c>
      <c r="N105" s="53" t="n">
        <v>0</v>
      </c>
    </row>
    <row r="106">
      <c r="A106" s="58" t="inlineStr">
        <is>
          <t>Global Village Imp.</t>
        </is>
      </c>
      <c r="B106" s="58" t="inlineStr">
        <is>
          <t>Augustiner</t>
        </is>
      </c>
      <c r="C106" s="53" t="n">
        <v>370</v>
      </c>
      <c r="D106" s="53" t="n">
        <v>311</v>
      </c>
      <c r="E106" s="55" t="n">
        <v>15785</v>
      </c>
      <c r="F106" s="55" t="n">
        <v>13318.1</v>
      </c>
      <c r="G106" s="55" t="n">
        <v>4955.1</v>
      </c>
      <c r="H106" s="55" t="n">
        <v>4215.130000000002</v>
      </c>
      <c r="I106" s="53" t="n">
        <v>47</v>
      </c>
      <c r="J106" s="53" t="n">
        <v>54</v>
      </c>
      <c r="K106" s="53" t="n">
        <v>17</v>
      </c>
      <c r="L106" s="53" t="n">
        <v>65</v>
      </c>
      <c r="M106" s="53" t="n">
        <v>10</v>
      </c>
      <c r="N106" s="53" t="n">
        <v>28</v>
      </c>
    </row>
    <row r="107">
      <c r="A107" s="58" t="inlineStr">
        <is>
          <t>Great Lakes</t>
        </is>
      </c>
      <c r="B107" s="58" t="inlineStr">
        <is>
          <t>Float Shoppe</t>
        </is>
      </c>
      <c r="C107" s="53" t="n">
        <v>0</v>
      </c>
      <c r="D107" s="53" t="n">
        <v>2</v>
      </c>
      <c r="E107" s="55" t="n">
        <v>0</v>
      </c>
      <c r="F107" s="55" t="n">
        <v>160</v>
      </c>
      <c r="G107" s="55" t="n">
        <v>0</v>
      </c>
      <c r="H107" s="55" t="n">
        <v>59.46</v>
      </c>
      <c r="I107" s="53" t="n">
        <v>0</v>
      </c>
      <c r="J107" s="53" t="n">
        <v>1</v>
      </c>
      <c r="K107" s="53" t="n">
        <v>1</v>
      </c>
      <c r="L107" s="53" t="n">
        <v>2</v>
      </c>
      <c r="M107" s="53" t="n">
        <v>0</v>
      </c>
      <c r="N107" s="53" t="n">
        <v>0</v>
      </c>
    </row>
    <row r="108">
      <c r="A108" s="58" t="inlineStr">
        <is>
          <t>Great Lakes</t>
        </is>
      </c>
      <c r="B108" s="58" t="inlineStr">
        <is>
          <t>Great Lakes</t>
        </is>
      </c>
      <c r="C108" s="53" t="n">
        <v>950</v>
      </c>
      <c r="D108" s="53" t="n">
        <v>944</v>
      </c>
      <c r="E108" s="55" t="n">
        <v>31019</v>
      </c>
      <c r="F108" s="55" t="n">
        <v>30519.91</v>
      </c>
      <c r="G108" s="55" t="n">
        <v>9052.09</v>
      </c>
      <c r="H108" s="55" t="n">
        <v>8868.889999999999</v>
      </c>
      <c r="I108" s="53" t="n">
        <v>118</v>
      </c>
      <c r="J108" s="53" t="n">
        <v>106</v>
      </c>
      <c r="K108" s="53" t="n">
        <v>31</v>
      </c>
      <c r="L108" s="53" t="n">
        <v>161</v>
      </c>
      <c r="M108" s="53" t="n">
        <v>43</v>
      </c>
      <c r="N108" s="53" t="n">
        <v>206</v>
      </c>
    </row>
    <row r="109">
      <c r="A109" s="58" t="inlineStr">
        <is>
          <t>HOP WTR</t>
        </is>
      </c>
      <c r="B109" s="58" t="inlineStr">
        <is>
          <t>HOP WTR</t>
        </is>
      </c>
      <c r="C109" s="53" t="n">
        <v>260</v>
      </c>
      <c r="D109" s="53" t="n">
        <v>82</v>
      </c>
      <c r="E109" s="55" t="n">
        <v>7819.3</v>
      </c>
      <c r="F109" s="55" t="n">
        <v>2436.1</v>
      </c>
      <c r="G109" s="55" t="n">
        <v>905.35</v>
      </c>
      <c r="H109" s="55" t="n">
        <v>622.98</v>
      </c>
      <c r="I109" s="53" t="n">
        <v>22</v>
      </c>
      <c r="J109" s="53" t="n">
        <v>12</v>
      </c>
      <c r="K109" s="53" t="n">
        <v>2</v>
      </c>
      <c r="L109" s="53" t="n">
        <v>4</v>
      </c>
      <c r="M109" s="53" t="n">
        <v>12</v>
      </c>
      <c r="N109" s="53" t="n">
        <v>110</v>
      </c>
    </row>
    <row r="110">
      <c r="A110" s="58" t="inlineStr">
        <is>
          <t>Harpoon Brewery</t>
        </is>
      </c>
      <c r="B110" s="58" t="inlineStr">
        <is>
          <t>Long Trail</t>
        </is>
      </c>
      <c r="C110" s="53" t="n">
        <v>1028</v>
      </c>
      <c r="D110" s="53" t="n">
        <v>819</v>
      </c>
      <c r="E110" s="55" t="n">
        <v>33821</v>
      </c>
      <c r="F110" s="55" t="n">
        <v>26922.46</v>
      </c>
      <c r="G110" s="55" t="n">
        <v>9746.180000000002</v>
      </c>
      <c r="H110" s="55" t="n">
        <v>7776.849999999997</v>
      </c>
      <c r="I110" s="53" t="n">
        <v>104</v>
      </c>
      <c r="J110" s="53" t="n">
        <v>95</v>
      </c>
      <c r="K110" s="53" t="n">
        <v>23</v>
      </c>
      <c r="L110" s="53" t="n">
        <v>117</v>
      </c>
      <c r="M110" s="53" t="n">
        <v>32</v>
      </c>
      <c r="N110" s="53" t="n">
        <v>128</v>
      </c>
    </row>
    <row r="111">
      <c r="A111" s="58" t="inlineStr">
        <is>
          <t>Harpoon Brewery</t>
        </is>
      </c>
      <c r="B111" s="58" t="inlineStr">
        <is>
          <t>Shed</t>
        </is>
      </c>
      <c r="C111" s="53" t="n">
        <v>0</v>
      </c>
      <c r="D111" s="53" t="n">
        <v>0</v>
      </c>
      <c r="E111" s="55" t="n">
        <v>0</v>
      </c>
      <c r="F111" s="55" t="n">
        <v>0</v>
      </c>
      <c r="G111" s="55" t="n">
        <v>0</v>
      </c>
      <c r="H111" s="55" t="n">
        <v>0</v>
      </c>
      <c r="I111" s="53" t="n">
        <v>0</v>
      </c>
      <c r="J111" s="53" t="n">
        <v>0</v>
      </c>
      <c r="K111" s="53" t="n">
        <v>0</v>
      </c>
      <c r="L111" s="53" t="n">
        <v>0</v>
      </c>
      <c r="M111" s="53" t="n">
        <v>0</v>
      </c>
      <c r="N111" s="53" t="n">
        <v>0</v>
      </c>
    </row>
    <row r="112">
      <c r="A112" s="58" t="inlineStr">
        <is>
          <t>Heineken USA</t>
        </is>
      </c>
      <c r="B112" s="58" t="inlineStr">
        <is>
          <t>Amstel</t>
        </is>
      </c>
      <c r="C112" s="53" t="n">
        <v>3771</v>
      </c>
      <c r="D112" s="53" t="n">
        <v>3555</v>
      </c>
      <c r="E112" s="55" t="n">
        <v>117617</v>
      </c>
      <c r="F112" s="55" t="n">
        <v>110549.15</v>
      </c>
      <c r="G112" s="55" t="n">
        <v>27964.66000000001</v>
      </c>
      <c r="H112" s="55" t="n">
        <v>26028.72999999999</v>
      </c>
      <c r="I112" s="53" t="n">
        <v>302</v>
      </c>
      <c r="J112" s="53" t="n">
        <v>287</v>
      </c>
      <c r="K112" s="53" t="n">
        <v>62</v>
      </c>
      <c r="L112" s="53" t="n">
        <v>306</v>
      </c>
      <c r="M112" s="53" t="n">
        <v>77</v>
      </c>
      <c r="N112" s="53" t="n">
        <v>400</v>
      </c>
    </row>
    <row r="113">
      <c r="A113" s="58" t="inlineStr">
        <is>
          <t>Heineken USA</t>
        </is>
      </c>
      <c r="B113" s="58" t="inlineStr">
        <is>
          <t>Buckler</t>
        </is>
      </c>
      <c r="C113" s="53" t="n">
        <v>89</v>
      </c>
      <c r="D113" s="53" t="n">
        <v>0</v>
      </c>
      <c r="E113" s="55" t="n">
        <v>2789.88</v>
      </c>
      <c r="F113" s="55" t="n">
        <v>0</v>
      </c>
      <c r="G113" s="55" t="n">
        <v>798.9499999999999</v>
      </c>
      <c r="H113" s="55" t="n">
        <v>0</v>
      </c>
      <c r="I113" s="53" t="n">
        <v>27</v>
      </c>
      <c r="J113" s="53" t="n">
        <v>0</v>
      </c>
      <c r="K113" s="53" t="n">
        <v>0</v>
      </c>
      <c r="L113" s="53" t="n">
        <v>0</v>
      </c>
      <c r="M113" s="53" t="n">
        <v>27</v>
      </c>
      <c r="N113" s="53" t="n">
        <v>89</v>
      </c>
    </row>
    <row r="114">
      <c r="A114" s="58" t="inlineStr">
        <is>
          <t>Heineken USA</t>
        </is>
      </c>
      <c r="B114" s="58" t="inlineStr">
        <is>
          <t>Carta Blanca</t>
        </is>
      </c>
      <c r="C114" s="53" t="n">
        <v>237</v>
      </c>
      <c r="D114" s="53" t="n">
        <v>329</v>
      </c>
      <c r="E114" s="55" t="n">
        <v>5363.199999999998</v>
      </c>
      <c r="F114" s="55" t="n">
        <v>7516.000000000001</v>
      </c>
      <c r="G114" s="55" t="n">
        <v>1557.54</v>
      </c>
      <c r="H114" s="55" t="n">
        <v>2183.03</v>
      </c>
      <c r="I114" s="53" t="n">
        <v>26</v>
      </c>
      <c r="J114" s="53" t="n">
        <v>32</v>
      </c>
      <c r="K114" s="53" t="n">
        <v>11</v>
      </c>
      <c r="L114" s="53" t="n">
        <v>52</v>
      </c>
      <c r="M114" s="53" t="n">
        <v>5</v>
      </c>
      <c r="N114" s="53" t="n">
        <v>16</v>
      </c>
    </row>
    <row r="115">
      <c r="A115" s="58" t="inlineStr">
        <is>
          <t>Heineken USA</t>
        </is>
      </c>
      <c r="B115" s="58" t="inlineStr">
        <is>
          <t>Dos Equis</t>
        </is>
      </c>
      <c r="C115" s="53" t="n">
        <v>2717</v>
      </c>
      <c r="D115" s="53" t="n">
        <v>2250</v>
      </c>
      <c r="E115" s="55" t="n">
        <v>75249.24999999999</v>
      </c>
      <c r="F115" s="55" t="n">
        <v>62025.55</v>
      </c>
      <c r="G115" s="55" t="n">
        <v>17054.43999999998</v>
      </c>
      <c r="H115" s="55" t="n">
        <v>14172.29</v>
      </c>
      <c r="I115" s="53" t="n">
        <v>262</v>
      </c>
      <c r="J115" s="53" t="n">
        <v>231</v>
      </c>
      <c r="K115" s="53" t="n">
        <v>54</v>
      </c>
      <c r="L115" s="53" t="n">
        <v>275</v>
      </c>
      <c r="M115" s="53" t="n">
        <v>85</v>
      </c>
      <c r="N115" s="53" t="n">
        <v>545</v>
      </c>
    </row>
    <row r="116">
      <c r="A116" s="58" t="inlineStr">
        <is>
          <t>Heineken USA</t>
        </is>
      </c>
      <c r="B116" s="58" t="inlineStr">
        <is>
          <t>Heineken 0.0 Ultimate</t>
        </is>
      </c>
      <c r="C116" s="53" t="n">
        <v>0</v>
      </c>
      <c r="D116" s="53" t="n">
        <v>372</v>
      </c>
      <c r="E116" s="55" t="n">
        <v>0</v>
      </c>
      <c r="F116" s="55" t="n">
        <v>12219.1</v>
      </c>
      <c r="G116" s="55" t="n">
        <v>0</v>
      </c>
      <c r="H116" s="55" t="n">
        <v>3201.14</v>
      </c>
      <c r="I116" s="53" t="n">
        <v>0</v>
      </c>
      <c r="J116" s="53" t="n">
        <v>64</v>
      </c>
      <c r="K116" s="53" t="n">
        <v>64</v>
      </c>
      <c r="L116" s="53" t="n">
        <v>372</v>
      </c>
      <c r="M116" s="53" t="n">
        <v>0</v>
      </c>
      <c r="N116" s="53" t="n">
        <v>0</v>
      </c>
    </row>
    <row r="117">
      <c r="A117" s="58" t="inlineStr">
        <is>
          <t>Heineken USA</t>
        </is>
      </c>
      <c r="B117" s="58" t="inlineStr">
        <is>
          <t>Heineken Silver</t>
        </is>
      </c>
      <c r="C117" s="53" t="n">
        <v>1190</v>
      </c>
      <c r="D117" s="53" t="n">
        <v>720</v>
      </c>
      <c r="E117" s="55" t="n">
        <v>32594.85000000001</v>
      </c>
      <c r="F117" s="55" t="n">
        <v>19366</v>
      </c>
      <c r="G117" s="55" t="n">
        <v>5667.439999999998</v>
      </c>
      <c r="H117" s="55" t="n">
        <v>4717.76</v>
      </c>
      <c r="I117" s="53" t="n">
        <v>137</v>
      </c>
      <c r="J117" s="53" t="n">
        <v>77</v>
      </c>
      <c r="K117" s="53" t="n">
        <v>11</v>
      </c>
      <c r="L117" s="53" t="n">
        <v>40</v>
      </c>
      <c r="M117" s="53" t="n">
        <v>71</v>
      </c>
      <c r="N117" s="53" t="n">
        <v>354</v>
      </c>
    </row>
    <row r="118">
      <c r="A118" s="58" t="inlineStr">
        <is>
          <t>Heineken USA</t>
        </is>
      </c>
      <c r="B118" s="58" t="inlineStr">
        <is>
          <t>Murphy's</t>
        </is>
      </c>
      <c r="C118" s="53" t="n">
        <v>276</v>
      </c>
      <c r="D118" s="53" t="n">
        <v>282</v>
      </c>
      <c r="E118" s="55" t="n">
        <v>7915.6</v>
      </c>
      <c r="F118" s="55" t="n">
        <v>7986.299999999999</v>
      </c>
      <c r="G118" s="55" t="n">
        <v>1425.19</v>
      </c>
      <c r="H118" s="55" t="n">
        <v>1376.06</v>
      </c>
      <c r="I118" s="53" t="n">
        <v>34</v>
      </c>
      <c r="J118" s="53" t="n">
        <v>35</v>
      </c>
      <c r="K118" s="53" t="n">
        <v>14</v>
      </c>
      <c r="L118" s="53" t="n">
        <v>67</v>
      </c>
      <c r="M118" s="53" t="n">
        <v>13</v>
      </c>
      <c r="N118" s="53" t="n">
        <v>49</v>
      </c>
    </row>
    <row r="119">
      <c r="A119" s="58" t="inlineStr">
        <is>
          <t>Heineken USA</t>
        </is>
      </c>
      <c r="B119" s="58" t="inlineStr">
        <is>
          <t>Newcastle</t>
        </is>
      </c>
      <c r="C119" s="53" t="n">
        <v>0</v>
      </c>
      <c r="D119" s="53" t="n">
        <v>146</v>
      </c>
      <c r="E119" s="55" t="n">
        <v>0</v>
      </c>
      <c r="F119" s="55" t="n">
        <v>4535.2</v>
      </c>
      <c r="G119" s="55" t="n">
        <v>0</v>
      </c>
      <c r="H119" s="55" t="n">
        <v>1252.21</v>
      </c>
      <c r="I119" s="53" t="n">
        <v>0</v>
      </c>
      <c r="J119" s="53" t="n">
        <v>38</v>
      </c>
      <c r="K119" s="53" t="n">
        <v>38</v>
      </c>
      <c r="L119" s="53" t="n">
        <v>146</v>
      </c>
      <c r="M119" s="53" t="n">
        <v>0</v>
      </c>
      <c r="N119" s="53" t="n">
        <v>0</v>
      </c>
    </row>
    <row r="120">
      <c r="A120" s="58" t="inlineStr">
        <is>
          <t>Heineken USA</t>
        </is>
      </c>
      <c r="B120" s="58" t="inlineStr">
        <is>
          <t>Prestige Lager</t>
        </is>
      </c>
      <c r="C120" s="53" t="n">
        <v>227</v>
      </c>
      <c r="D120" s="53" t="n">
        <v>340</v>
      </c>
      <c r="E120" s="55" t="n">
        <v>6546.5</v>
      </c>
      <c r="F120" s="55" t="n">
        <v>9760.700000000001</v>
      </c>
      <c r="G120" s="55" t="n">
        <v>1852.85</v>
      </c>
      <c r="H120" s="55" t="n">
        <v>2746.499999999999</v>
      </c>
      <c r="I120" s="53" t="n">
        <v>19</v>
      </c>
      <c r="J120" s="53" t="n">
        <v>32</v>
      </c>
      <c r="K120" s="53" t="n">
        <v>20</v>
      </c>
      <c r="L120" s="53" t="n">
        <v>132</v>
      </c>
      <c r="M120" s="53" t="n">
        <v>7</v>
      </c>
      <c r="N120" s="53" t="n">
        <v>44</v>
      </c>
    </row>
    <row r="121">
      <c r="A121" s="58" t="inlineStr">
        <is>
          <t>Heineken USA</t>
        </is>
      </c>
      <c r="B121" s="58" t="inlineStr">
        <is>
          <t>Red Stripe</t>
        </is>
      </c>
      <c r="C121" s="53" t="n">
        <v>2648</v>
      </c>
      <c r="D121" s="53" t="n">
        <v>2436</v>
      </c>
      <c r="E121" s="55" t="n">
        <v>75142.5</v>
      </c>
      <c r="F121" s="55" t="n">
        <v>69146</v>
      </c>
      <c r="G121" s="55" t="n">
        <v>17567.19000000001</v>
      </c>
      <c r="H121" s="55" t="n">
        <v>16357.27000000001</v>
      </c>
      <c r="I121" s="53" t="n">
        <v>189</v>
      </c>
      <c r="J121" s="53" t="n">
        <v>191</v>
      </c>
      <c r="K121" s="53" t="n">
        <v>42</v>
      </c>
      <c r="L121" s="53" t="n">
        <v>209</v>
      </c>
      <c r="M121" s="53" t="n">
        <v>40</v>
      </c>
      <c r="N121" s="53" t="n">
        <v>152</v>
      </c>
    </row>
    <row r="122">
      <c r="A122" s="58" t="inlineStr">
        <is>
          <t>Heineken USA</t>
        </is>
      </c>
      <c r="B122" s="58" t="inlineStr">
        <is>
          <t>Strongbow</t>
        </is>
      </c>
      <c r="C122" s="53" t="n">
        <v>207</v>
      </c>
      <c r="D122" s="53" t="n">
        <v>186</v>
      </c>
      <c r="E122" s="55" t="n">
        <v>7348.5</v>
      </c>
      <c r="F122" s="55" t="n">
        <v>6624</v>
      </c>
      <c r="G122" s="55" t="n">
        <v>2094.71</v>
      </c>
      <c r="H122" s="55" t="n">
        <v>1888.13</v>
      </c>
      <c r="I122" s="53" t="n">
        <v>51</v>
      </c>
      <c r="J122" s="53" t="n">
        <v>55</v>
      </c>
      <c r="K122" s="53" t="n">
        <v>14</v>
      </c>
      <c r="L122" s="53" t="n">
        <v>23</v>
      </c>
      <c r="M122" s="53" t="n">
        <v>10</v>
      </c>
      <c r="N122" s="53" t="n">
        <v>21</v>
      </c>
    </row>
    <row r="123">
      <c r="A123" s="58" t="inlineStr">
        <is>
          <t>Heineken USA</t>
        </is>
      </c>
      <c r="B123" s="58" t="inlineStr">
        <is>
          <t>Tecate</t>
        </is>
      </c>
      <c r="C123" s="53" t="n">
        <v>3135</v>
      </c>
      <c r="D123" s="53" t="n">
        <v>3023</v>
      </c>
      <c r="E123" s="55" t="n">
        <v>57107.8</v>
      </c>
      <c r="F123" s="55" t="n">
        <v>55387.09999999999</v>
      </c>
      <c r="G123" s="55" t="n">
        <v>6194.290000000004</v>
      </c>
      <c r="H123" s="55" t="n">
        <v>6072.499999999999</v>
      </c>
      <c r="I123" s="53" t="n">
        <v>87</v>
      </c>
      <c r="J123" s="53" t="n">
        <v>85</v>
      </c>
      <c r="K123" s="53" t="n">
        <v>21</v>
      </c>
      <c r="L123" s="53" t="n">
        <v>173</v>
      </c>
      <c r="M123" s="53" t="n">
        <v>23</v>
      </c>
      <c r="N123" s="53" t="n">
        <v>147</v>
      </c>
    </row>
    <row r="124">
      <c r="A124" s="58" t="inlineStr">
        <is>
          <t>Hofbrauhaus USA</t>
        </is>
      </c>
      <c r="B124" s="58" t="inlineStr">
        <is>
          <t>Hofbrau Usa</t>
        </is>
      </c>
      <c r="C124" s="53" t="n">
        <v>5621</v>
      </c>
      <c r="D124" s="53" t="n">
        <v>5846</v>
      </c>
      <c r="E124" s="55" t="n">
        <v>210904.5</v>
      </c>
      <c r="F124" s="55" t="n">
        <v>224131.05</v>
      </c>
      <c r="G124" s="55" t="n">
        <v>60053.51000000002</v>
      </c>
      <c r="H124" s="55" t="n">
        <v>61778.25999999999</v>
      </c>
      <c r="I124" s="53" t="n">
        <v>257</v>
      </c>
      <c r="J124" s="53" t="n">
        <v>265</v>
      </c>
      <c r="K124" s="53" t="n">
        <v>65</v>
      </c>
      <c r="L124" s="53" t="n">
        <v>404</v>
      </c>
      <c r="M124" s="53" t="n">
        <v>57</v>
      </c>
      <c r="N124" s="53" t="n">
        <v>352</v>
      </c>
    </row>
    <row r="125">
      <c r="A125" s="58" t="inlineStr">
        <is>
          <t>Hornell Brewing Company</t>
        </is>
      </c>
      <c r="B125" s="58" t="inlineStr">
        <is>
          <t>Arizona Hard</t>
        </is>
      </c>
      <c r="C125" s="53" t="n">
        <v>428</v>
      </c>
      <c r="D125" s="53" t="n">
        <v>202</v>
      </c>
      <c r="E125" s="55" t="n">
        <v>19298</v>
      </c>
      <c r="F125" s="55" t="n">
        <v>8068</v>
      </c>
      <c r="G125" s="55" t="n">
        <v>7746.28000000001</v>
      </c>
      <c r="H125" s="55" t="n">
        <v>2616.02</v>
      </c>
      <c r="I125" s="53" t="n">
        <v>92</v>
      </c>
      <c r="J125" s="53" t="n">
        <v>15</v>
      </c>
      <c r="K125" s="53" t="n">
        <v>11</v>
      </c>
      <c r="L125" s="53" t="n">
        <v>194</v>
      </c>
      <c r="M125" s="53" t="n">
        <v>88</v>
      </c>
      <c r="N125" s="53" t="n">
        <v>459</v>
      </c>
    </row>
    <row r="126">
      <c r="A126" s="58" t="inlineStr">
        <is>
          <t>Island Brands USA</t>
        </is>
      </c>
      <c r="B126" s="58" t="inlineStr">
        <is>
          <t>Island Brands</t>
        </is>
      </c>
      <c r="C126" s="53" t="n">
        <v>-1</v>
      </c>
      <c r="D126" s="53" t="n">
        <v>0</v>
      </c>
      <c r="E126" s="55" t="n">
        <v>-31</v>
      </c>
      <c r="F126" s="55" t="n">
        <v>0</v>
      </c>
      <c r="G126" s="55" t="n">
        <v>-7.73</v>
      </c>
      <c r="H126" s="55" t="n">
        <v>0</v>
      </c>
      <c r="I126" s="53" t="n">
        <v>0</v>
      </c>
      <c r="J126" s="53" t="n">
        <v>0</v>
      </c>
      <c r="K126" s="53" t="n">
        <v>0</v>
      </c>
      <c r="L126" s="53" t="n">
        <v>0</v>
      </c>
      <c r="M126" s="53" t="n">
        <v>0</v>
      </c>
      <c r="N126" s="53" t="n">
        <v>0</v>
      </c>
    </row>
    <row r="127">
      <c r="A127" s="58" t="inlineStr">
        <is>
          <t>Ithaca</t>
        </is>
      </c>
      <c r="B127" s="58" t="inlineStr">
        <is>
          <t>Ithaca</t>
        </is>
      </c>
      <c r="C127" s="53" t="n">
        <v>193</v>
      </c>
      <c r="D127" s="53" t="n">
        <v>123</v>
      </c>
      <c r="E127" s="55" t="n">
        <v>7513</v>
      </c>
      <c r="F127" s="55" t="n">
        <v>4900</v>
      </c>
      <c r="G127" s="55" t="n">
        <v>1936.270000000001</v>
      </c>
      <c r="H127" s="55" t="n">
        <v>1054.1</v>
      </c>
      <c r="I127" s="53" t="n">
        <v>38</v>
      </c>
      <c r="J127" s="53" t="n">
        <v>35</v>
      </c>
      <c r="K127" s="53" t="n">
        <v>18</v>
      </c>
      <c r="L127" s="53" t="n">
        <v>67</v>
      </c>
      <c r="M127" s="53" t="n">
        <v>21</v>
      </c>
      <c r="N127" s="53" t="n">
        <v>108</v>
      </c>
    </row>
    <row r="128">
      <c r="A128" s="58" t="inlineStr">
        <is>
          <t>Jersey Girl</t>
        </is>
      </c>
      <c r="B128" s="58" t="inlineStr">
        <is>
          <t>Jersey Girl</t>
        </is>
      </c>
      <c r="C128" s="53" t="n">
        <v>-3</v>
      </c>
      <c r="D128" s="53" t="n">
        <v>0</v>
      </c>
      <c r="E128" s="55" t="n">
        <v>-106</v>
      </c>
      <c r="F128" s="55" t="n">
        <v>0</v>
      </c>
      <c r="G128" s="55" t="n">
        <v>-30.28</v>
      </c>
      <c r="H128" s="55" t="n">
        <v>0</v>
      </c>
      <c r="I128" s="53" t="n">
        <v>0</v>
      </c>
      <c r="J128" s="53" t="n">
        <v>0</v>
      </c>
      <c r="K128" s="53" t="n">
        <v>0</v>
      </c>
      <c r="L128" s="53" t="n">
        <v>0</v>
      </c>
      <c r="M128" s="53" t="n">
        <v>0</v>
      </c>
      <c r="N128" s="53" t="n">
        <v>0</v>
      </c>
    </row>
    <row r="129">
      <c r="A129" s="58" t="inlineStr">
        <is>
          <t>Jerzey Jungle LLC</t>
        </is>
      </c>
      <c r="B129" s="58" t="inlineStr">
        <is>
          <t>Jerzey Jungle</t>
        </is>
      </c>
      <c r="C129" s="53" t="n">
        <v>19</v>
      </c>
      <c r="D129" s="53" t="n">
        <v>0</v>
      </c>
      <c r="E129" s="55" t="n">
        <v>2008</v>
      </c>
      <c r="F129" s="55" t="n">
        <v>0</v>
      </c>
      <c r="G129" s="55" t="n">
        <v>968</v>
      </c>
      <c r="H129" s="55" t="n">
        <v>0</v>
      </c>
      <c r="I129" s="53" t="n">
        <v>17</v>
      </c>
      <c r="J129" s="53" t="n">
        <v>0</v>
      </c>
      <c r="K129" s="53" t="n">
        <v>0</v>
      </c>
      <c r="L129" s="53" t="n">
        <v>0</v>
      </c>
      <c r="M129" s="53" t="n">
        <v>17</v>
      </c>
      <c r="N129" s="53" t="n">
        <v>19</v>
      </c>
    </row>
    <row r="130">
      <c r="A130" s="58" t="inlineStr">
        <is>
          <t>Lagunitas Brewing Co</t>
        </is>
      </c>
      <c r="B130" s="58" t="inlineStr">
        <is>
          <t>Lagunitas</t>
        </is>
      </c>
      <c r="C130" s="53" t="n">
        <v>5573</v>
      </c>
      <c r="D130" s="53" t="n">
        <v>5633</v>
      </c>
      <c r="E130" s="55" t="n">
        <v>192431.75</v>
      </c>
      <c r="F130" s="55" t="n">
        <v>194113.85</v>
      </c>
      <c r="G130" s="55" t="n">
        <v>59414.21000000003</v>
      </c>
      <c r="H130" s="55" t="n">
        <v>60198.07000000007</v>
      </c>
      <c r="I130" s="53" t="n">
        <v>268</v>
      </c>
      <c r="J130" s="53" t="n">
        <v>278</v>
      </c>
      <c r="K130" s="53" t="n">
        <v>61</v>
      </c>
      <c r="L130" s="53" t="n">
        <v>345</v>
      </c>
      <c r="M130" s="53" t="n">
        <v>51</v>
      </c>
      <c r="N130" s="53" t="n">
        <v>310</v>
      </c>
    </row>
    <row r="131">
      <c r="A131" s="58" t="inlineStr">
        <is>
          <t>Lagunitas Brewing Co</t>
        </is>
      </c>
      <c r="B131" s="58" t="inlineStr">
        <is>
          <t>Lagunitas NA</t>
        </is>
      </c>
      <c r="C131" s="53" t="n">
        <v>166</v>
      </c>
      <c r="D131" s="53" t="n">
        <v>84</v>
      </c>
      <c r="E131" s="55" t="n">
        <v>4781.649999999999</v>
      </c>
      <c r="F131" s="55" t="n">
        <v>2578.5</v>
      </c>
      <c r="G131" s="55" t="n">
        <v>1406.69</v>
      </c>
      <c r="H131" s="55" t="n">
        <v>862.23</v>
      </c>
      <c r="I131" s="53" t="n">
        <v>24</v>
      </c>
      <c r="J131" s="53" t="n">
        <v>18</v>
      </c>
      <c r="K131" s="53" t="n">
        <v>6</v>
      </c>
      <c r="L131" s="53" t="n">
        <v>27</v>
      </c>
      <c r="M131" s="53" t="n">
        <v>12</v>
      </c>
      <c r="N131" s="53" t="n">
        <v>42</v>
      </c>
    </row>
    <row r="132">
      <c r="A132" s="58" t="inlineStr">
        <is>
          <t>Licores Artesanales</t>
        </is>
      </c>
      <c r="B132" s="58" t="inlineStr">
        <is>
          <t>Desquite</t>
        </is>
      </c>
      <c r="C132" s="53" t="n">
        <v>0</v>
      </c>
      <c r="D132" s="53" t="n">
        <v>16</v>
      </c>
      <c r="E132" s="55" t="n">
        <v>0</v>
      </c>
      <c r="F132" s="55" t="n">
        <v>3764.67</v>
      </c>
      <c r="G132" s="55" t="n">
        <v>0</v>
      </c>
      <c r="H132" s="55" t="n">
        <v>751.2199999999999</v>
      </c>
      <c r="I132" s="53" t="n">
        <v>0</v>
      </c>
      <c r="J132" s="53" t="n">
        <v>10</v>
      </c>
      <c r="K132" s="53" t="n">
        <v>10</v>
      </c>
      <c r="L132" s="53" t="n">
        <v>16</v>
      </c>
      <c r="M132" s="53" t="n">
        <v>0</v>
      </c>
      <c r="N132" s="53" t="n">
        <v>0</v>
      </c>
    </row>
    <row r="133">
      <c r="A133" s="58" t="inlineStr">
        <is>
          <t>Little Water Distillery</t>
        </is>
      </c>
      <c r="B133" s="58" t="inlineStr">
        <is>
          <t>48 Blocks</t>
        </is>
      </c>
      <c r="C133" s="53" t="n">
        <v>3</v>
      </c>
      <c r="D133" s="53" t="n">
        <v>1</v>
      </c>
      <c r="E133" s="55" t="n">
        <v>610</v>
      </c>
      <c r="F133" s="55" t="n">
        <v>152.5</v>
      </c>
      <c r="G133" s="55" t="n">
        <v>129.76</v>
      </c>
      <c r="H133" s="55" t="n">
        <v>32.44</v>
      </c>
      <c r="I133" s="53" t="n">
        <v>3</v>
      </c>
      <c r="J133" s="53" t="n">
        <v>1</v>
      </c>
      <c r="K133" s="53" t="n">
        <v>1</v>
      </c>
      <c r="L133" s="53" t="n">
        <v>1</v>
      </c>
      <c r="M133" s="53" t="n">
        <v>3</v>
      </c>
      <c r="N133" s="53" t="n">
        <v>3</v>
      </c>
    </row>
    <row r="134">
      <c r="A134" s="58" t="inlineStr">
        <is>
          <t>Little Water Distillery</t>
        </is>
      </c>
      <c r="B134" s="58" t="inlineStr">
        <is>
          <t>Rusted Revolver</t>
        </is>
      </c>
      <c r="C134" s="53" t="n">
        <v>1</v>
      </c>
      <c r="D134" s="53" t="n">
        <v>1</v>
      </c>
      <c r="E134" s="55" t="n">
        <v>156</v>
      </c>
      <c r="F134" s="55" t="n">
        <v>156</v>
      </c>
      <c r="G134" s="55" t="n">
        <v>33.48</v>
      </c>
      <c r="H134" s="55" t="n">
        <v>33.48</v>
      </c>
      <c r="I134" s="53" t="n">
        <v>1</v>
      </c>
      <c r="J134" s="53" t="n">
        <v>1</v>
      </c>
      <c r="K134" s="53" t="n">
        <v>1</v>
      </c>
      <c r="L134" s="53" t="n">
        <v>1</v>
      </c>
      <c r="M134" s="53" t="n">
        <v>1</v>
      </c>
      <c r="N134" s="53" t="n">
        <v>1</v>
      </c>
    </row>
    <row r="135">
      <c r="A135" s="58" t="inlineStr">
        <is>
          <t>Little Water Distillery</t>
        </is>
      </c>
      <c r="B135" s="58" t="inlineStr">
        <is>
          <t>Whitecap</t>
        </is>
      </c>
      <c r="C135" s="53" t="n">
        <v>1</v>
      </c>
      <c r="D135" s="53" t="n">
        <v>0</v>
      </c>
      <c r="E135" s="55" t="n">
        <v>170</v>
      </c>
      <c r="F135" s="55" t="n">
        <v>0</v>
      </c>
      <c r="G135" s="55" t="n">
        <v>39.44</v>
      </c>
      <c r="H135" s="55" t="n">
        <v>0</v>
      </c>
      <c r="I135" s="53" t="n">
        <v>1</v>
      </c>
      <c r="J135" s="53" t="n">
        <v>0</v>
      </c>
      <c r="K135" s="53" t="n">
        <v>0</v>
      </c>
      <c r="L135" s="53" t="n">
        <v>0</v>
      </c>
      <c r="M135" s="53" t="n">
        <v>1</v>
      </c>
      <c r="N135" s="53" t="n">
        <v>1</v>
      </c>
    </row>
    <row r="136">
      <c r="A136" s="58" t="inlineStr">
        <is>
          <t>Lo Secco LLC</t>
        </is>
      </c>
      <c r="B136" s="58" t="inlineStr">
        <is>
          <t>Lo Secco</t>
        </is>
      </c>
      <c r="C136" s="53" t="n">
        <v>0</v>
      </c>
      <c r="D136" s="53" t="n">
        <v>15</v>
      </c>
      <c r="E136" s="55" t="n">
        <v>0</v>
      </c>
      <c r="F136" s="55" t="n">
        <v>2940</v>
      </c>
      <c r="G136" s="55" t="n">
        <v>0</v>
      </c>
      <c r="H136" s="55" t="n">
        <v>928.8</v>
      </c>
      <c r="I136" s="53" t="n">
        <v>0</v>
      </c>
      <c r="J136" s="53" t="n">
        <v>7</v>
      </c>
      <c r="K136" s="53" t="n">
        <v>7</v>
      </c>
      <c r="L136" s="53" t="n">
        <v>15</v>
      </c>
      <c r="M136" s="53" t="n">
        <v>0</v>
      </c>
      <c r="N136" s="53" t="n">
        <v>0</v>
      </c>
    </row>
    <row r="137">
      <c r="A137" s="58" t="inlineStr">
        <is>
          <t>Local Choice Inc</t>
        </is>
      </c>
      <c r="B137" s="58" t="inlineStr">
        <is>
          <t>Striped Pig</t>
        </is>
      </c>
      <c r="C137" s="53" t="n">
        <v>0</v>
      </c>
      <c r="D137" s="53" t="n">
        <v>2</v>
      </c>
      <c r="E137" s="55" t="n">
        <v>0</v>
      </c>
      <c r="F137" s="55" t="n">
        <v>610</v>
      </c>
      <c r="G137" s="55" t="n">
        <v>0</v>
      </c>
      <c r="H137" s="55" t="n">
        <v>126.52</v>
      </c>
      <c r="I137" s="53" t="n">
        <v>0</v>
      </c>
      <c r="J137" s="53" t="n">
        <v>1</v>
      </c>
      <c r="K137" s="53" t="n">
        <v>1</v>
      </c>
      <c r="L137" s="53" t="n">
        <v>2</v>
      </c>
      <c r="M137" s="53" t="n">
        <v>0</v>
      </c>
      <c r="N137" s="53" t="n">
        <v>0</v>
      </c>
    </row>
    <row r="138">
      <c r="A138" s="58" t="inlineStr">
        <is>
          <t>Lodo Brands</t>
        </is>
      </c>
      <c r="B138" s="58" t="inlineStr">
        <is>
          <t>LoDo</t>
        </is>
      </c>
      <c r="C138" s="53" t="n">
        <v>200</v>
      </c>
      <c r="D138" s="53" t="n">
        <v>49</v>
      </c>
      <c r="E138" s="55" t="n">
        <v>24026</v>
      </c>
      <c r="F138" s="55" t="n">
        <v>7838</v>
      </c>
      <c r="G138" s="55" t="n">
        <v>5600.079999999994</v>
      </c>
      <c r="H138" s="55" t="n">
        <v>2259.7</v>
      </c>
      <c r="I138" s="53" t="n">
        <v>112</v>
      </c>
      <c r="J138" s="53" t="n">
        <v>18</v>
      </c>
      <c r="K138" s="53" t="n">
        <v>9</v>
      </c>
      <c r="L138" s="53" t="n">
        <v>25</v>
      </c>
      <c r="M138" s="53" t="n">
        <v>103</v>
      </c>
      <c r="N138" s="53" t="n">
        <v>183</v>
      </c>
    </row>
    <row r="139">
      <c r="A139" s="58" t="inlineStr">
        <is>
          <t>Mark Anthony</t>
        </is>
      </c>
      <c r="B139" s="58" t="inlineStr">
        <is>
          <t>Dillon's Cocktails</t>
        </is>
      </c>
      <c r="C139" s="53" t="n">
        <v>318</v>
      </c>
      <c r="D139" s="53" t="n">
        <v>279</v>
      </c>
      <c r="E139" s="55" t="n">
        <v>14570</v>
      </c>
      <c r="F139" s="55" t="n">
        <v>12730</v>
      </c>
      <c r="G139" s="55" t="n">
        <v>5117.979999999999</v>
      </c>
      <c r="H139" s="55" t="n">
        <v>4432.069999999999</v>
      </c>
      <c r="I139" s="53" t="n">
        <v>43</v>
      </c>
      <c r="J139" s="53" t="n">
        <v>33</v>
      </c>
      <c r="K139" s="53" t="n">
        <v>14</v>
      </c>
      <c r="L139" s="53" t="n">
        <v>77</v>
      </c>
      <c r="M139" s="53" t="n">
        <v>24</v>
      </c>
      <c r="N139" s="53" t="n">
        <v>113</v>
      </c>
    </row>
    <row r="140">
      <c r="A140" s="58" t="inlineStr">
        <is>
          <t>Mark Anthony</t>
        </is>
      </c>
      <c r="B140" s="58" t="inlineStr">
        <is>
          <t>Mike's Hard Dirty Lemonade</t>
        </is>
      </c>
      <c r="C140" s="53" t="n">
        <v>0</v>
      </c>
      <c r="D140" s="53" t="n">
        <v>205</v>
      </c>
      <c r="E140" s="55" t="n">
        <v>0</v>
      </c>
      <c r="F140" s="55" t="n">
        <v>6154.5</v>
      </c>
      <c r="G140" s="55" t="n">
        <v>0</v>
      </c>
      <c r="H140" s="55" t="n">
        <v>1363.309999999999</v>
      </c>
      <c r="I140" s="53" t="n">
        <v>0</v>
      </c>
      <c r="J140" s="53" t="n">
        <v>63</v>
      </c>
      <c r="K140" s="53" t="n">
        <v>63</v>
      </c>
      <c r="L140" s="53" t="n">
        <v>211</v>
      </c>
      <c r="M140" s="53" t="n">
        <v>0</v>
      </c>
      <c r="N140" s="53" t="n">
        <v>0</v>
      </c>
    </row>
    <row r="141">
      <c r="A141" s="58" t="inlineStr">
        <is>
          <t>Mark Anthony</t>
        </is>
      </c>
      <c r="B141" s="58" t="inlineStr">
        <is>
          <t>Mike's Hard Lemonade</t>
        </is>
      </c>
      <c r="C141" s="53" t="n">
        <v>13367</v>
      </c>
      <c r="D141" s="53" t="n">
        <v>9806</v>
      </c>
      <c r="E141" s="55" t="n">
        <v>429981.1</v>
      </c>
      <c r="F141" s="55" t="n">
        <v>315351</v>
      </c>
      <c r="G141" s="55" t="n">
        <v>107172.1999999999</v>
      </c>
      <c r="H141" s="55" t="n">
        <v>80609.12000000001</v>
      </c>
      <c r="I141" s="53" t="n">
        <v>412</v>
      </c>
      <c r="J141" s="53" t="n">
        <v>380</v>
      </c>
      <c r="K141" s="53" t="n">
        <v>29</v>
      </c>
      <c r="L141" s="53" t="n">
        <v>176</v>
      </c>
      <c r="M141" s="53" t="n">
        <v>61</v>
      </c>
      <c r="N141" s="53" t="n">
        <v>981</v>
      </c>
    </row>
    <row r="142">
      <c r="A142" s="58" t="inlineStr">
        <is>
          <t>Mark Anthony</t>
        </is>
      </c>
      <c r="B142" s="58" t="inlineStr">
        <is>
          <t>Ole</t>
        </is>
      </c>
      <c r="C142" s="53" t="n">
        <v>0</v>
      </c>
      <c r="D142" s="53" t="n">
        <v>368</v>
      </c>
      <c r="E142" s="55" t="n">
        <v>0</v>
      </c>
      <c r="F142" s="55" t="n">
        <v>17545</v>
      </c>
      <c r="G142" s="55" t="n">
        <v>0</v>
      </c>
      <c r="H142" s="55" t="n">
        <v>6568.899999999999</v>
      </c>
      <c r="I142" s="53" t="n">
        <v>0</v>
      </c>
      <c r="J142" s="53" t="n">
        <v>40</v>
      </c>
      <c r="K142" s="53" t="n">
        <v>40</v>
      </c>
      <c r="L142" s="53" t="n">
        <v>381</v>
      </c>
      <c r="M142" s="53" t="n">
        <v>0</v>
      </c>
      <c r="N142" s="53" t="n">
        <v>0</v>
      </c>
    </row>
    <row r="143">
      <c r="A143" s="58" t="inlineStr">
        <is>
          <t>Misc</t>
        </is>
      </c>
      <c r="B143" s="58" t="inlineStr">
        <is>
          <t>Misc</t>
        </is>
      </c>
      <c r="C143" s="53" t="n">
        <v>0</v>
      </c>
      <c r="D143" s="53" t="n">
        <v>0</v>
      </c>
      <c r="E143" s="55" t="n">
        <v>7848.380000000001</v>
      </c>
      <c r="F143" s="55" t="n">
        <v>4107.65</v>
      </c>
      <c r="G143" s="55" t="n">
        <v>7847.330000000002</v>
      </c>
      <c r="H143" s="55" t="n">
        <v>4107.76</v>
      </c>
      <c r="I143" s="53" t="n">
        <v>0</v>
      </c>
      <c r="J143" s="53" t="n">
        <v>0</v>
      </c>
      <c r="K143" s="53" t="n">
        <v>0</v>
      </c>
      <c r="L143" s="53" t="n">
        <v>0</v>
      </c>
      <c r="M143" s="53" t="n">
        <v>0</v>
      </c>
      <c r="N143" s="53" t="n">
        <v>0</v>
      </c>
    </row>
    <row r="144">
      <c r="A144" s="58" t="inlineStr">
        <is>
          <t>Modern Infusions</t>
        </is>
      </c>
      <c r="B144" s="58" t="inlineStr">
        <is>
          <t>Fiveislands</t>
        </is>
      </c>
      <c r="C144" s="53" t="n">
        <v>0</v>
      </c>
      <c r="D144" s="53" t="n">
        <v>236</v>
      </c>
      <c r="E144" s="55" t="n">
        <v>0</v>
      </c>
      <c r="F144" s="55" t="n">
        <v>13841</v>
      </c>
      <c r="G144" s="55" t="n">
        <v>0</v>
      </c>
      <c r="H144" s="55" t="n">
        <v>7268.280000000001</v>
      </c>
      <c r="I144" s="53" t="n">
        <v>0</v>
      </c>
      <c r="J144" s="53" t="n">
        <v>17</v>
      </c>
      <c r="K144" s="53" t="n">
        <v>17</v>
      </c>
      <c r="L144" s="53" t="n">
        <v>236</v>
      </c>
      <c r="M144" s="53" t="n">
        <v>0</v>
      </c>
      <c r="N144" s="53" t="n">
        <v>0</v>
      </c>
    </row>
    <row r="145">
      <c r="A145" s="58" t="inlineStr">
        <is>
          <t>Modern Infusions</t>
        </is>
      </c>
      <c r="B145" s="58" t="inlineStr">
        <is>
          <t>Hi5</t>
        </is>
      </c>
      <c r="C145" s="53" t="n">
        <v>66</v>
      </c>
      <c r="D145" s="53" t="n">
        <v>24</v>
      </c>
      <c r="E145" s="55" t="n">
        <v>2948</v>
      </c>
      <c r="F145" s="55" t="n">
        <v>1378</v>
      </c>
      <c r="G145" s="55" t="n">
        <v>1174.58</v>
      </c>
      <c r="H145" s="55" t="n">
        <v>512.3200000000001</v>
      </c>
      <c r="I145" s="53" t="n">
        <v>13</v>
      </c>
      <c r="J145" s="53" t="n">
        <v>7</v>
      </c>
      <c r="K145" s="53" t="n">
        <v>6</v>
      </c>
      <c r="L145" s="53" t="n">
        <v>20</v>
      </c>
      <c r="M145" s="53" t="n">
        <v>12</v>
      </c>
      <c r="N145" s="53" t="n">
        <v>61</v>
      </c>
    </row>
    <row r="146">
      <c r="A146" s="58" t="inlineStr">
        <is>
          <t>Molly's</t>
        </is>
      </c>
      <c r="B146" s="58" t="inlineStr">
        <is>
          <t>Molly's</t>
        </is>
      </c>
      <c r="C146" s="53" t="n">
        <v>138</v>
      </c>
      <c r="D146" s="53" t="n">
        <v>71</v>
      </c>
      <c r="E146" s="55" t="n">
        <v>16784.74999999999</v>
      </c>
      <c r="F146" s="55" t="n">
        <v>8162.71</v>
      </c>
      <c r="G146" s="55" t="n">
        <v>2355.56</v>
      </c>
      <c r="H146" s="55" t="n">
        <v>889.5799999999999</v>
      </c>
      <c r="I146" s="53" t="n">
        <v>72</v>
      </c>
      <c r="J146" s="53" t="n">
        <v>28</v>
      </c>
      <c r="K146" s="53" t="n">
        <v>13</v>
      </c>
      <c r="L146" s="53" t="n">
        <v>24</v>
      </c>
      <c r="M146" s="53" t="n">
        <v>57</v>
      </c>
      <c r="N146" s="53" t="n">
        <v>89</v>
      </c>
    </row>
    <row r="147">
      <c r="A147" s="58" t="inlineStr">
        <is>
          <t>MolsonCoors Beverage Company</t>
        </is>
      </c>
      <c r="B147" s="58" t="inlineStr">
        <is>
          <t>Aguila</t>
        </is>
      </c>
      <c r="C147" s="53" t="n">
        <v>647</v>
      </c>
      <c r="D147" s="53" t="n">
        <v>1140</v>
      </c>
      <c r="E147" s="55" t="n">
        <v>16825.6</v>
      </c>
      <c r="F147" s="55" t="n">
        <v>29585.6</v>
      </c>
      <c r="G147" s="55" t="n">
        <v>3938.660000000001</v>
      </c>
      <c r="H147" s="55" t="n">
        <v>6879.079999999998</v>
      </c>
      <c r="I147" s="53" t="n">
        <v>78</v>
      </c>
      <c r="J147" s="53" t="n">
        <v>109</v>
      </c>
      <c r="K147" s="53" t="n">
        <v>48</v>
      </c>
      <c r="L147" s="53" t="n">
        <v>282</v>
      </c>
      <c r="M147" s="53" t="n">
        <v>17</v>
      </c>
      <c r="N147" s="53" t="n">
        <v>68</v>
      </c>
    </row>
    <row r="148">
      <c r="A148" s="58" t="inlineStr">
        <is>
          <t>MolsonCoors Beverage Company</t>
        </is>
      </c>
      <c r="B148" s="58" t="inlineStr">
        <is>
          <t>Arnold Palmer</t>
        </is>
      </c>
      <c r="C148" s="53" t="n">
        <v>6905</v>
      </c>
      <c r="D148" s="53" t="n">
        <v>4253</v>
      </c>
      <c r="E148" s="55" t="n">
        <v>188514.1100000001</v>
      </c>
      <c r="F148" s="55" t="n">
        <v>124926.26</v>
      </c>
      <c r="G148" s="55" t="n">
        <v>23489.41</v>
      </c>
      <c r="H148" s="55" t="n">
        <v>23469.67999999999</v>
      </c>
      <c r="I148" s="53" t="n">
        <v>192</v>
      </c>
      <c r="J148" s="53" t="n">
        <v>184</v>
      </c>
      <c r="K148" s="53" t="n">
        <v>20</v>
      </c>
      <c r="L148" s="53" t="n">
        <v>107</v>
      </c>
      <c r="M148" s="53" t="n">
        <v>28</v>
      </c>
      <c r="N148" s="53" t="n">
        <v>246</v>
      </c>
    </row>
    <row r="149">
      <c r="A149" s="58" t="inlineStr">
        <is>
          <t>MolsonCoors Beverage Company</t>
        </is>
      </c>
      <c r="B149" s="58" t="inlineStr">
        <is>
          <t>Coors 0.0</t>
        </is>
      </c>
      <c r="C149" s="53" t="n">
        <v>0</v>
      </c>
      <c r="D149" s="53" t="n">
        <v>298</v>
      </c>
      <c r="E149" s="55" t="n">
        <v>0</v>
      </c>
      <c r="F149" s="55" t="n">
        <v>7809.950000000001</v>
      </c>
      <c r="G149" s="55" t="n">
        <v>0</v>
      </c>
      <c r="H149" s="55" t="n">
        <v>2409.69</v>
      </c>
      <c r="I149" s="53" t="n">
        <v>0</v>
      </c>
      <c r="J149" s="53" t="n">
        <v>45</v>
      </c>
      <c r="K149" s="53" t="n">
        <v>45</v>
      </c>
      <c r="L149" s="53" t="n">
        <v>298</v>
      </c>
      <c r="M149" s="53" t="n">
        <v>0</v>
      </c>
      <c r="N149" s="53" t="n">
        <v>0</v>
      </c>
    </row>
    <row r="150">
      <c r="A150" s="58" t="inlineStr">
        <is>
          <t>MolsonCoors Beverage Company</t>
        </is>
      </c>
      <c r="B150" s="58" t="inlineStr">
        <is>
          <t>Coors Edge</t>
        </is>
      </c>
      <c r="C150" s="53" t="n">
        <v>730</v>
      </c>
      <c r="D150" s="53" t="n">
        <v>694</v>
      </c>
      <c r="E150" s="55" t="n">
        <v>16042.28000000001</v>
      </c>
      <c r="F150" s="55" t="n">
        <v>15250.9</v>
      </c>
      <c r="G150" s="55" t="n">
        <v>4441.909999999999</v>
      </c>
      <c r="H150" s="55" t="n">
        <v>4222.629999999997</v>
      </c>
      <c r="I150" s="53" t="n">
        <v>89</v>
      </c>
      <c r="J150" s="53" t="n">
        <v>89</v>
      </c>
      <c r="K150" s="53" t="n">
        <v>23</v>
      </c>
      <c r="L150" s="53" t="n">
        <v>81</v>
      </c>
      <c r="M150" s="53" t="n">
        <v>23</v>
      </c>
      <c r="N150" s="53" t="n">
        <v>101</v>
      </c>
    </row>
    <row r="151">
      <c r="A151" s="58" t="inlineStr">
        <is>
          <t>MolsonCoors Beverage Company</t>
        </is>
      </c>
      <c r="B151" s="58" t="inlineStr">
        <is>
          <t>Cusquena</t>
        </is>
      </c>
      <c r="C151" s="53" t="n">
        <v>1324</v>
      </c>
      <c r="D151" s="53" t="n">
        <v>1690</v>
      </c>
      <c r="E151" s="55" t="n">
        <v>34308.2</v>
      </c>
      <c r="F151" s="55" t="n">
        <v>43780.80000000003</v>
      </c>
      <c r="G151" s="55" t="n">
        <v>7951.500000000007</v>
      </c>
      <c r="H151" s="55" t="n">
        <v>10138.13</v>
      </c>
      <c r="I151" s="53" t="n">
        <v>119</v>
      </c>
      <c r="J151" s="53" t="n">
        <v>127</v>
      </c>
      <c r="K151" s="53" t="n">
        <v>35</v>
      </c>
      <c r="L151" s="53" t="n">
        <v>178</v>
      </c>
      <c r="M151" s="53" t="n">
        <v>27</v>
      </c>
      <c r="N151" s="53" t="n">
        <v>129</v>
      </c>
    </row>
    <row r="152">
      <c r="A152" s="58" t="inlineStr">
        <is>
          <t>MolsonCoors Beverage Company</t>
        </is>
      </c>
      <c r="B152" s="58" t="inlineStr">
        <is>
          <t>Fosters</t>
        </is>
      </c>
      <c r="C152" s="53" t="n">
        <v>6263</v>
      </c>
      <c r="D152" s="53" t="n">
        <v>5899</v>
      </c>
      <c r="E152" s="55" t="n">
        <v>140784.3</v>
      </c>
      <c r="F152" s="55" t="n">
        <v>132425.4</v>
      </c>
      <c r="G152" s="55" t="n">
        <v>28876.16000000001</v>
      </c>
      <c r="H152" s="55" t="n">
        <v>27149.07000000001</v>
      </c>
      <c r="I152" s="53" t="n">
        <v>317</v>
      </c>
      <c r="J152" s="53" t="n">
        <v>297</v>
      </c>
      <c r="K152" s="53" t="n">
        <v>33</v>
      </c>
      <c r="L152" s="53" t="n">
        <v>200</v>
      </c>
      <c r="M152" s="53" t="n">
        <v>53</v>
      </c>
      <c r="N152" s="53" t="n">
        <v>525</v>
      </c>
    </row>
    <row r="153">
      <c r="A153" s="58" t="inlineStr">
        <is>
          <t>MolsonCoors Beverage Company</t>
        </is>
      </c>
      <c r="B153" s="58" t="inlineStr">
        <is>
          <t>George Killian's</t>
        </is>
      </c>
      <c r="C153" s="53" t="n">
        <v>624</v>
      </c>
      <c r="D153" s="53" t="n">
        <v>563</v>
      </c>
      <c r="E153" s="55" t="n">
        <v>17010.5</v>
      </c>
      <c r="F153" s="55" t="n">
        <v>15428</v>
      </c>
      <c r="G153" s="55" t="n">
        <v>4630.510000000006</v>
      </c>
      <c r="H153" s="55" t="n">
        <v>4227.780000000005</v>
      </c>
      <c r="I153" s="53" t="n">
        <v>85</v>
      </c>
      <c r="J153" s="53" t="n">
        <v>82</v>
      </c>
      <c r="K153" s="53" t="n">
        <v>19</v>
      </c>
      <c r="L153" s="53" t="n">
        <v>54</v>
      </c>
      <c r="M153" s="53" t="n">
        <v>22</v>
      </c>
      <c r="N153" s="53" t="n">
        <v>128</v>
      </c>
    </row>
    <row r="154">
      <c r="A154" s="58" t="inlineStr">
        <is>
          <t>MolsonCoors Beverage Company</t>
        </is>
      </c>
      <c r="B154" s="58" t="inlineStr">
        <is>
          <t>Grolsch</t>
        </is>
      </c>
      <c r="C154" s="53" t="n">
        <v>1809</v>
      </c>
      <c r="D154" s="53" t="n">
        <v>1493</v>
      </c>
      <c r="E154" s="55" t="n">
        <v>61861.80000000004</v>
      </c>
      <c r="F154" s="55" t="n">
        <v>50929.2</v>
      </c>
      <c r="G154" s="55" t="n">
        <v>12190.3</v>
      </c>
      <c r="H154" s="55" t="n">
        <v>10040.02999999999</v>
      </c>
      <c r="I154" s="53" t="n">
        <v>202</v>
      </c>
      <c r="J154" s="53" t="n">
        <v>194</v>
      </c>
      <c r="K154" s="53" t="n">
        <v>42</v>
      </c>
      <c r="L154" s="53" t="n">
        <v>148</v>
      </c>
      <c r="M154" s="53" t="n">
        <v>50</v>
      </c>
      <c r="N154" s="53" t="n">
        <v>248</v>
      </c>
    </row>
    <row r="155">
      <c r="A155" s="58" t="inlineStr">
        <is>
          <t>MolsonCoors Beverage Company</t>
        </is>
      </c>
      <c r="B155" s="58" t="inlineStr">
        <is>
          <t>Hamm's</t>
        </is>
      </c>
      <c r="C155" s="53" t="n">
        <v>565</v>
      </c>
      <c r="D155" s="53" t="n">
        <v>621</v>
      </c>
      <c r="E155" s="55" t="n">
        <v>7184</v>
      </c>
      <c r="F155" s="55" t="n">
        <v>8426</v>
      </c>
      <c r="G155" s="55" t="n">
        <v>798.1299999999999</v>
      </c>
      <c r="H155" s="55" t="n">
        <v>1054.33</v>
      </c>
      <c r="I155" s="53" t="n">
        <v>11</v>
      </c>
      <c r="J155" s="53" t="n">
        <v>16</v>
      </c>
      <c r="K155" s="53" t="n">
        <v>5</v>
      </c>
      <c r="L155" s="53" t="n">
        <v>62</v>
      </c>
      <c r="M155" s="53" t="n">
        <v>0</v>
      </c>
      <c r="N155" s="53" t="n">
        <v>0</v>
      </c>
    </row>
    <row r="156">
      <c r="A156" s="58" t="inlineStr">
        <is>
          <t>MolsonCoors Beverage Company</t>
        </is>
      </c>
      <c r="B156" s="58" t="inlineStr">
        <is>
          <t>Happy Thursday Spiked Refresher</t>
        </is>
      </c>
      <c r="C156" s="53" t="n">
        <v>121</v>
      </c>
      <c r="D156" s="53" t="n">
        <v>6</v>
      </c>
      <c r="E156" s="55" t="n">
        <v>3577.33</v>
      </c>
      <c r="F156" s="55" t="n">
        <v>174.3</v>
      </c>
      <c r="G156" s="55" t="n">
        <v>642.51</v>
      </c>
      <c r="H156" s="55" t="n">
        <v>29.19</v>
      </c>
      <c r="I156" s="53" t="n">
        <v>19</v>
      </c>
      <c r="J156" s="53" t="n">
        <v>2</v>
      </c>
      <c r="K156" s="53" t="n">
        <v>1</v>
      </c>
      <c r="L156" s="53" t="n">
        <v>2</v>
      </c>
      <c r="M156" s="53" t="n">
        <v>18</v>
      </c>
      <c r="N156" s="53" t="n">
        <v>119</v>
      </c>
    </row>
    <row r="157">
      <c r="A157" s="58" t="inlineStr">
        <is>
          <t>MolsonCoors Beverage Company</t>
        </is>
      </c>
      <c r="B157" s="58" t="inlineStr">
        <is>
          <t>Keystone</t>
        </is>
      </c>
      <c r="C157" s="53" t="n">
        <v>4150</v>
      </c>
      <c r="D157" s="53" t="n">
        <v>6280</v>
      </c>
      <c r="E157" s="55" t="n">
        <v>52733.8</v>
      </c>
      <c r="F157" s="55" t="n">
        <v>91063.89999999998</v>
      </c>
      <c r="G157" s="55" t="n">
        <v>7444.230000000002</v>
      </c>
      <c r="H157" s="55" t="n">
        <v>18818.80000000001</v>
      </c>
      <c r="I157" s="53" t="n">
        <v>97</v>
      </c>
      <c r="J157" s="53" t="n">
        <v>197</v>
      </c>
      <c r="K157" s="53" t="n">
        <v>110</v>
      </c>
      <c r="L157" s="53" t="n">
        <v>1892</v>
      </c>
      <c r="M157" s="53" t="n">
        <v>10</v>
      </c>
      <c r="N157" s="53" t="n">
        <v>302</v>
      </c>
    </row>
    <row r="158">
      <c r="A158" s="58" t="inlineStr">
        <is>
          <t>MolsonCoors Beverage Company</t>
        </is>
      </c>
      <c r="B158" s="58" t="inlineStr">
        <is>
          <t>Leinenkugel</t>
        </is>
      </c>
      <c r="C158" s="53" t="n">
        <v>9001</v>
      </c>
      <c r="D158" s="53" t="n">
        <v>9708</v>
      </c>
      <c r="E158" s="55" t="n">
        <v>292819.24</v>
      </c>
      <c r="F158" s="55" t="n">
        <v>314179.1099999999</v>
      </c>
      <c r="G158" s="55" t="n">
        <v>66071.78</v>
      </c>
      <c r="H158" s="55" t="n">
        <v>68946.20999999999</v>
      </c>
      <c r="I158" s="53" t="n">
        <v>373</v>
      </c>
      <c r="J158" s="53" t="n">
        <v>361</v>
      </c>
      <c r="K158" s="53" t="n">
        <v>82</v>
      </c>
      <c r="L158" s="53" t="n">
        <v>584</v>
      </c>
      <c r="M158" s="53" t="n">
        <v>94</v>
      </c>
      <c r="N158" s="53" t="n">
        <v>623</v>
      </c>
    </row>
    <row r="159">
      <c r="A159" s="58" t="inlineStr">
        <is>
          <t>MolsonCoors Beverage Company</t>
        </is>
      </c>
      <c r="B159" s="58" t="inlineStr">
        <is>
          <t>Miller Extra Light</t>
        </is>
      </c>
      <c r="C159" s="53" t="n">
        <v>3159</v>
      </c>
      <c r="D159" s="53" t="n">
        <v>2529</v>
      </c>
      <c r="E159" s="55" t="n">
        <v>69850.93999999997</v>
      </c>
      <c r="F159" s="55" t="n">
        <v>58098.48</v>
      </c>
      <c r="G159" s="55" t="n">
        <v>17296.69000000001</v>
      </c>
      <c r="H159" s="55" t="n">
        <v>14525.51</v>
      </c>
      <c r="I159" s="53" t="n">
        <v>115</v>
      </c>
      <c r="J159" s="53" t="n">
        <v>108</v>
      </c>
      <c r="K159" s="53" t="n">
        <v>17</v>
      </c>
      <c r="L159" s="53" t="n">
        <v>98</v>
      </c>
      <c r="M159" s="53" t="n">
        <v>24</v>
      </c>
      <c r="N159" s="53" t="n">
        <v>176</v>
      </c>
    </row>
    <row r="160">
      <c r="A160" s="58" t="inlineStr">
        <is>
          <t>MolsonCoors Beverage Company</t>
        </is>
      </c>
      <c r="B160" s="58" t="inlineStr">
        <is>
          <t>Miller Genuine Draft</t>
        </is>
      </c>
      <c r="C160" s="53" t="n">
        <v>2842</v>
      </c>
      <c r="D160" s="53" t="n">
        <v>2220</v>
      </c>
      <c r="E160" s="55" t="n">
        <v>66574.85000000001</v>
      </c>
      <c r="F160" s="55" t="n">
        <v>53873.25000000004</v>
      </c>
      <c r="G160" s="55" t="n">
        <v>16570.49000000001</v>
      </c>
      <c r="H160" s="55" t="n">
        <v>13463.32</v>
      </c>
      <c r="I160" s="53" t="n">
        <v>184</v>
      </c>
      <c r="J160" s="53" t="n">
        <v>171</v>
      </c>
      <c r="K160" s="53" t="n">
        <v>26</v>
      </c>
      <c r="L160" s="53" t="n">
        <v>150</v>
      </c>
      <c r="M160" s="53" t="n">
        <v>39</v>
      </c>
      <c r="N160" s="53" t="n">
        <v>239</v>
      </c>
    </row>
    <row r="161">
      <c r="A161" s="58" t="inlineStr">
        <is>
          <t>MolsonCoors Beverage Company</t>
        </is>
      </c>
      <c r="B161" s="58" t="inlineStr">
        <is>
          <t>Miller High Life</t>
        </is>
      </c>
      <c r="C161" s="53" t="n">
        <v>19016</v>
      </c>
      <c r="D161" s="53" t="n">
        <v>18106</v>
      </c>
      <c r="E161" s="55" t="n">
        <v>338133.1899999999</v>
      </c>
      <c r="F161" s="55" t="n">
        <v>329946.4099999999</v>
      </c>
      <c r="G161" s="55" t="n">
        <v>70621.82999999999</v>
      </c>
      <c r="H161" s="55" t="n">
        <v>69562.67999999998</v>
      </c>
      <c r="I161" s="53" t="n">
        <v>435</v>
      </c>
      <c r="J161" s="53" t="n">
        <v>436</v>
      </c>
      <c r="K161" s="53" t="n">
        <v>63</v>
      </c>
      <c r="L161" s="53" t="n">
        <v>649</v>
      </c>
      <c r="M161" s="53" t="n">
        <v>62</v>
      </c>
      <c r="N161" s="53" t="n">
        <v>465</v>
      </c>
    </row>
    <row r="162">
      <c r="A162" s="58" t="inlineStr">
        <is>
          <t>MolsonCoors Beverage Company</t>
        </is>
      </c>
      <c r="B162" s="58" t="inlineStr">
        <is>
          <t>Milwaukee's Best Ice</t>
        </is>
      </c>
      <c r="C162" s="53" t="n">
        <v>1837</v>
      </c>
      <c r="D162" s="53" t="n">
        <v>1817</v>
      </c>
      <c r="E162" s="55" t="n">
        <v>23086.69999999999</v>
      </c>
      <c r="F162" s="55" t="n">
        <v>22786.2</v>
      </c>
      <c r="G162" s="55" t="n">
        <v>2902.14</v>
      </c>
      <c r="H162" s="55" t="n">
        <v>2705.7</v>
      </c>
      <c r="I162" s="53" t="n">
        <v>55</v>
      </c>
      <c r="J162" s="53" t="n">
        <v>48</v>
      </c>
      <c r="K162" s="53" t="n">
        <v>5</v>
      </c>
      <c r="L162" s="53" t="n">
        <v>101</v>
      </c>
      <c r="M162" s="53" t="n">
        <v>12</v>
      </c>
      <c r="N162" s="53" t="n">
        <v>104</v>
      </c>
    </row>
    <row r="163">
      <c r="A163" s="58" t="inlineStr">
        <is>
          <t>MolsonCoors Beverage Company</t>
        </is>
      </c>
      <c r="B163" s="58" t="inlineStr">
        <is>
          <t>Milwaukee's Best Light</t>
        </is>
      </c>
      <c r="C163" s="53" t="n">
        <v>223</v>
      </c>
      <c r="D163" s="53" t="n">
        <v>231</v>
      </c>
      <c r="E163" s="55" t="n">
        <v>3560</v>
      </c>
      <c r="F163" s="55" t="n">
        <v>3864</v>
      </c>
      <c r="G163" s="55" t="n">
        <v>723.6600000000001</v>
      </c>
      <c r="H163" s="55" t="n">
        <v>803.26</v>
      </c>
      <c r="I163" s="53" t="n">
        <v>6</v>
      </c>
      <c r="J163" s="53" t="n">
        <v>6</v>
      </c>
      <c r="K163" s="53" t="n">
        <v>0</v>
      </c>
      <c r="L163" s="53" t="n">
        <v>0</v>
      </c>
      <c r="M163" s="53" t="n">
        <v>0</v>
      </c>
      <c r="N163" s="53" t="n">
        <v>0</v>
      </c>
    </row>
    <row r="164">
      <c r="A164" s="58" t="inlineStr">
        <is>
          <t>MolsonCoors Beverage Company</t>
        </is>
      </c>
      <c r="B164" s="58" t="inlineStr">
        <is>
          <t>Molson</t>
        </is>
      </c>
      <c r="C164" s="53" t="n">
        <v>2772</v>
      </c>
      <c r="D164" s="53" t="n">
        <v>2345</v>
      </c>
      <c r="E164" s="55" t="n">
        <v>68656</v>
      </c>
      <c r="F164" s="55" t="n">
        <v>58190.34999999998</v>
      </c>
      <c r="G164" s="55" t="n">
        <v>16678.90999999999</v>
      </c>
      <c r="H164" s="55" t="n">
        <v>13813.98</v>
      </c>
      <c r="I164" s="53" t="n">
        <v>130</v>
      </c>
      <c r="J164" s="53" t="n">
        <v>119</v>
      </c>
      <c r="K164" s="53" t="n">
        <v>18</v>
      </c>
      <c r="L164" s="53" t="n">
        <v>103</v>
      </c>
      <c r="M164" s="53" t="n">
        <v>29</v>
      </c>
      <c r="N164" s="53" t="n">
        <v>211</v>
      </c>
    </row>
    <row r="165">
      <c r="A165" s="58" t="inlineStr">
        <is>
          <t>MolsonCoors Beverage Company</t>
        </is>
      </c>
      <c r="B165" s="58" t="inlineStr">
        <is>
          <t>Monaco</t>
        </is>
      </c>
      <c r="C165" s="53" t="n">
        <v>0</v>
      </c>
      <c r="D165" s="53" t="n">
        <v>758</v>
      </c>
      <c r="E165" s="55" t="n">
        <v>0</v>
      </c>
      <c r="F165" s="55" t="n">
        <v>34797.2</v>
      </c>
      <c r="G165" s="55" t="n">
        <v>0</v>
      </c>
      <c r="H165" s="55" t="n">
        <v>14425.7</v>
      </c>
      <c r="I165" s="53" t="n">
        <v>0</v>
      </c>
      <c r="J165" s="53" t="n">
        <v>89</v>
      </c>
      <c r="K165" s="53" t="n">
        <v>89</v>
      </c>
      <c r="L165" s="53" t="n">
        <v>758</v>
      </c>
      <c r="M165" s="53" t="n">
        <v>0</v>
      </c>
      <c r="N165" s="53" t="n">
        <v>0</v>
      </c>
    </row>
    <row r="166">
      <c r="A166" s="58" t="inlineStr">
        <is>
          <t>MolsonCoors Beverage Company</t>
        </is>
      </c>
      <c r="B166" s="58" t="inlineStr">
        <is>
          <t>NaKed Life</t>
        </is>
      </c>
      <c r="C166" s="53" t="n">
        <v>0</v>
      </c>
      <c r="D166" s="53" t="n">
        <v>7</v>
      </c>
      <c r="E166" s="55" t="n">
        <v>0</v>
      </c>
      <c r="F166" s="55" t="n">
        <v>458.59</v>
      </c>
      <c r="G166" s="55" t="n">
        <v>0</v>
      </c>
      <c r="H166" s="55" t="n">
        <v>121.67</v>
      </c>
      <c r="I166" s="53" t="n">
        <v>0</v>
      </c>
      <c r="J166" s="53" t="n">
        <v>1</v>
      </c>
      <c r="K166" s="53" t="n">
        <v>1</v>
      </c>
      <c r="L166" s="53" t="n">
        <v>7</v>
      </c>
      <c r="M166" s="53" t="n">
        <v>0</v>
      </c>
      <c r="N166" s="53" t="n">
        <v>0</v>
      </c>
    </row>
    <row r="167">
      <c r="A167" s="58" t="inlineStr">
        <is>
          <t>MolsonCoors Beverage Company</t>
        </is>
      </c>
      <c r="B167" s="58" t="inlineStr">
        <is>
          <t>Old English</t>
        </is>
      </c>
      <c r="C167" s="53" t="n">
        <v>1692</v>
      </c>
      <c r="D167" s="53" t="n">
        <v>1535</v>
      </c>
      <c r="E167" s="55" t="n">
        <v>25684.65</v>
      </c>
      <c r="F167" s="55" t="n">
        <v>23267.25</v>
      </c>
      <c r="G167" s="55" t="n">
        <v>5225.130000000002</v>
      </c>
      <c r="H167" s="55" t="n">
        <v>4732.240000000003</v>
      </c>
      <c r="I167" s="53" t="n">
        <v>86</v>
      </c>
      <c r="J167" s="53" t="n">
        <v>78</v>
      </c>
      <c r="K167" s="53" t="n">
        <v>15</v>
      </c>
      <c r="L167" s="53" t="n">
        <v>163</v>
      </c>
      <c r="M167" s="53" t="n">
        <v>23</v>
      </c>
      <c r="N167" s="53" t="n">
        <v>282</v>
      </c>
    </row>
    <row r="168">
      <c r="A168" s="58" t="inlineStr">
        <is>
          <t>MolsonCoors Beverage Company</t>
        </is>
      </c>
      <c r="B168" s="58" t="inlineStr">
        <is>
          <t>Pilsner Urquell</t>
        </is>
      </c>
      <c r="C168" s="53" t="n">
        <v>2949</v>
      </c>
      <c r="D168" s="53" t="n">
        <v>3222</v>
      </c>
      <c r="E168" s="55" t="n">
        <v>91722.67999999999</v>
      </c>
      <c r="F168" s="55" t="n">
        <v>100508.23</v>
      </c>
      <c r="G168" s="55" t="n">
        <v>19781.65000000002</v>
      </c>
      <c r="H168" s="55" t="n">
        <v>21664.50000000002</v>
      </c>
      <c r="I168" s="53" t="n">
        <v>173</v>
      </c>
      <c r="J168" s="53" t="n">
        <v>180</v>
      </c>
      <c r="K168" s="53" t="n">
        <v>35</v>
      </c>
      <c r="L168" s="53" t="n">
        <v>195</v>
      </c>
      <c r="M168" s="53" t="n">
        <v>28</v>
      </c>
      <c r="N168" s="53" t="n">
        <v>178</v>
      </c>
    </row>
    <row r="169">
      <c r="A169" s="58" t="inlineStr">
        <is>
          <t>MolsonCoors Beverage Company</t>
        </is>
      </c>
      <c r="B169" s="58" t="inlineStr">
        <is>
          <t>Redd's</t>
        </is>
      </c>
      <c r="C169" s="53" t="n">
        <v>244</v>
      </c>
      <c r="D169" s="53" t="n">
        <v>186</v>
      </c>
      <c r="E169" s="55" t="n">
        <v>7471.7</v>
      </c>
      <c r="F169" s="55" t="n">
        <v>5718.799999999999</v>
      </c>
      <c r="G169" s="55" t="n">
        <v>1688.28</v>
      </c>
      <c r="H169" s="55" t="n">
        <v>1298.74</v>
      </c>
      <c r="I169" s="53" t="n">
        <v>49</v>
      </c>
      <c r="J169" s="53" t="n">
        <v>38</v>
      </c>
      <c r="K169" s="53" t="n">
        <v>10</v>
      </c>
      <c r="L169" s="53" t="n">
        <v>29</v>
      </c>
      <c r="M169" s="53" t="n">
        <v>21</v>
      </c>
      <c r="N169" s="53" t="n">
        <v>73</v>
      </c>
    </row>
    <row r="170">
      <c r="A170" s="58" t="inlineStr">
        <is>
          <t>MolsonCoors Beverage Company</t>
        </is>
      </c>
      <c r="B170" s="58" t="inlineStr">
        <is>
          <t>Redd's Wicked</t>
        </is>
      </c>
      <c r="C170" s="53" t="n">
        <v>573</v>
      </c>
      <c r="D170" s="53" t="n">
        <v>574</v>
      </c>
      <c r="E170" s="55" t="n">
        <v>12908.9</v>
      </c>
      <c r="F170" s="55" t="n">
        <v>13363</v>
      </c>
      <c r="G170" s="55" t="n">
        <v>896.0700000000004</v>
      </c>
      <c r="H170" s="55" t="n">
        <v>1170.180000000001</v>
      </c>
      <c r="I170" s="53" t="n">
        <v>64</v>
      </c>
      <c r="J170" s="53" t="n">
        <v>74</v>
      </c>
      <c r="K170" s="53" t="n">
        <v>18</v>
      </c>
      <c r="L170" s="53" t="n">
        <v>48</v>
      </c>
      <c r="M170" s="53" t="n">
        <v>8</v>
      </c>
      <c r="N170" s="53" t="n">
        <v>25</v>
      </c>
    </row>
    <row r="171">
      <c r="A171" s="58" t="inlineStr">
        <is>
          <t>MolsonCoors Beverage Company</t>
        </is>
      </c>
      <c r="B171" s="58" t="inlineStr">
        <is>
          <t>Simply Spiked</t>
        </is>
      </c>
      <c r="C171" s="53" t="n">
        <v>1556</v>
      </c>
      <c r="D171" s="53" t="n">
        <v>660</v>
      </c>
      <c r="E171" s="55" t="n">
        <v>46047.79999999997</v>
      </c>
      <c r="F171" s="55" t="n">
        <v>19827.18</v>
      </c>
      <c r="G171" s="55" t="n">
        <v>9353.550000000007</v>
      </c>
      <c r="H171" s="55" t="n">
        <v>4133.429999999999</v>
      </c>
      <c r="I171" s="53" t="n">
        <v>175</v>
      </c>
      <c r="J171" s="53" t="n">
        <v>76</v>
      </c>
      <c r="K171" s="53" t="n">
        <v>5</v>
      </c>
      <c r="L171" s="53" t="n">
        <v>29</v>
      </c>
      <c r="M171" s="53" t="n">
        <v>104</v>
      </c>
      <c r="N171" s="53" t="n">
        <v>538</v>
      </c>
    </row>
    <row r="172">
      <c r="A172" s="58" t="inlineStr">
        <is>
          <t>MolsonCoors Beverage Company</t>
        </is>
      </c>
      <c r="B172" s="58" t="inlineStr">
        <is>
          <t>Sol</t>
        </is>
      </c>
      <c r="C172" s="53" t="n">
        <v>322</v>
      </c>
      <c r="D172" s="53" t="n">
        <v>305</v>
      </c>
      <c r="E172" s="55" t="n">
        <v>9484.749999999996</v>
      </c>
      <c r="F172" s="55" t="n">
        <v>8911.049999999997</v>
      </c>
      <c r="G172" s="55" t="n">
        <v>2271.8</v>
      </c>
      <c r="H172" s="55" t="n">
        <v>2086.000000000001</v>
      </c>
      <c r="I172" s="53" t="n">
        <v>58</v>
      </c>
      <c r="J172" s="53" t="n">
        <v>56</v>
      </c>
      <c r="K172" s="53" t="n">
        <v>18</v>
      </c>
      <c r="L172" s="53" t="n">
        <v>79</v>
      </c>
      <c r="M172" s="53" t="n">
        <v>20</v>
      </c>
      <c r="N172" s="53" t="n">
        <v>92</v>
      </c>
    </row>
    <row r="173">
      <c r="A173" s="58" t="inlineStr">
        <is>
          <t>MolsonCoors Beverage Company</t>
        </is>
      </c>
      <c r="B173" s="58" t="inlineStr">
        <is>
          <t>Steel Reserve</t>
        </is>
      </c>
      <c r="C173" s="53" t="n">
        <v>3469</v>
      </c>
      <c r="D173" s="53" t="n">
        <v>2910</v>
      </c>
      <c r="E173" s="55" t="n">
        <v>52649.59999999999</v>
      </c>
      <c r="F173" s="55" t="n">
        <v>44302.85000000001</v>
      </c>
      <c r="G173" s="55" t="n">
        <v>11400.63000000001</v>
      </c>
      <c r="H173" s="55" t="n">
        <v>9688.340000000013</v>
      </c>
      <c r="I173" s="53" t="n">
        <v>150</v>
      </c>
      <c r="J173" s="53" t="n">
        <v>134</v>
      </c>
      <c r="K173" s="53" t="n">
        <v>15</v>
      </c>
      <c r="L173" s="53" t="n">
        <v>163</v>
      </c>
      <c r="M173" s="53" t="n">
        <v>31</v>
      </c>
      <c r="N173" s="53" t="n">
        <v>303</v>
      </c>
    </row>
    <row r="174">
      <c r="A174" s="58" t="inlineStr">
        <is>
          <t>MolsonCoors Beverage Company</t>
        </is>
      </c>
      <c r="B174" s="58" t="inlineStr">
        <is>
          <t>Steel Reserve Alloy Series</t>
        </is>
      </c>
      <c r="C174" s="53" t="n">
        <v>9</v>
      </c>
      <c r="D174" s="53" t="n">
        <v>0</v>
      </c>
      <c r="E174" s="55" t="n">
        <v>186.3</v>
      </c>
      <c r="F174" s="55" t="n">
        <v>0</v>
      </c>
      <c r="G174" s="55" t="n">
        <v>45.27</v>
      </c>
      <c r="H174" s="55" t="n">
        <v>0</v>
      </c>
      <c r="I174" s="53" t="n">
        <v>4</v>
      </c>
      <c r="J174" s="53" t="n">
        <v>0</v>
      </c>
      <c r="K174" s="53" t="n">
        <v>0</v>
      </c>
      <c r="L174" s="53" t="n">
        <v>0</v>
      </c>
      <c r="M174" s="53" t="n">
        <v>4</v>
      </c>
      <c r="N174" s="53" t="n">
        <v>9</v>
      </c>
    </row>
    <row r="175">
      <c r="A175" s="58" t="inlineStr">
        <is>
          <t>MolsonCoors Beverage Company</t>
        </is>
      </c>
      <c r="B175" s="58" t="inlineStr">
        <is>
          <t>Topo Chico</t>
        </is>
      </c>
      <c r="C175" s="53" t="n">
        <v>1036</v>
      </c>
      <c r="D175" s="53" t="n">
        <v>404</v>
      </c>
      <c r="E175" s="55" t="n">
        <v>31651.29999999998</v>
      </c>
      <c r="F175" s="55" t="n">
        <v>12855.2</v>
      </c>
      <c r="G175" s="55" t="n">
        <v>8372.190000000001</v>
      </c>
      <c r="H175" s="55" t="n">
        <v>3583.71</v>
      </c>
      <c r="I175" s="53" t="n">
        <v>118</v>
      </c>
      <c r="J175" s="53" t="n">
        <v>51</v>
      </c>
      <c r="K175" s="53" t="n">
        <v>9</v>
      </c>
      <c r="L175" s="53" t="n">
        <v>31</v>
      </c>
      <c r="M175" s="53" t="n">
        <v>76</v>
      </c>
      <c r="N175" s="53" t="n">
        <v>404</v>
      </c>
    </row>
    <row r="176">
      <c r="A176" s="58" t="inlineStr">
        <is>
          <t>MolsonCoors Beverage Company</t>
        </is>
      </c>
      <c r="B176" s="58" t="inlineStr">
        <is>
          <t>Tyskie Gronie</t>
        </is>
      </c>
      <c r="C176" s="53" t="n">
        <v>6096</v>
      </c>
      <c r="D176" s="53" t="n">
        <v>5979</v>
      </c>
      <c r="E176" s="55" t="n">
        <v>119925.85</v>
      </c>
      <c r="F176" s="55" t="n">
        <v>116474.65</v>
      </c>
      <c r="G176" s="55" t="n">
        <v>23338.23</v>
      </c>
      <c r="H176" s="55" t="n">
        <v>22766.65999999999</v>
      </c>
      <c r="I176" s="53" t="n">
        <v>118</v>
      </c>
      <c r="J176" s="53" t="n">
        <v>120</v>
      </c>
      <c r="K176" s="53" t="n">
        <v>24</v>
      </c>
      <c r="L176" s="53" t="n">
        <v>141</v>
      </c>
      <c r="M176" s="53" t="n">
        <v>22</v>
      </c>
      <c r="N176" s="53" t="n">
        <v>192</v>
      </c>
    </row>
    <row r="177">
      <c r="A177" s="58" t="inlineStr">
        <is>
          <t>MolsonCoors Beverage Company</t>
        </is>
      </c>
      <c r="B177" s="58" t="inlineStr">
        <is>
          <t>Vizzy</t>
        </is>
      </c>
      <c r="C177" s="53" t="n">
        <v>493</v>
      </c>
      <c r="D177" s="53" t="n">
        <v>197</v>
      </c>
      <c r="E177" s="55" t="n">
        <v>15330</v>
      </c>
      <c r="F177" s="55" t="n">
        <v>6176</v>
      </c>
      <c r="G177" s="55" t="n">
        <v>4045.619999999999</v>
      </c>
      <c r="H177" s="55" t="n">
        <v>1667.059999999999</v>
      </c>
      <c r="I177" s="53" t="n">
        <v>50</v>
      </c>
      <c r="J177" s="53" t="n">
        <v>32</v>
      </c>
      <c r="K177" s="53" t="n">
        <v>6</v>
      </c>
      <c r="L177" s="53" t="n">
        <v>16</v>
      </c>
      <c r="M177" s="53" t="n">
        <v>24</v>
      </c>
      <c r="N177" s="53" t="n">
        <v>199</v>
      </c>
    </row>
    <row r="178">
      <c r="A178" s="58" t="inlineStr">
        <is>
          <t>Montauk Brewing Co</t>
        </is>
      </c>
      <c r="B178" s="58" t="inlineStr">
        <is>
          <t>Montauk</t>
        </is>
      </c>
      <c r="C178" s="53" t="n">
        <v>8995</v>
      </c>
      <c r="D178" s="53" t="n">
        <v>8663</v>
      </c>
      <c r="E178" s="55" t="n">
        <v>320701.5999999999</v>
      </c>
      <c r="F178" s="55" t="n">
        <v>314999.2299999999</v>
      </c>
      <c r="G178" s="55" t="n">
        <v>81073.82000000005</v>
      </c>
      <c r="H178" s="55" t="n">
        <v>80057.71000000008</v>
      </c>
      <c r="I178" s="53" t="n">
        <v>396</v>
      </c>
      <c r="J178" s="53" t="n">
        <v>431</v>
      </c>
      <c r="K178" s="53" t="n">
        <v>121</v>
      </c>
      <c r="L178" s="53" t="n">
        <v>1292</v>
      </c>
      <c r="M178" s="53" t="n">
        <v>86</v>
      </c>
      <c r="N178" s="53" t="n">
        <v>914</v>
      </c>
    </row>
    <row r="179">
      <c r="A179" s="58" t="inlineStr">
        <is>
          <t>Montauk Brewing Co</t>
        </is>
      </c>
      <c r="B179" s="58" t="inlineStr">
        <is>
          <t>Popsicle Hard</t>
        </is>
      </c>
      <c r="C179" s="53" t="n">
        <v>0</v>
      </c>
      <c r="D179" s="53" t="n">
        <v>444</v>
      </c>
      <c r="E179" s="55" t="n">
        <v>0</v>
      </c>
      <c r="F179" s="55" t="n">
        <v>12951</v>
      </c>
      <c r="G179" s="55" t="n">
        <v>0</v>
      </c>
      <c r="H179" s="55" t="n">
        <v>3001.68</v>
      </c>
      <c r="I179" s="53" t="n">
        <v>0</v>
      </c>
      <c r="J179" s="53" t="n">
        <v>75</v>
      </c>
      <c r="K179" s="53" t="n">
        <v>75</v>
      </c>
      <c r="L179" s="53" t="n">
        <v>450</v>
      </c>
      <c r="M179" s="53" t="n">
        <v>0</v>
      </c>
      <c r="N179" s="53" t="n">
        <v>0</v>
      </c>
    </row>
    <row r="180">
      <c r="A180" s="58" t="inlineStr">
        <is>
          <t>Narragansett</t>
        </is>
      </c>
      <c r="B180" s="58" t="inlineStr">
        <is>
          <t>Del's Shandy</t>
        </is>
      </c>
      <c r="C180" s="53" t="n">
        <v>417</v>
      </c>
      <c r="D180" s="53" t="n">
        <v>414</v>
      </c>
      <c r="E180" s="55" t="n">
        <v>11896.5</v>
      </c>
      <c r="F180" s="55" t="n">
        <v>11796</v>
      </c>
      <c r="G180" s="55" t="n">
        <v>3451.630000000001</v>
      </c>
      <c r="H180" s="55" t="n">
        <v>3433.279999999999</v>
      </c>
      <c r="I180" s="53" t="n">
        <v>44</v>
      </c>
      <c r="J180" s="53" t="n">
        <v>52</v>
      </c>
      <c r="K180" s="53" t="n">
        <v>19</v>
      </c>
      <c r="L180" s="53" t="n">
        <v>114</v>
      </c>
      <c r="M180" s="53" t="n">
        <v>11</v>
      </c>
      <c r="N180" s="53" t="n">
        <v>54</v>
      </c>
    </row>
    <row r="181">
      <c r="A181" s="58" t="inlineStr">
        <is>
          <t>Narragansett</t>
        </is>
      </c>
      <c r="B181" s="58" t="inlineStr">
        <is>
          <t>Narragansett</t>
        </is>
      </c>
      <c r="C181" s="53" t="n">
        <v>2707</v>
      </c>
      <c r="D181" s="53" t="n">
        <v>2624</v>
      </c>
      <c r="E181" s="55" t="n">
        <v>54821</v>
      </c>
      <c r="F181" s="55" t="n">
        <v>54217.75</v>
      </c>
      <c r="G181" s="55" t="n">
        <v>13694.35</v>
      </c>
      <c r="H181" s="55" t="n">
        <v>13717.63</v>
      </c>
      <c r="I181" s="53" t="n">
        <v>119</v>
      </c>
      <c r="J181" s="53" t="n">
        <v>111</v>
      </c>
      <c r="K181" s="53" t="n">
        <v>17</v>
      </c>
      <c r="L181" s="53" t="n">
        <v>108</v>
      </c>
      <c r="M181" s="53" t="n">
        <v>25</v>
      </c>
      <c r="N181" s="53" t="n">
        <v>264</v>
      </c>
    </row>
    <row r="182">
      <c r="A182" s="58" t="inlineStr">
        <is>
          <t>New Belgium Brewing Company</t>
        </is>
      </c>
      <c r="B182" s="58" t="inlineStr">
        <is>
          <t>Kirin Light</t>
        </is>
      </c>
      <c r="C182" s="53" t="n">
        <v>87</v>
      </c>
      <c r="D182" s="53" t="n">
        <v>101</v>
      </c>
      <c r="E182" s="55" t="n">
        <v>2781</v>
      </c>
      <c r="F182" s="55" t="n">
        <v>3307.5</v>
      </c>
      <c r="G182" s="55" t="n">
        <v>677.34</v>
      </c>
      <c r="H182" s="55" t="n">
        <v>865.3200000000002</v>
      </c>
      <c r="I182" s="53" t="n">
        <v>16</v>
      </c>
      <c r="J182" s="53" t="n">
        <v>21</v>
      </c>
      <c r="K182" s="53" t="n">
        <v>12</v>
      </c>
      <c r="L182" s="53" t="n">
        <v>51</v>
      </c>
      <c r="M182" s="53" t="n">
        <v>7</v>
      </c>
      <c r="N182" s="53" t="n">
        <v>33</v>
      </c>
    </row>
    <row r="183">
      <c r="A183" s="58" t="inlineStr">
        <is>
          <t>New Belgium Brewing Company</t>
        </is>
      </c>
      <c r="B183" s="58" t="inlineStr">
        <is>
          <t>Lightstrike</t>
        </is>
      </c>
      <c r="C183" s="53" t="n">
        <v>34</v>
      </c>
      <c r="D183" s="53" t="n">
        <v>8</v>
      </c>
      <c r="E183" s="55" t="n">
        <v>1011</v>
      </c>
      <c r="F183" s="55" t="n">
        <v>246.9</v>
      </c>
      <c r="G183" s="55" t="n">
        <v>286.5</v>
      </c>
      <c r="H183" s="55" t="n">
        <v>69.71000000000001</v>
      </c>
      <c r="I183" s="53" t="n">
        <v>13</v>
      </c>
      <c r="J183" s="53" t="n">
        <v>2</v>
      </c>
      <c r="K183" s="53" t="n">
        <v>1</v>
      </c>
      <c r="L183" s="53" t="n">
        <v>1</v>
      </c>
      <c r="M183" s="53" t="n">
        <v>12</v>
      </c>
      <c r="N183" s="53" t="n">
        <v>52</v>
      </c>
    </row>
    <row r="184">
      <c r="A184" s="58" t="inlineStr">
        <is>
          <t>New Belgium Brewing Company</t>
        </is>
      </c>
      <c r="B184" s="58" t="inlineStr">
        <is>
          <t>New Belgium Brewing Company</t>
        </is>
      </c>
      <c r="C184" s="53" t="n">
        <v>657</v>
      </c>
      <c r="D184" s="53" t="n">
        <v>1295</v>
      </c>
      <c r="E184" s="55" t="n">
        <v>19504.6</v>
      </c>
      <c r="F184" s="55" t="n">
        <v>39368.42999999997</v>
      </c>
      <c r="G184" s="55" t="n">
        <v>5080.36</v>
      </c>
      <c r="H184" s="55" t="n">
        <v>9150.150000000005</v>
      </c>
      <c r="I184" s="53" t="n">
        <v>41</v>
      </c>
      <c r="J184" s="53" t="n">
        <v>110</v>
      </c>
      <c r="K184" s="53" t="n">
        <v>81</v>
      </c>
      <c r="L184" s="53" t="n">
        <v>286</v>
      </c>
      <c r="M184" s="53" t="n">
        <v>12</v>
      </c>
      <c r="N184" s="53" t="n">
        <v>35</v>
      </c>
    </row>
    <row r="185">
      <c r="A185" s="58" t="inlineStr">
        <is>
          <t>New Belgium Brewing Company</t>
        </is>
      </c>
      <c r="B185" s="58" t="inlineStr">
        <is>
          <t>Voodoo Hardcharged</t>
        </is>
      </c>
      <c r="C185" s="53" t="n">
        <v>647</v>
      </c>
      <c r="D185" s="53" t="n">
        <v>290</v>
      </c>
      <c r="E185" s="55" t="n">
        <v>18204.23</v>
      </c>
      <c r="F185" s="55" t="n">
        <v>7989.5</v>
      </c>
      <c r="G185" s="55" t="n">
        <v>3081.300000000001</v>
      </c>
      <c r="H185" s="55" t="n">
        <v>1520</v>
      </c>
      <c r="I185" s="53" t="n">
        <v>67</v>
      </c>
      <c r="J185" s="53" t="n">
        <v>36</v>
      </c>
      <c r="K185" s="53" t="n">
        <v>3</v>
      </c>
      <c r="L185" s="53" t="n">
        <v>4</v>
      </c>
      <c r="M185" s="53" t="n">
        <v>34</v>
      </c>
      <c r="N185" s="53" t="n">
        <v>245</v>
      </c>
    </row>
    <row r="186">
      <c r="A186" s="58" t="inlineStr">
        <is>
          <t>Newburgh Brewing</t>
        </is>
      </c>
      <c r="B186" s="58" t="inlineStr">
        <is>
          <t>Newburgh</t>
        </is>
      </c>
      <c r="C186" s="53" t="n">
        <v>264</v>
      </c>
      <c r="D186" s="53" t="n">
        <v>201</v>
      </c>
      <c r="E186" s="55" t="n">
        <v>11487</v>
      </c>
      <c r="F186" s="55" t="n">
        <v>8624</v>
      </c>
      <c r="G186" s="55" t="n">
        <v>3367.690000000001</v>
      </c>
      <c r="H186" s="55" t="n">
        <v>2524.86</v>
      </c>
      <c r="I186" s="53" t="n">
        <v>22</v>
      </c>
      <c r="J186" s="53" t="n">
        <v>18</v>
      </c>
      <c r="K186" s="53" t="n">
        <v>6</v>
      </c>
      <c r="L186" s="53" t="n">
        <v>22</v>
      </c>
      <c r="M186" s="53" t="n">
        <v>10</v>
      </c>
      <c r="N186" s="53" t="n">
        <v>47</v>
      </c>
    </row>
    <row r="187">
      <c r="A187" s="58" t="inlineStr">
        <is>
          <t>Noca Beverages</t>
        </is>
      </c>
      <c r="B187" s="58" t="inlineStr">
        <is>
          <t>Noca</t>
        </is>
      </c>
      <c r="C187" s="53" t="n">
        <v>0</v>
      </c>
      <c r="D187" s="53" t="n">
        <v>2638</v>
      </c>
      <c r="E187" s="55" t="n">
        <v>0</v>
      </c>
      <c r="F187" s="55" t="n">
        <v>75077.25</v>
      </c>
      <c r="G187" s="55" t="n">
        <v>0</v>
      </c>
      <c r="H187" s="55" t="n">
        <v>17069.15</v>
      </c>
      <c r="I187" s="53" t="n">
        <v>0</v>
      </c>
      <c r="J187" s="53" t="n">
        <v>145</v>
      </c>
      <c r="K187" s="53" t="n">
        <v>145</v>
      </c>
      <c r="L187" s="53" t="n">
        <v>2638</v>
      </c>
      <c r="M187" s="53" t="n">
        <v>0</v>
      </c>
      <c r="N187" s="53" t="n">
        <v>0</v>
      </c>
    </row>
    <row r="188">
      <c r="A188" s="58" t="inlineStr">
        <is>
          <t>OVO Vodka LLC</t>
        </is>
      </c>
      <c r="B188" s="58" t="inlineStr">
        <is>
          <t>OVO Vodka</t>
        </is>
      </c>
      <c r="C188" s="53" t="n">
        <v>79</v>
      </c>
      <c r="D188" s="53" t="n">
        <v>26</v>
      </c>
      <c r="E188" s="55" t="n">
        <v>20315.25</v>
      </c>
      <c r="F188" s="55" t="n">
        <v>6542.5</v>
      </c>
      <c r="G188" s="55" t="n">
        <v>4796.489999999998</v>
      </c>
      <c r="H188" s="55" t="n">
        <v>1531.97</v>
      </c>
      <c r="I188" s="53" t="n">
        <v>42</v>
      </c>
      <c r="J188" s="53" t="n">
        <v>9</v>
      </c>
      <c r="K188" s="53" t="n">
        <v>5</v>
      </c>
      <c r="L188" s="53" t="n">
        <v>19</v>
      </c>
      <c r="M188" s="53" t="n">
        <v>38</v>
      </c>
      <c r="N188" s="53" t="n">
        <v>74</v>
      </c>
    </row>
    <row r="189">
      <c r="A189" s="58" t="inlineStr">
        <is>
          <t>Oceano</t>
        </is>
      </c>
      <c r="B189" s="58" t="inlineStr">
        <is>
          <t>Oceano</t>
        </is>
      </c>
      <c r="C189" s="53" t="n">
        <v>0</v>
      </c>
      <c r="D189" s="53" t="n">
        <v>22</v>
      </c>
      <c r="E189" s="55" t="n">
        <v>0</v>
      </c>
      <c r="F189" s="55" t="n">
        <v>1200</v>
      </c>
      <c r="G189" s="55" t="n">
        <v>0</v>
      </c>
      <c r="H189" s="55" t="n">
        <v>998.4</v>
      </c>
      <c r="I189" s="53" t="n">
        <v>0</v>
      </c>
      <c r="J189" s="53" t="n">
        <v>2</v>
      </c>
      <c r="K189" s="53" t="n">
        <v>2</v>
      </c>
      <c r="L189" s="53" t="n">
        <v>22</v>
      </c>
      <c r="M189" s="53" t="n">
        <v>0</v>
      </c>
      <c r="N189" s="53" t="n">
        <v>0</v>
      </c>
    </row>
    <row r="190">
      <c r="A190" s="58" t="inlineStr">
        <is>
          <t>Pabst Brewing Company</t>
        </is>
      </c>
      <c r="B190" s="58" t="inlineStr">
        <is>
          <t>Colt 45</t>
        </is>
      </c>
      <c r="C190" s="53" t="n">
        <v>8658</v>
      </c>
      <c r="D190" s="53" t="n">
        <v>9354</v>
      </c>
      <c r="E190" s="55" t="n">
        <v>120876.3</v>
      </c>
      <c r="F190" s="55" t="n">
        <v>120783.24</v>
      </c>
      <c r="G190" s="55" t="n">
        <v>30098.11</v>
      </c>
      <c r="H190" s="55" t="n">
        <v>23651.90000000001</v>
      </c>
      <c r="I190" s="53" t="n">
        <v>248</v>
      </c>
      <c r="J190" s="53" t="n">
        <v>247</v>
      </c>
      <c r="K190" s="53" t="n">
        <v>35</v>
      </c>
      <c r="L190" s="53" t="n">
        <v>440</v>
      </c>
      <c r="M190" s="53" t="n">
        <v>36</v>
      </c>
      <c r="N190" s="53" t="n">
        <v>423</v>
      </c>
    </row>
    <row r="191">
      <c r="A191" s="58" t="inlineStr">
        <is>
          <t>Pabst Brewing Company</t>
        </is>
      </c>
      <c r="B191" s="58" t="inlineStr">
        <is>
          <t>Country Club</t>
        </is>
      </c>
      <c r="C191" s="53" t="n">
        <v>955</v>
      </c>
      <c r="D191" s="53" t="n">
        <v>-1</v>
      </c>
      <c r="E191" s="55" t="n">
        <v>10085.8</v>
      </c>
      <c r="F191" s="55" t="n">
        <v>-14.5</v>
      </c>
      <c r="G191" s="55" t="n">
        <v>2057.579999999999</v>
      </c>
      <c r="H191" s="55" t="n">
        <v>-3.33</v>
      </c>
      <c r="I191" s="53" t="n">
        <v>42</v>
      </c>
      <c r="J191" s="53" t="n">
        <v>0</v>
      </c>
      <c r="K191" s="53" t="n">
        <v>0</v>
      </c>
      <c r="L191" s="53" t="n">
        <v>0</v>
      </c>
      <c r="M191" s="53" t="n">
        <v>42</v>
      </c>
      <c r="N191" s="53" t="n">
        <v>955</v>
      </c>
    </row>
    <row r="192">
      <c r="A192" s="58" t="inlineStr">
        <is>
          <t>Pabst Brewing Company</t>
        </is>
      </c>
      <c r="B192" s="58" t="inlineStr">
        <is>
          <t>EL Jimador</t>
        </is>
      </c>
      <c r="C192" s="53" t="n">
        <v>331</v>
      </c>
      <c r="D192" s="53" t="n">
        <v>0</v>
      </c>
      <c r="E192" s="55" t="n">
        <v>7994</v>
      </c>
      <c r="F192" s="55" t="n">
        <v>0</v>
      </c>
      <c r="G192" s="55" t="n">
        <v>2308.739999999999</v>
      </c>
      <c r="H192" s="55" t="n">
        <v>0</v>
      </c>
      <c r="I192" s="53" t="n">
        <v>54</v>
      </c>
      <c r="J192" s="53" t="n">
        <v>0</v>
      </c>
      <c r="K192" s="53" t="n">
        <v>0</v>
      </c>
      <c r="L192" s="53" t="n">
        <v>0</v>
      </c>
      <c r="M192" s="53" t="n">
        <v>54</v>
      </c>
      <c r="N192" s="53" t="n">
        <v>334</v>
      </c>
    </row>
    <row r="193">
      <c r="A193" s="58" t="inlineStr">
        <is>
          <t>Pabst Brewing Company</t>
        </is>
      </c>
      <c r="B193" s="58" t="inlineStr">
        <is>
          <t>Jack Daniels Country Cocktails</t>
        </is>
      </c>
      <c r="C193" s="53" t="n">
        <v>4562</v>
      </c>
      <c r="D193" s="53" t="n">
        <v>3652</v>
      </c>
      <c r="E193" s="55" t="n">
        <v>136640.03</v>
      </c>
      <c r="F193" s="55" t="n">
        <v>111266.56</v>
      </c>
      <c r="G193" s="55" t="n">
        <v>31910.17000000003</v>
      </c>
      <c r="H193" s="55" t="n">
        <v>24625.88</v>
      </c>
      <c r="I193" s="53" t="n">
        <v>304</v>
      </c>
      <c r="J193" s="53" t="n">
        <v>283</v>
      </c>
      <c r="K193" s="53" t="n">
        <v>75</v>
      </c>
      <c r="L193" s="53" t="n">
        <v>552</v>
      </c>
      <c r="M193" s="53" t="n">
        <v>96</v>
      </c>
      <c r="N193" s="53" t="n">
        <v>682</v>
      </c>
    </row>
    <row r="194">
      <c r="A194" s="58" t="inlineStr">
        <is>
          <t>Pabst Brewing Company</t>
        </is>
      </c>
      <c r="B194" s="58" t="inlineStr">
        <is>
          <t>Lone Star</t>
        </is>
      </c>
      <c r="C194" s="53" t="n">
        <v>423</v>
      </c>
      <c r="D194" s="53" t="n">
        <v>326</v>
      </c>
      <c r="E194" s="55" t="n">
        <v>7982.850000000002</v>
      </c>
      <c r="F194" s="55" t="n">
        <v>6324.050000000003</v>
      </c>
      <c r="G194" s="55" t="n">
        <v>1798.84</v>
      </c>
      <c r="H194" s="55" t="n">
        <v>1466.809999999999</v>
      </c>
      <c r="I194" s="53" t="n">
        <v>39</v>
      </c>
      <c r="J194" s="53" t="n">
        <v>39</v>
      </c>
      <c r="K194" s="53" t="n">
        <v>11</v>
      </c>
      <c r="L194" s="53" t="n">
        <v>54</v>
      </c>
      <c r="M194" s="53" t="n">
        <v>11</v>
      </c>
      <c r="N194" s="53" t="n">
        <v>73</v>
      </c>
    </row>
    <row r="195">
      <c r="A195" s="58" t="inlineStr">
        <is>
          <t>Pabst Brewing Company</t>
        </is>
      </c>
      <c r="B195" s="58" t="inlineStr">
        <is>
          <t>New Holland Brewing Co</t>
        </is>
      </c>
      <c r="C195" s="53" t="n">
        <v>265</v>
      </c>
      <c r="D195" s="53" t="n">
        <v>230</v>
      </c>
      <c r="E195" s="55" t="n">
        <v>20046</v>
      </c>
      <c r="F195" s="55" t="n">
        <v>17488</v>
      </c>
      <c r="G195" s="55" t="n">
        <v>5936.170000000004</v>
      </c>
      <c r="H195" s="55" t="n">
        <v>4835.150000000002</v>
      </c>
      <c r="I195" s="53" t="n">
        <v>78</v>
      </c>
      <c r="J195" s="53" t="n">
        <v>73</v>
      </c>
      <c r="K195" s="53" t="n">
        <v>20</v>
      </c>
      <c r="L195" s="53" t="n">
        <v>33</v>
      </c>
      <c r="M195" s="53" t="n">
        <v>25</v>
      </c>
      <c r="N195" s="53" t="n">
        <v>52</v>
      </c>
    </row>
    <row r="196">
      <c r="A196" s="58" t="inlineStr">
        <is>
          <t>Pabst Brewing Company</t>
        </is>
      </c>
      <c r="B196" s="58" t="inlineStr">
        <is>
          <t>Old Milwaukee</t>
        </is>
      </c>
      <c r="C196" s="53" t="n">
        <v>4416</v>
      </c>
      <c r="D196" s="53" t="n">
        <v>2058</v>
      </c>
      <c r="E196" s="55" t="n">
        <v>49083.07999999999</v>
      </c>
      <c r="F196" s="55" t="n">
        <v>23105.5</v>
      </c>
      <c r="G196" s="55" t="n">
        <v>10166.44</v>
      </c>
      <c r="H196" s="55" t="n">
        <v>4743.439999999998</v>
      </c>
      <c r="I196" s="53" t="n">
        <v>124</v>
      </c>
      <c r="J196" s="53" t="n">
        <v>94</v>
      </c>
      <c r="K196" s="53" t="n">
        <v>10</v>
      </c>
      <c r="L196" s="53" t="n">
        <v>100</v>
      </c>
      <c r="M196" s="53" t="n">
        <v>40</v>
      </c>
      <c r="N196" s="53" t="n">
        <v>743</v>
      </c>
    </row>
    <row r="197">
      <c r="A197" s="58" t="inlineStr">
        <is>
          <t>Pabst Brewing Company</t>
        </is>
      </c>
      <c r="B197" s="58" t="inlineStr">
        <is>
          <t>Pabst Blue Ribbon</t>
        </is>
      </c>
      <c r="C197" s="53" t="n">
        <v>42533</v>
      </c>
      <c r="D197" s="53" t="n">
        <v>38293</v>
      </c>
      <c r="E197" s="55" t="n">
        <v>647810.5499999998</v>
      </c>
      <c r="F197" s="55" t="n">
        <v>594078.1599999997</v>
      </c>
      <c r="G197" s="55" t="n">
        <v>99108.48000000005</v>
      </c>
      <c r="H197" s="55" t="n">
        <v>103398.64</v>
      </c>
      <c r="I197" s="53" t="n">
        <v>651</v>
      </c>
      <c r="J197" s="53" t="n">
        <v>649</v>
      </c>
      <c r="K197" s="53" t="n">
        <v>83</v>
      </c>
      <c r="L197" s="53" t="n">
        <v>1372</v>
      </c>
      <c r="M197" s="53" t="n">
        <v>85</v>
      </c>
      <c r="N197" s="53" t="n">
        <v>1328</v>
      </c>
    </row>
    <row r="198">
      <c r="A198" s="58" t="inlineStr">
        <is>
          <t>Pabst Brewing Company</t>
        </is>
      </c>
      <c r="B198" s="58" t="inlineStr">
        <is>
          <t>Pabst Light</t>
        </is>
      </c>
      <c r="C198" s="53" t="n">
        <v>2132</v>
      </c>
      <c r="D198" s="53" t="n">
        <v>2849</v>
      </c>
      <c r="E198" s="55" t="n">
        <v>32232.84</v>
      </c>
      <c r="F198" s="55" t="n">
        <v>44214.38</v>
      </c>
      <c r="G198" s="55" t="n">
        <v>4434.72</v>
      </c>
      <c r="H198" s="55" t="n">
        <v>7018.170000000002</v>
      </c>
      <c r="I198" s="53" t="n">
        <v>108</v>
      </c>
      <c r="J198" s="53" t="n">
        <v>136</v>
      </c>
      <c r="K198" s="53" t="n">
        <v>64</v>
      </c>
      <c r="L198" s="53" t="n">
        <v>471</v>
      </c>
      <c r="M198" s="53" t="n">
        <v>36</v>
      </c>
      <c r="N198" s="53" t="n">
        <v>189</v>
      </c>
    </row>
    <row r="199">
      <c r="A199" s="58" t="inlineStr">
        <is>
          <t>Pabst Brewing Company</t>
        </is>
      </c>
      <c r="B199" s="58" t="inlineStr">
        <is>
          <t>Schaefer</t>
        </is>
      </c>
      <c r="C199" s="53" t="n">
        <v>1212</v>
      </c>
      <c r="D199" s="53" t="n">
        <v>1714</v>
      </c>
      <c r="E199" s="55" t="n">
        <v>16422</v>
      </c>
      <c r="F199" s="55" t="n">
        <v>23237</v>
      </c>
      <c r="G199" s="55" t="n">
        <v>4428.659999999999</v>
      </c>
      <c r="H199" s="55" t="n">
        <v>6081.739999999999</v>
      </c>
      <c r="I199" s="53" t="n">
        <v>49</v>
      </c>
      <c r="J199" s="53" t="n">
        <v>48</v>
      </c>
      <c r="K199" s="53" t="n">
        <v>9</v>
      </c>
      <c r="L199" s="53" t="n">
        <v>202</v>
      </c>
      <c r="M199" s="53" t="n">
        <v>10</v>
      </c>
      <c r="N199" s="53" t="n">
        <v>74</v>
      </c>
    </row>
    <row r="200">
      <c r="A200" s="58" t="inlineStr">
        <is>
          <t>Pabst Brewing Company</t>
        </is>
      </c>
      <c r="B200" s="58" t="inlineStr">
        <is>
          <t>Schlitz Malt</t>
        </is>
      </c>
      <c r="C200" s="53" t="n">
        <v>2819</v>
      </c>
      <c r="D200" s="53" t="n">
        <v>2258</v>
      </c>
      <c r="E200" s="55" t="n">
        <v>30754.75999999999</v>
      </c>
      <c r="F200" s="55" t="n">
        <v>24172.91</v>
      </c>
      <c r="G200" s="55" t="n">
        <v>4447.180000000001</v>
      </c>
      <c r="H200" s="55" t="n">
        <v>4625.520000000001</v>
      </c>
      <c r="I200" s="53" t="n">
        <v>85</v>
      </c>
      <c r="J200" s="53" t="n">
        <v>88</v>
      </c>
      <c r="K200" s="53" t="n">
        <v>21</v>
      </c>
      <c r="L200" s="53" t="n">
        <v>269</v>
      </c>
      <c r="M200" s="53" t="n">
        <v>18</v>
      </c>
      <c r="N200" s="53" t="n">
        <v>305</v>
      </c>
    </row>
    <row r="201">
      <c r="A201" s="58" t="inlineStr">
        <is>
          <t>Pabst Brewing Company</t>
        </is>
      </c>
      <c r="B201" s="58" t="inlineStr">
        <is>
          <t>Small Town</t>
        </is>
      </c>
      <c r="C201" s="53" t="n">
        <v>530</v>
      </c>
      <c r="D201" s="53" t="n">
        <v>449</v>
      </c>
      <c r="E201" s="55" t="n">
        <v>16249</v>
      </c>
      <c r="F201" s="55" t="n">
        <v>13774</v>
      </c>
      <c r="G201" s="55" t="n">
        <v>4094.979999999998</v>
      </c>
      <c r="H201" s="55" t="n">
        <v>3389.73</v>
      </c>
      <c r="I201" s="53" t="n">
        <v>110</v>
      </c>
      <c r="J201" s="53" t="n">
        <v>91</v>
      </c>
      <c r="K201" s="53" t="n">
        <v>21</v>
      </c>
      <c r="L201" s="53" t="n">
        <v>58</v>
      </c>
      <c r="M201" s="53" t="n">
        <v>40</v>
      </c>
      <c r="N201" s="53" t="n">
        <v>105</v>
      </c>
    </row>
    <row r="202">
      <c r="A202" s="58" t="inlineStr">
        <is>
          <t>Pabst Brewing Company</t>
        </is>
      </c>
      <c r="B202" s="58" t="inlineStr">
        <is>
          <t>St Ides</t>
        </is>
      </c>
      <c r="C202" s="53" t="n">
        <v>4296</v>
      </c>
      <c r="D202" s="53" t="n">
        <v>3612</v>
      </c>
      <c r="E202" s="55" t="n">
        <v>58070.93</v>
      </c>
      <c r="F202" s="55" t="n">
        <v>45795.04000000001</v>
      </c>
      <c r="G202" s="55" t="n">
        <v>14690.24999999999</v>
      </c>
      <c r="H202" s="55" t="n">
        <v>9147.820000000003</v>
      </c>
      <c r="I202" s="53" t="n">
        <v>146</v>
      </c>
      <c r="J202" s="53" t="n">
        <v>124</v>
      </c>
      <c r="K202" s="53" t="n">
        <v>22</v>
      </c>
      <c r="L202" s="53" t="n">
        <v>246</v>
      </c>
      <c r="M202" s="53" t="n">
        <v>44</v>
      </c>
      <c r="N202" s="53" t="n">
        <v>715</v>
      </c>
    </row>
    <row r="203">
      <c r="A203" s="58" t="inlineStr">
        <is>
          <t>Pampa Beverages</t>
        </is>
      </c>
      <c r="B203" s="58" t="inlineStr">
        <is>
          <t>Quilmes</t>
        </is>
      </c>
      <c r="C203" s="53" t="n">
        <v>467</v>
      </c>
      <c r="D203" s="53" t="n">
        <v>902</v>
      </c>
      <c r="E203" s="55" t="n">
        <v>14764.5</v>
      </c>
      <c r="F203" s="55" t="n">
        <v>26768.10000000001</v>
      </c>
      <c r="G203" s="55" t="n">
        <v>3897.410000000003</v>
      </c>
      <c r="H203" s="55" t="n">
        <v>3949.060000000003</v>
      </c>
      <c r="I203" s="53" t="n">
        <v>72</v>
      </c>
      <c r="J203" s="53" t="n">
        <v>114</v>
      </c>
      <c r="K203" s="53" t="n">
        <v>59</v>
      </c>
      <c r="L203" s="53" t="n">
        <v>348</v>
      </c>
      <c r="M203" s="53" t="n">
        <v>17</v>
      </c>
      <c r="N203" s="53" t="n">
        <v>75</v>
      </c>
    </row>
    <row r="204">
      <c r="A204" s="58" t="inlineStr">
        <is>
          <t>Paradisse Spirits LLC</t>
        </is>
      </c>
      <c r="B204" s="58" t="inlineStr">
        <is>
          <t>Paradisse</t>
        </is>
      </c>
      <c r="C204" s="53" t="n">
        <v>0</v>
      </c>
      <c r="D204" s="53" t="n">
        <v>0</v>
      </c>
      <c r="E204" s="55" t="n">
        <v>0</v>
      </c>
      <c r="F204" s="55" t="n">
        <v>312</v>
      </c>
      <c r="G204" s="55" t="n">
        <v>0</v>
      </c>
      <c r="H204" s="55" t="n">
        <v>94.91999999999999</v>
      </c>
      <c r="I204" s="53" t="n">
        <v>0</v>
      </c>
      <c r="J204" s="53" t="n">
        <v>0</v>
      </c>
      <c r="K204" s="53" t="n">
        <v>0</v>
      </c>
      <c r="L204" s="53" t="n">
        <v>0</v>
      </c>
      <c r="M204" s="53" t="n">
        <v>0</v>
      </c>
      <c r="N204" s="53" t="n">
        <v>0</v>
      </c>
    </row>
    <row r="205">
      <c r="A205" s="58" t="inlineStr">
        <is>
          <t>Park Street Imports</t>
        </is>
      </c>
      <c r="B205" s="58" t="inlineStr">
        <is>
          <t>Plaid Duck</t>
        </is>
      </c>
      <c r="C205" s="53" t="n">
        <v>56</v>
      </c>
      <c r="D205" s="53" t="n">
        <v>79</v>
      </c>
      <c r="E205" s="55" t="n">
        <v>3476</v>
      </c>
      <c r="F205" s="55" t="n">
        <v>4924</v>
      </c>
      <c r="G205" s="55" t="n">
        <v>1572</v>
      </c>
      <c r="H205" s="55" t="n">
        <v>2238</v>
      </c>
      <c r="I205" s="53" t="n">
        <v>7</v>
      </c>
      <c r="J205" s="53" t="n">
        <v>8</v>
      </c>
      <c r="K205" s="53" t="n">
        <v>6</v>
      </c>
      <c r="L205" s="53" t="n">
        <v>40</v>
      </c>
      <c r="M205" s="53" t="n">
        <v>5</v>
      </c>
      <c r="N205" s="53" t="n">
        <v>32</v>
      </c>
    </row>
    <row r="206">
      <c r="A206" s="58" t="inlineStr">
        <is>
          <t>Passion Tree Co</t>
        </is>
      </c>
      <c r="B206" s="58" t="inlineStr">
        <is>
          <t>Pop Sips</t>
        </is>
      </c>
      <c r="C206" s="53" t="n">
        <v>0</v>
      </c>
      <c r="D206" s="53" t="n">
        <v>60</v>
      </c>
      <c r="E206" s="55" t="n">
        <v>0</v>
      </c>
      <c r="F206" s="55" t="n">
        <v>3540</v>
      </c>
      <c r="G206" s="55" t="n">
        <v>0</v>
      </c>
      <c r="H206" s="55" t="n">
        <v>822.1000000000003</v>
      </c>
      <c r="I206" s="53" t="n">
        <v>0</v>
      </c>
      <c r="J206" s="53" t="n">
        <v>25</v>
      </c>
      <c r="K206" s="53" t="n">
        <v>25</v>
      </c>
      <c r="L206" s="53" t="n">
        <v>78</v>
      </c>
      <c r="M206" s="53" t="n">
        <v>0</v>
      </c>
      <c r="N206" s="53" t="n">
        <v>0</v>
      </c>
    </row>
    <row r="207">
      <c r="A207" s="58" t="inlineStr">
        <is>
          <t>Paulaner</t>
        </is>
      </c>
      <c r="B207" s="58" t="inlineStr">
        <is>
          <t>Fuller's</t>
        </is>
      </c>
      <c r="C207" s="53" t="n">
        <v>44</v>
      </c>
      <c r="D207" s="53" t="n">
        <v>0</v>
      </c>
      <c r="E207" s="55" t="n">
        <v>1964</v>
      </c>
      <c r="F207" s="55" t="n">
        <v>0</v>
      </c>
      <c r="G207" s="55" t="n">
        <v>555.95</v>
      </c>
      <c r="H207" s="55" t="n">
        <v>0</v>
      </c>
      <c r="I207" s="53" t="n">
        <v>21</v>
      </c>
      <c r="J207" s="53" t="n">
        <v>0</v>
      </c>
      <c r="K207" s="53" t="n">
        <v>0</v>
      </c>
      <c r="L207" s="53" t="n">
        <v>0</v>
      </c>
      <c r="M207" s="53" t="n">
        <v>21</v>
      </c>
      <c r="N207" s="53" t="n">
        <v>44</v>
      </c>
    </row>
    <row r="208">
      <c r="A208" s="58" t="inlineStr">
        <is>
          <t>Paulaner</t>
        </is>
      </c>
      <c r="B208" s="58" t="inlineStr">
        <is>
          <t>Hacker-Pschorr</t>
        </is>
      </c>
      <c r="C208" s="53" t="n">
        <v>977</v>
      </c>
      <c r="D208" s="53" t="n">
        <v>1036</v>
      </c>
      <c r="E208" s="55" t="n">
        <v>34395.25</v>
      </c>
      <c r="F208" s="55" t="n">
        <v>37627.89999999999</v>
      </c>
      <c r="G208" s="55" t="n">
        <v>11045.74</v>
      </c>
      <c r="H208" s="55" t="n">
        <v>11850.88999999999</v>
      </c>
      <c r="I208" s="53" t="n">
        <v>125</v>
      </c>
      <c r="J208" s="53" t="n">
        <v>130</v>
      </c>
      <c r="K208" s="53" t="n">
        <v>38</v>
      </c>
      <c r="L208" s="53" t="n">
        <v>146</v>
      </c>
      <c r="M208" s="53" t="n">
        <v>33</v>
      </c>
      <c r="N208" s="53" t="n">
        <v>132</v>
      </c>
    </row>
    <row r="209">
      <c r="A209" s="58" t="inlineStr">
        <is>
          <t>Paulaner</t>
        </is>
      </c>
      <c r="B209" s="58" t="inlineStr">
        <is>
          <t>Paulaner</t>
        </is>
      </c>
      <c r="C209" s="53" t="n">
        <v>3145</v>
      </c>
      <c r="D209" s="53" t="n">
        <v>2740</v>
      </c>
      <c r="E209" s="55" t="n">
        <v>107259</v>
      </c>
      <c r="F209" s="55" t="n">
        <v>96989.53</v>
      </c>
      <c r="G209" s="55" t="n">
        <v>32078.94000000002</v>
      </c>
      <c r="H209" s="55" t="n">
        <v>30196.65999999998</v>
      </c>
      <c r="I209" s="53" t="n">
        <v>177</v>
      </c>
      <c r="J209" s="53" t="n">
        <v>198</v>
      </c>
      <c r="K209" s="53" t="n">
        <v>68</v>
      </c>
      <c r="L209" s="53" t="n">
        <v>371</v>
      </c>
      <c r="M209" s="53" t="n">
        <v>47</v>
      </c>
      <c r="N209" s="53" t="n">
        <v>690</v>
      </c>
    </row>
    <row r="210">
      <c r="A210" s="58" t="inlineStr">
        <is>
          <t>Paulaner</t>
        </is>
      </c>
      <c r="B210" s="58" t="inlineStr">
        <is>
          <t>Tsingtao</t>
        </is>
      </c>
      <c r="C210" s="53" t="n">
        <v>723</v>
      </c>
      <c r="D210" s="53" t="n">
        <v>862</v>
      </c>
      <c r="E210" s="55" t="n">
        <v>24153.5</v>
      </c>
      <c r="F210" s="55" t="n">
        <v>29461.5</v>
      </c>
      <c r="G210" s="55" t="n">
        <v>4862.040000000002</v>
      </c>
      <c r="H210" s="55" t="n">
        <v>6148.750000000001</v>
      </c>
      <c r="I210" s="53" t="n">
        <v>81</v>
      </c>
      <c r="J210" s="53" t="n">
        <v>102</v>
      </c>
      <c r="K210" s="53" t="n">
        <v>51</v>
      </c>
      <c r="L210" s="53" t="n">
        <v>232</v>
      </c>
      <c r="M210" s="53" t="n">
        <v>30</v>
      </c>
      <c r="N210" s="53" t="n">
        <v>192</v>
      </c>
    </row>
    <row r="211">
      <c r="A211" s="58" t="inlineStr">
        <is>
          <t>Phusion Projects</t>
        </is>
      </c>
      <c r="B211" s="58" t="inlineStr">
        <is>
          <t>Earthquake</t>
        </is>
      </c>
      <c r="C211" s="53" t="n">
        <v>485</v>
      </c>
      <c r="D211" s="53" t="n">
        <v>372</v>
      </c>
      <c r="E211" s="55" t="n">
        <v>6736</v>
      </c>
      <c r="F211" s="55" t="n">
        <v>5859</v>
      </c>
      <c r="G211" s="55" t="n">
        <v>1471.56</v>
      </c>
      <c r="H211" s="55" t="n">
        <v>1448.11</v>
      </c>
      <c r="I211" s="53" t="n">
        <v>17</v>
      </c>
      <c r="J211" s="53" t="n">
        <v>15</v>
      </c>
      <c r="K211" s="53" t="n">
        <v>1</v>
      </c>
      <c r="L211" s="53" t="n">
        <v>12</v>
      </c>
      <c r="M211" s="53" t="n">
        <v>3</v>
      </c>
      <c r="N211" s="53" t="n">
        <v>51</v>
      </c>
    </row>
    <row r="212">
      <c r="A212" s="58" t="inlineStr">
        <is>
          <t>Phusion Projects</t>
        </is>
      </c>
      <c r="B212" s="58" t="inlineStr">
        <is>
          <t>Four Loko</t>
        </is>
      </c>
      <c r="C212" s="53" t="n">
        <v>4790</v>
      </c>
      <c r="D212" s="53" t="n">
        <v>3429</v>
      </c>
      <c r="E212" s="55" t="n">
        <v>112742</v>
      </c>
      <c r="F212" s="55" t="n">
        <v>94350</v>
      </c>
      <c r="G212" s="55" t="n">
        <v>18428.39999999999</v>
      </c>
      <c r="H212" s="55" t="n">
        <v>26247.6</v>
      </c>
      <c r="I212" s="53" t="n">
        <v>266</v>
      </c>
      <c r="J212" s="53" t="n">
        <v>272</v>
      </c>
      <c r="K212" s="53" t="n">
        <v>74</v>
      </c>
      <c r="L212" s="53" t="n">
        <v>567</v>
      </c>
      <c r="M212" s="53" t="n">
        <v>68</v>
      </c>
      <c r="N212" s="53" t="n">
        <v>551</v>
      </c>
    </row>
    <row r="213">
      <c r="A213" s="58" t="inlineStr">
        <is>
          <t>Phusion Projects</t>
        </is>
      </c>
      <c r="B213" s="58" t="inlineStr">
        <is>
          <t>Mamita's</t>
        </is>
      </c>
      <c r="C213" s="53" t="n">
        <v>602</v>
      </c>
      <c r="D213" s="53" t="n">
        <v>206</v>
      </c>
      <c r="E213" s="55" t="n">
        <v>24263</v>
      </c>
      <c r="F213" s="55" t="n">
        <v>7358</v>
      </c>
      <c r="G213" s="55" t="n">
        <v>9559.500000000004</v>
      </c>
      <c r="H213" s="55" t="n">
        <v>2322.28</v>
      </c>
      <c r="I213" s="53" t="n">
        <v>79</v>
      </c>
      <c r="J213" s="53" t="n">
        <v>23</v>
      </c>
      <c r="K213" s="53" t="n">
        <v>9</v>
      </c>
      <c r="L213" s="53" t="n">
        <v>73</v>
      </c>
      <c r="M213" s="53" t="n">
        <v>65</v>
      </c>
      <c r="N213" s="53" t="n">
        <v>380</v>
      </c>
    </row>
    <row r="214">
      <c r="A214" s="58" t="inlineStr">
        <is>
          <t>Pio Imports</t>
        </is>
      </c>
      <c r="B214" s="58" t="inlineStr">
        <is>
          <t>Bloom Bubbles</t>
        </is>
      </c>
      <c r="C214" s="53" t="n">
        <v>0</v>
      </c>
      <c r="D214" s="53" t="n">
        <v>41</v>
      </c>
      <c r="E214" s="55" t="n">
        <v>0</v>
      </c>
      <c r="F214" s="55" t="n">
        <v>4371</v>
      </c>
      <c r="G214" s="55" t="n">
        <v>0</v>
      </c>
      <c r="H214" s="55" t="n">
        <v>758.1999999999998</v>
      </c>
      <c r="I214" s="53" t="n">
        <v>0</v>
      </c>
      <c r="J214" s="53" t="n">
        <v>17</v>
      </c>
      <c r="K214" s="53" t="n">
        <v>17</v>
      </c>
      <c r="L214" s="53" t="n">
        <v>41</v>
      </c>
      <c r="M214" s="53" t="n">
        <v>0</v>
      </c>
      <c r="N214" s="53" t="n">
        <v>0</v>
      </c>
    </row>
    <row r="215">
      <c r="A215" s="58" t="inlineStr">
        <is>
          <t>Point Brewing</t>
        </is>
      </c>
      <c r="B215" s="58" t="inlineStr">
        <is>
          <t>Whole Hog</t>
        </is>
      </c>
      <c r="C215" s="53" t="n">
        <v>1358</v>
      </c>
      <c r="D215" s="53" t="n">
        <v>1237</v>
      </c>
      <c r="E215" s="55" t="n">
        <v>46247</v>
      </c>
      <c r="F215" s="55" t="n">
        <v>42154.03</v>
      </c>
      <c r="G215" s="55" t="n">
        <v>9975.419999999986</v>
      </c>
      <c r="H215" s="55" t="n">
        <v>9195.29999999999</v>
      </c>
      <c r="I215" s="53" t="n">
        <v>173</v>
      </c>
      <c r="J215" s="53" t="n">
        <v>168</v>
      </c>
      <c r="K215" s="53" t="n">
        <v>59</v>
      </c>
      <c r="L215" s="53" t="n">
        <v>273</v>
      </c>
      <c r="M215" s="53" t="n">
        <v>64</v>
      </c>
      <c r="N215" s="53" t="n">
        <v>311</v>
      </c>
    </row>
    <row r="216">
      <c r="A216" s="58" t="inlineStr">
        <is>
          <t>Power Distribution LLC</t>
        </is>
      </c>
      <c r="B216" s="58" t="inlineStr">
        <is>
          <t>Belize Breeze</t>
        </is>
      </c>
      <c r="C216" s="53" t="n">
        <v>0</v>
      </c>
      <c r="D216" s="53" t="n">
        <v>0</v>
      </c>
      <c r="E216" s="55" t="n">
        <v>0</v>
      </c>
      <c r="F216" s="55" t="n">
        <v>-41</v>
      </c>
      <c r="G216" s="55" t="n">
        <v>0</v>
      </c>
      <c r="H216" s="55" t="n">
        <v>-41</v>
      </c>
      <c r="I216" s="53" t="n">
        <v>0</v>
      </c>
      <c r="J216" s="53" t="n">
        <v>1</v>
      </c>
      <c r="K216" s="53" t="n">
        <v>1</v>
      </c>
      <c r="L216" s="53" t="n">
        <v>1</v>
      </c>
      <c r="M216" s="53" t="n">
        <v>0</v>
      </c>
      <c r="N216" s="53" t="n">
        <v>0</v>
      </c>
    </row>
    <row r="217">
      <c r="A217" s="58" t="inlineStr">
        <is>
          <t>Prestige</t>
        </is>
      </c>
      <c r="B217" s="58" t="inlineStr">
        <is>
          <t>Fix Hellas</t>
        </is>
      </c>
      <c r="C217" s="53" t="n">
        <v>22</v>
      </c>
      <c r="D217" s="53" t="n">
        <v>7</v>
      </c>
      <c r="E217" s="55" t="n">
        <v>887.5</v>
      </c>
      <c r="F217" s="55" t="n">
        <v>330</v>
      </c>
      <c r="G217" s="55" t="n">
        <v>276.96</v>
      </c>
      <c r="H217" s="55" t="n">
        <v>135.74</v>
      </c>
      <c r="I217" s="53" t="n">
        <v>7</v>
      </c>
      <c r="J217" s="53" t="n">
        <v>3</v>
      </c>
      <c r="K217" s="53" t="n">
        <v>3</v>
      </c>
      <c r="L217" s="53" t="n">
        <v>8</v>
      </c>
      <c r="M217" s="53" t="n">
        <v>7</v>
      </c>
      <c r="N217" s="53" t="n">
        <v>22</v>
      </c>
    </row>
    <row r="218">
      <c r="A218" s="58" t="inlineStr">
        <is>
          <t>Prestige</t>
        </is>
      </c>
      <c r="B218" s="58" t="inlineStr">
        <is>
          <t>Greek Spirits</t>
        </is>
      </c>
      <c r="C218" s="53" t="n">
        <v>3</v>
      </c>
      <c r="D218" s="53" t="n">
        <v>3</v>
      </c>
      <c r="E218" s="55" t="n">
        <v>450</v>
      </c>
      <c r="F218" s="55" t="n">
        <v>642</v>
      </c>
      <c r="G218" s="55" t="n">
        <v>46.27</v>
      </c>
      <c r="H218" s="55" t="n">
        <v>203.77</v>
      </c>
      <c r="I218" s="53" t="n">
        <v>1</v>
      </c>
      <c r="J218" s="53" t="n">
        <v>1</v>
      </c>
      <c r="K218" s="53" t="n">
        <v>0</v>
      </c>
      <c r="L218" s="53" t="n">
        <v>0</v>
      </c>
      <c r="M218" s="53" t="n">
        <v>0</v>
      </c>
      <c r="N218" s="53" t="n">
        <v>0</v>
      </c>
    </row>
    <row r="219">
      <c r="A219" s="58" t="inlineStr">
        <is>
          <t>Prestige</t>
        </is>
      </c>
      <c r="B219" s="58" t="inlineStr">
        <is>
          <t>Greek Wines</t>
        </is>
      </c>
      <c r="C219" s="53" t="n">
        <v>33</v>
      </c>
      <c r="D219" s="53" t="n">
        <v>50</v>
      </c>
      <c r="E219" s="55" t="n">
        <v>4695</v>
      </c>
      <c r="F219" s="55" t="n">
        <v>9517</v>
      </c>
      <c r="G219" s="55" t="n">
        <v>850.4299999999999</v>
      </c>
      <c r="H219" s="55" t="n">
        <v>2658.73</v>
      </c>
      <c r="I219" s="53" t="n">
        <v>4</v>
      </c>
      <c r="J219" s="53" t="n">
        <v>7</v>
      </c>
      <c r="K219" s="53" t="n">
        <v>5</v>
      </c>
      <c r="L219" s="53" t="n">
        <v>20</v>
      </c>
      <c r="M219" s="53" t="n">
        <v>2</v>
      </c>
      <c r="N219" s="53" t="n">
        <v>6</v>
      </c>
    </row>
    <row r="220">
      <c r="A220" s="58" t="inlineStr">
        <is>
          <t>Prestige</t>
        </is>
      </c>
      <c r="B220" s="58" t="inlineStr">
        <is>
          <t>Mythos</t>
        </is>
      </c>
      <c r="C220" s="53" t="n">
        <v>525</v>
      </c>
      <c r="D220" s="53" t="n">
        <v>624</v>
      </c>
      <c r="E220" s="55" t="n">
        <v>22168</v>
      </c>
      <c r="F220" s="55" t="n">
        <v>31145.5</v>
      </c>
      <c r="G220" s="55" t="n">
        <v>6603.779999999995</v>
      </c>
      <c r="H220" s="55" t="n">
        <v>9463.579999999991</v>
      </c>
      <c r="I220" s="53" t="n">
        <v>67</v>
      </c>
      <c r="J220" s="53" t="n">
        <v>63</v>
      </c>
      <c r="K220" s="53" t="n">
        <v>24</v>
      </c>
      <c r="L220" s="53" t="n">
        <v>115</v>
      </c>
      <c r="M220" s="53" t="n">
        <v>28</v>
      </c>
      <c r="N220" s="53" t="n">
        <v>100</v>
      </c>
    </row>
    <row r="221">
      <c r="A221" s="58" t="inlineStr">
        <is>
          <t>Prestige Beverage Group</t>
        </is>
      </c>
      <c r="B221" s="58" t="inlineStr">
        <is>
          <t>2XO</t>
        </is>
      </c>
      <c r="C221" s="53" t="n">
        <v>0</v>
      </c>
      <c r="D221" s="53" t="n">
        <v>8</v>
      </c>
      <c r="E221" s="55" t="n">
        <v>0</v>
      </c>
      <c r="F221" s="55" t="n">
        <v>7920</v>
      </c>
      <c r="G221" s="55" t="n">
        <v>0</v>
      </c>
      <c r="H221" s="55" t="n">
        <v>1437.14</v>
      </c>
      <c r="I221" s="53" t="n">
        <v>0</v>
      </c>
      <c r="J221" s="53" t="n">
        <v>7</v>
      </c>
      <c r="K221" s="53" t="n">
        <v>7</v>
      </c>
      <c r="L221" s="53" t="n">
        <v>8</v>
      </c>
      <c r="M221" s="53" t="n">
        <v>0</v>
      </c>
      <c r="N221" s="53" t="n">
        <v>0</v>
      </c>
    </row>
    <row r="222">
      <c r="A222" s="58" t="inlineStr">
        <is>
          <t>Prestige Beverage Group</t>
        </is>
      </c>
      <c r="B222" s="58" t="inlineStr">
        <is>
          <t>Gionelli</t>
        </is>
      </c>
      <c r="C222" s="53" t="n">
        <v>0</v>
      </c>
      <c r="D222" s="53" t="n">
        <v>1</v>
      </c>
      <c r="E222" s="55" t="n">
        <v>0</v>
      </c>
      <c r="F222" s="55" t="n">
        <v>48</v>
      </c>
      <c r="G222" s="55" t="n">
        <v>0</v>
      </c>
      <c r="H222" s="55" t="n">
        <v>4.42</v>
      </c>
      <c r="I222" s="53" t="n">
        <v>0</v>
      </c>
      <c r="J222" s="53" t="n">
        <v>1</v>
      </c>
      <c r="K222" s="53" t="n">
        <v>1</v>
      </c>
      <c r="L222" s="53" t="n">
        <v>1</v>
      </c>
      <c r="M222" s="53" t="n">
        <v>0</v>
      </c>
      <c r="N222" s="53" t="n">
        <v>0</v>
      </c>
    </row>
    <row r="223">
      <c r="A223" s="58" t="inlineStr">
        <is>
          <t>Prestige Beverage Group</t>
        </is>
      </c>
      <c r="B223" s="58" t="inlineStr">
        <is>
          <t>Le Grand Noir</t>
        </is>
      </c>
      <c r="C223" s="53" t="n">
        <v>0</v>
      </c>
      <c r="D223" s="53" t="n">
        <v>53</v>
      </c>
      <c r="E223" s="55" t="n">
        <v>0</v>
      </c>
      <c r="F223" s="55" t="n">
        <v>4904</v>
      </c>
      <c r="G223" s="55" t="n">
        <v>0</v>
      </c>
      <c r="H223" s="55" t="n">
        <v>765.8299999999999</v>
      </c>
      <c r="I223" s="53" t="n">
        <v>0</v>
      </c>
      <c r="J223" s="53" t="n">
        <v>31</v>
      </c>
      <c r="K223" s="53" t="n">
        <v>31</v>
      </c>
      <c r="L223" s="53" t="n">
        <v>53</v>
      </c>
      <c r="M223" s="53" t="n">
        <v>0</v>
      </c>
      <c r="N223" s="53" t="n">
        <v>0</v>
      </c>
    </row>
    <row r="224">
      <c r="A224" s="58" t="inlineStr">
        <is>
          <t>Prestige Beverage Group</t>
        </is>
      </c>
      <c r="B224" s="58" t="inlineStr">
        <is>
          <t>Overstone</t>
        </is>
      </c>
      <c r="C224" s="53" t="n">
        <v>0</v>
      </c>
      <c r="D224" s="53" t="n">
        <v>2</v>
      </c>
      <c r="E224" s="55" t="n">
        <v>0</v>
      </c>
      <c r="F224" s="55" t="n">
        <v>208</v>
      </c>
      <c r="G224" s="55" t="n">
        <v>0</v>
      </c>
      <c r="H224" s="55" t="n">
        <v>39.84</v>
      </c>
      <c r="I224" s="53" t="n">
        <v>0</v>
      </c>
      <c r="J224" s="53" t="n">
        <v>1</v>
      </c>
      <c r="K224" s="53" t="n">
        <v>1</v>
      </c>
      <c r="L224" s="53" t="n">
        <v>2</v>
      </c>
      <c r="M224" s="53" t="n">
        <v>0</v>
      </c>
      <c r="N224" s="53" t="n">
        <v>0</v>
      </c>
    </row>
    <row r="225">
      <c r="A225" s="58" t="inlineStr">
        <is>
          <t>Pride &amp; Clarke</t>
        </is>
      </c>
      <c r="B225" s="58" t="inlineStr">
        <is>
          <t>Pride &amp; Clarke</t>
        </is>
      </c>
      <c r="C225" s="53" t="n">
        <v>2948</v>
      </c>
      <c r="D225" s="53" t="n">
        <v>2108</v>
      </c>
      <c r="E225" s="55" t="n">
        <v>193209.9000000002</v>
      </c>
      <c r="F225" s="55" t="n">
        <v>138152.6000000001</v>
      </c>
      <c r="G225" s="55" t="n">
        <v>15173.97</v>
      </c>
      <c r="H225" s="55" t="n">
        <v>14809.82999999999</v>
      </c>
      <c r="I225" s="53" t="n">
        <v>288</v>
      </c>
      <c r="J225" s="53" t="n">
        <v>219</v>
      </c>
      <c r="K225" s="53" t="n">
        <v>36</v>
      </c>
      <c r="L225" s="53" t="n">
        <v>227</v>
      </c>
      <c r="M225" s="53" t="n">
        <v>105</v>
      </c>
      <c r="N225" s="53" t="n">
        <v>787</v>
      </c>
    </row>
    <row r="226">
      <c r="A226" s="58" t="inlineStr">
        <is>
          <t>Primos Imports LLC</t>
        </is>
      </c>
      <c r="B226" s="58" t="inlineStr">
        <is>
          <t>Charro</t>
        </is>
      </c>
      <c r="C226" s="53" t="n">
        <v>0</v>
      </c>
      <c r="D226" s="53" t="n">
        <v>1</v>
      </c>
      <c r="E226" s="55" t="n">
        <v>0</v>
      </c>
      <c r="F226" s="55" t="n">
        <v>53.35</v>
      </c>
      <c r="G226" s="55" t="n">
        <v>0</v>
      </c>
      <c r="H226" s="55" t="n">
        <v>14.71</v>
      </c>
      <c r="I226" s="53" t="n">
        <v>0</v>
      </c>
      <c r="J226" s="53" t="n">
        <v>1</v>
      </c>
      <c r="K226" s="53" t="n">
        <v>1</v>
      </c>
      <c r="L226" s="53" t="n">
        <v>1</v>
      </c>
      <c r="M226" s="53" t="n">
        <v>0</v>
      </c>
      <c r="N226" s="53" t="n">
        <v>0</v>
      </c>
    </row>
    <row r="227">
      <c r="A227" s="58" t="inlineStr">
        <is>
          <t>Primos Imports LLC</t>
        </is>
      </c>
      <c r="B227" s="58" t="inlineStr">
        <is>
          <t>Monte Xanic</t>
        </is>
      </c>
      <c r="C227" s="53" t="n">
        <v>2</v>
      </c>
      <c r="D227" s="53" t="n">
        <v>5</v>
      </c>
      <c r="E227" s="55" t="n">
        <v>534</v>
      </c>
      <c r="F227" s="55" t="n">
        <v>1025</v>
      </c>
      <c r="G227" s="55" t="n">
        <v>130.93</v>
      </c>
      <c r="H227" s="55" t="n">
        <v>10.24</v>
      </c>
      <c r="I227" s="53" t="n">
        <v>1</v>
      </c>
      <c r="J227" s="53" t="n">
        <v>2</v>
      </c>
      <c r="K227" s="53" t="n">
        <v>1</v>
      </c>
      <c r="L227" s="53" t="n">
        <v>1</v>
      </c>
      <c r="M227" s="53" t="n">
        <v>0</v>
      </c>
      <c r="N227" s="53" t="n">
        <v>0</v>
      </c>
    </row>
    <row r="228">
      <c r="A228" s="58" t="inlineStr">
        <is>
          <t>Primos Imports LLC</t>
        </is>
      </c>
      <c r="B228" s="58" t="inlineStr">
        <is>
          <t>Rompe Corazon</t>
        </is>
      </c>
      <c r="C228" s="53" t="n">
        <v>0</v>
      </c>
      <c r="D228" s="53" t="n">
        <v>1</v>
      </c>
      <c r="E228" s="55" t="n">
        <v>0</v>
      </c>
      <c r="F228" s="55" t="n">
        <v>114</v>
      </c>
      <c r="G228" s="55" t="n">
        <v>0</v>
      </c>
      <c r="H228" s="55" t="n">
        <v>21.77</v>
      </c>
      <c r="I228" s="53" t="n">
        <v>0</v>
      </c>
      <c r="J228" s="53" t="n">
        <v>1</v>
      </c>
      <c r="K228" s="53" t="n">
        <v>1</v>
      </c>
      <c r="L228" s="53" t="n">
        <v>1</v>
      </c>
      <c r="M228" s="53" t="n">
        <v>0</v>
      </c>
      <c r="N228" s="53" t="n">
        <v>0</v>
      </c>
    </row>
    <row r="229">
      <c r="A229" s="58" t="inlineStr">
        <is>
          <t>Radeberger USA</t>
        </is>
      </c>
      <c r="B229" s="58" t="inlineStr">
        <is>
          <t>Clausthaler</t>
        </is>
      </c>
      <c r="C229" s="53" t="n">
        <v>710</v>
      </c>
      <c r="D229" s="53" t="n">
        <v>692</v>
      </c>
      <c r="E229" s="55" t="n">
        <v>24117</v>
      </c>
      <c r="F229" s="55" t="n">
        <v>23714</v>
      </c>
      <c r="G229" s="55" t="n">
        <v>8202.980000000005</v>
      </c>
      <c r="H229" s="55" t="n">
        <v>7298.340000000006</v>
      </c>
      <c r="I229" s="53" t="n">
        <v>94</v>
      </c>
      <c r="J229" s="53" t="n">
        <v>95</v>
      </c>
      <c r="K229" s="53" t="n">
        <v>23</v>
      </c>
      <c r="L229" s="53" t="n">
        <v>84</v>
      </c>
      <c r="M229" s="53" t="n">
        <v>22</v>
      </c>
      <c r="N229" s="53" t="n">
        <v>101</v>
      </c>
    </row>
    <row r="230">
      <c r="A230" s="58" t="inlineStr">
        <is>
          <t>Radeberger USA</t>
        </is>
      </c>
      <c r="B230" s="58" t="inlineStr">
        <is>
          <t>Dab</t>
        </is>
      </c>
      <c r="C230" s="53" t="n">
        <v>4942</v>
      </c>
      <c r="D230" s="53" t="n">
        <v>4698</v>
      </c>
      <c r="E230" s="55" t="n">
        <v>98710.64999999998</v>
      </c>
      <c r="F230" s="55" t="n">
        <v>98631.39999999999</v>
      </c>
      <c r="G230" s="55" t="n">
        <v>24940.37999999999</v>
      </c>
      <c r="H230" s="55" t="n">
        <v>24442.81</v>
      </c>
      <c r="I230" s="53" t="n">
        <v>168</v>
      </c>
      <c r="J230" s="53" t="n">
        <v>183</v>
      </c>
      <c r="K230" s="53" t="n">
        <v>40</v>
      </c>
      <c r="L230" s="53" t="n">
        <v>253</v>
      </c>
      <c r="M230" s="53" t="n">
        <v>25</v>
      </c>
      <c r="N230" s="53" t="n">
        <v>320</v>
      </c>
    </row>
    <row r="231">
      <c r="A231" s="58" t="inlineStr">
        <is>
          <t>Radeberger USA</t>
        </is>
      </c>
      <c r="B231" s="58" t="inlineStr">
        <is>
          <t>Radeberger</t>
        </is>
      </c>
      <c r="C231" s="53" t="n">
        <v>1598</v>
      </c>
      <c r="D231" s="53" t="n">
        <v>1949</v>
      </c>
      <c r="E231" s="55" t="n">
        <v>41481.99999999997</v>
      </c>
      <c r="F231" s="55" t="n">
        <v>52849.7</v>
      </c>
      <c r="G231" s="55" t="n">
        <v>12903.46</v>
      </c>
      <c r="H231" s="55" t="n">
        <v>15204.29</v>
      </c>
      <c r="I231" s="53" t="n">
        <v>107</v>
      </c>
      <c r="J231" s="53" t="n">
        <v>124</v>
      </c>
      <c r="K231" s="53" t="n">
        <v>43</v>
      </c>
      <c r="L231" s="53" t="n">
        <v>251</v>
      </c>
      <c r="M231" s="53" t="n">
        <v>26</v>
      </c>
      <c r="N231" s="53" t="n">
        <v>136</v>
      </c>
    </row>
    <row r="232">
      <c r="A232" s="58" t="inlineStr">
        <is>
          <t>Radeberger USA</t>
        </is>
      </c>
      <c r="B232" s="58" t="inlineStr">
        <is>
          <t>Schofferhofer</t>
        </is>
      </c>
      <c r="C232" s="53" t="n">
        <v>3788</v>
      </c>
      <c r="D232" s="53" t="n">
        <v>3740</v>
      </c>
      <c r="E232" s="55" t="n">
        <v>125875</v>
      </c>
      <c r="F232" s="55" t="n">
        <v>125700.4</v>
      </c>
      <c r="G232" s="55" t="n">
        <v>39327.15000000008</v>
      </c>
      <c r="H232" s="55" t="n">
        <v>36229.75000000006</v>
      </c>
      <c r="I232" s="53" t="n">
        <v>323</v>
      </c>
      <c r="J232" s="53" t="n">
        <v>317</v>
      </c>
      <c r="K232" s="53" t="n">
        <v>73</v>
      </c>
      <c r="L232" s="53" t="n">
        <v>355</v>
      </c>
      <c r="M232" s="53" t="n">
        <v>79</v>
      </c>
      <c r="N232" s="53" t="n">
        <v>473</v>
      </c>
    </row>
    <row r="233">
      <c r="A233" s="58" t="inlineStr">
        <is>
          <t>Radix Labs</t>
        </is>
      </c>
      <c r="B233" s="58" t="inlineStr">
        <is>
          <t>Find Wunder</t>
        </is>
      </c>
      <c r="C233" s="53" t="n">
        <v>182</v>
      </c>
      <c r="D233" s="53" t="n">
        <v>0</v>
      </c>
      <c r="E233" s="55" t="n">
        <v>16244.45</v>
      </c>
      <c r="F233" s="55" t="n">
        <v>0</v>
      </c>
      <c r="G233" s="55" t="n">
        <v>4421.21</v>
      </c>
      <c r="H233" s="55" t="n">
        <v>0</v>
      </c>
      <c r="I233" s="53" t="n">
        <v>34</v>
      </c>
      <c r="J233" s="53" t="n">
        <v>0</v>
      </c>
      <c r="K233" s="53" t="n">
        <v>0</v>
      </c>
      <c r="L233" s="53" t="n">
        <v>0</v>
      </c>
      <c r="M233" s="53" t="n">
        <v>34</v>
      </c>
      <c r="N233" s="53" t="n">
        <v>182</v>
      </c>
    </row>
    <row r="234">
      <c r="A234" s="58" t="inlineStr">
        <is>
          <t>Red Bull</t>
        </is>
      </c>
      <c r="B234" s="58" t="inlineStr">
        <is>
          <t>Red Bull</t>
        </is>
      </c>
      <c r="C234" s="53" t="n">
        <v>1878</v>
      </c>
      <c r="D234" s="53" t="n">
        <v>1581</v>
      </c>
      <c r="E234" s="55" t="n">
        <v>101356.83</v>
      </c>
      <c r="F234" s="55" t="n">
        <v>88976.5</v>
      </c>
      <c r="G234" s="55" t="n">
        <v>13608.34999999999</v>
      </c>
      <c r="H234" s="55" t="n">
        <v>15447.73999999998</v>
      </c>
      <c r="I234" s="53" t="n">
        <v>190</v>
      </c>
      <c r="J234" s="53" t="n">
        <v>188</v>
      </c>
      <c r="K234" s="53" t="n">
        <v>31</v>
      </c>
      <c r="L234" s="53" t="n">
        <v>108</v>
      </c>
      <c r="M234" s="53" t="n">
        <v>33</v>
      </c>
      <c r="N234" s="53" t="n">
        <v>119</v>
      </c>
    </row>
    <row r="235">
      <c r="A235" s="58" t="inlineStr">
        <is>
          <t>River Horse Brewing Co</t>
        </is>
      </c>
      <c r="B235" s="58" t="inlineStr">
        <is>
          <t>River Horse Brewing Co</t>
        </is>
      </c>
      <c r="C235" s="53" t="n">
        <v>570</v>
      </c>
      <c r="D235" s="53" t="n">
        <v>0</v>
      </c>
      <c r="E235" s="55" t="n">
        <v>26115.73</v>
      </c>
      <c r="F235" s="55" t="n">
        <v>0</v>
      </c>
      <c r="G235" s="55" t="n">
        <v>7914.789999999995</v>
      </c>
      <c r="H235" s="55" t="n">
        <v>0</v>
      </c>
      <c r="I235" s="53" t="n">
        <v>100</v>
      </c>
      <c r="J235" s="53" t="n">
        <v>0</v>
      </c>
      <c r="K235" s="53" t="n">
        <v>0</v>
      </c>
      <c r="L235" s="53" t="n">
        <v>0</v>
      </c>
      <c r="M235" s="53" t="n">
        <v>100</v>
      </c>
      <c r="N235" s="53" t="n">
        <v>572</v>
      </c>
    </row>
    <row r="236">
      <c r="A236" s="58" t="inlineStr">
        <is>
          <t>Riviera Imports</t>
        </is>
      </c>
      <c r="B236" s="58" t="inlineStr">
        <is>
          <t>Ecaana</t>
        </is>
      </c>
      <c r="C236" s="53" t="n">
        <v>0</v>
      </c>
      <c r="D236" s="53" t="n">
        <v>8</v>
      </c>
      <c r="E236" s="55" t="n">
        <v>0</v>
      </c>
      <c r="F236" s="55" t="n">
        <v>454</v>
      </c>
      <c r="G236" s="55" t="n">
        <v>0</v>
      </c>
      <c r="H236" s="55" t="n">
        <v>99.02000000000001</v>
      </c>
      <c r="I236" s="53" t="n">
        <v>0</v>
      </c>
      <c r="J236" s="53" t="n">
        <v>4</v>
      </c>
      <c r="K236" s="53" t="n">
        <v>4</v>
      </c>
      <c r="L236" s="53" t="n">
        <v>8</v>
      </c>
      <c r="M236" s="53" t="n">
        <v>0</v>
      </c>
      <c r="N236" s="53" t="n">
        <v>0</v>
      </c>
    </row>
    <row r="237">
      <c r="A237" s="58" t="inlineStr">
        <is>
          <t>SAZERAC INC</t>
        </is>
      </c>
      <c r="B237" s="58" t="inlineStr">
        <is>
          <t>Fresca Hard Sparkling</t>
        </is>
      </c>
      <c r="C237" s="53" t="n">
        <v>0</v>
      </c>
      <c r="D237" s="53" t="n">
        <v>54</v>
      </c>
      <c r="E237" s="55" t="n">
        <v>0</v>
      </c>
      <c r="F237" s="55" t="n">
        <v>1373.4</v>
      </c>
      <c r="G237" s="55" t="n">
        <v>0</v>
      </c>
      <c r="H237" s="55" t="n">
        <v>316.08</v>
      </c>
      <c r="I237" s="53" t="n">
        <v>0</v>
      </c>
      <c r="J237" s="53" t="n">
        <v>21</v>
      </c>
      <c r="K237" s="53" t="n">
        <v>21</v>
      </c>
      <c r="L237" s="53" t="n">
        <v>54</v>
      </c>
      <c r="M237" s="53" t="n">
        <v>0</v>
      </c>
      <c r="N237" s="53" t="n">
        <v>0</v>
      </c>
    </row>
    <row r="238">
      <c r="A238" s="58" t="inlineStr">
        <is>
          <t>SAZERAC INC</t>
        </is>
      </c>
      <c r="B238" s="58" t="inlineStr">
        <is>
          <t>Fresca Mixed</t>
        </is>
      </c>
      <c r="C238" s="53" t="n">
        <v>249</v>
      </c>
      <c r="D238" s="53" t="n">
        <v>175</v>
      </c>
      <c r="E238" s="55" t="n">
        <v>11523</v>
      </c>
      <c r="F238" s="55" t="n">
        <v>8098</v>
      </c>
      <c r="G238" s="55" t="n">
        <v>5043.82</v>
      </c>
      <c r="H238" s="55" t="n">
        <v>3544.500000000001</v>
      </c>
      <c r="I238" s="53" t="n">
        <v>41</v>
      </c>
      <c r="J238" s="53" t="n">
        <v>29</v>
      </c>
      <c r="K238" s="53" t="n">
        <v>8</v>
      </c>
      <c r="L238" s="53" t="n">
        <v>30</v>
      </c>
      <c r="M238" s="53" t="n">
        <v>20</v>
      </c>
      <c r="N238" s="53" t="n">
        <v>89</v>
      </c>
    </row>
    <row r="239">
      <c r="A239" s="58" t="inlineStr">
        <is>
          <t>SN Food &amp; Beverage LLC</t>
        </is>
      </c>
      <c r="B239" s="58" t="inlineStr">
        <is>
          <t>Carbliss</t>
        </is>
      </c>
      <c r="C239" s="53" t="n">
        <v>0</v>
      </c>
      <c r="D239" s="53" t="n">
        <v>3045</v>
      </c>
      <c r="E239" s="55" t="n">
        <v>0</v>
      </c>
      <c r="F239" s="55" t="n">
        <v>159822.5</v>
      </c>
      <c r="G239" s="55" t="n">
        <v>0</v>
      </c>
      <c r="H239" s="55" t="n">
        <v>62382.5</v>
      </c>
      <c r="I239" s="53" t="n">
        <v>0</v>
      </c>
      <c r="J239" s="53" t="n">
        <v>387</v>
      </c>
      <c r="K239" s="53" t="n">
        <v>387</v>
      </c>
      <c r="L239" s="53" t="n">
        <v>3045</v>
      </c>
      <c r="M239" s="53" t="n">
        <v>0</v>
      </c>
      <c r="N239" s="53" t="n">
        <v>0</v>
      </c>
    </row>
    <row r="240">
      <c r="A240" s="58" t="inlineStr">
        <is>
          <t>SPYRT Worldwide</t>
        </is>
      </c>
      <c r="B240" s="58" t="inlineStr">
        <is>
          <t>Hetman Vodka</t>
        </is>
      </c>
      <c r="C240" s="53" t="n">
        <v>0</v>
      </c>
      <c r="D240" s="53" t="n">
        <v>0</v>
      </c>
      <c r="E240" s="55" t="n">
        <v>0</v>
      </c>
      <c r="F240" s="55" t="n">
        <v>350</v>
      </c>
      <c r="G240" s="55" t="n">
        <v>0</v>
      </c>
      <c r="H240" s="55" t="n">
        <v>123.32</v>
      </c>
      <c r="I240" s="53" t="n">
        <v>0</v>
      </c>
      <c r="J240" s="53" t="n">
        <v>0</v>
      </c>
      <c r="K240" s="53" t="n">
        <v>0</v>
      </c>
      <c r="L240" s="53" t="n">
        <v>0</v>
      </c>
      <c r="M240" s="53" t="n">
        <v>0</v>
      </c>
      <c r="N240" s="53" t="n">
        <v>0</v>
      </c>
    </row>
    <row r="241">
      <c r="A241" s="58" t="inlineStr">
        <is>
          <t>SPYRT Worldwide</t>
        </is>
      </c>
      <c r="B241" s="58" t="inlineStr">
        <is>
          <t>Shabo Wine</t>
        </is>
      </c>
      <c r="C241" s="53" t="n">
        <v>0</v>
      </c>
      <c r="D241" s="53" t="n">
        <v>4</v>
      </c>
      <c r="E241" s="55" t="n">
        <v>0</v>
      </c>
      <c r="F241" s="55" t="n">
        <v>640</v>
      </c>
      <c r="G241" s="55" t="n">
        <v>0</v>
      </c>
      <c r="H241" s="55" t="n">
        <v>132.52</v>
      </c>
      <c r="I241" s="53" t="n">
        <v>0</v>
      </c>
      <c r="J241" s="53" t="n">
        <v>2</v>
      </c>
      <c r="K241" s="53" t="n">
        <v>2</v>
      </c>
      <c r="L241" s="53" t="n">
        <v>4</v>
      </c>
      <c r="M241" s="53" t="n">
        <v>0</v>
      </c>
      <c r="N241" s="53" t="n">
        <v>0</v>
      </c>
    </row>
    <row r="242">
      <c r="A242" s="58" t="inlineStr">
        <is>
          <t>SPYRT Worldwide</t>
        </is>
      </c>
      <c r="B242" s="58" t="inlineStr">
        <is>
          <t>Ukrainian Spirit</t>
        </is>
      </c>
      <c r="C242" s="53" t="n">
        <v>0</v>
      </c>
      <c r="D242" s="53" t="n">
        <v>2</v>
      </c>
      <c r="E242" s="55" t="n">
        <v>0</v>
      </c>
      <c r="F242" s="55" t="n">
        <v>525</v>
      </c>
      <c r="G242" s="55" t="n">
        <v>0</v>
      </c>
      <c r="H242" s="55" t="n">
        <v>149.62</v>
      </c>
      <c r="I242" s="53" t="n">
        <v>0</v>
      </c>
      <c r="J242" s="53" t="n">
        <v>2</v>
      </c>
      <c r="K242" s="53" t="n">
        <v>2</v>
      </c>
      <c r="L242" s="53" t="n">
        <v>2</v>
      </c>
      <c r="M242" s="53" t="n">
        <v>0</v>
      </c>
      <c r="N242" s="53" t="n">
        <v>0</v>
      </c>
    </row>
    <row r="243">
      <c r="A243" s="58" t="inlineStr">
        <is>
          <t>Saratoga</t>
        </is>
      </c>
      <c r="B243" s="58" t="inlineStr">
        <is>
          <t>Saratoga</t>
        </is>
      </c>
      <c r="C243" s="53" t="n">
        <v>1812</v>
      </c>
      <c r="D243" s="53" t="n">
        <v>2524</v>
      </c>
      <c r="E243" s="55" t="n">
        <v>31947</v>
      </c>
      <c r="F243" s="55" t="n">
        <v>48337.5</v>
      </c>
      <c r="G243" s="55" t="n">
        <v>3605.640000000001</v>
      </c>
      <c r="H243" s="55" t="n">
        <v>5794.740000000002</v>
      </c>
      <c r="I243" s="53" t="n">
        <v>66</v>
      </c>
      <c r="J243" s="53" t="n">
        <v>71</v>
      </c>
      <c r="K243" s="53" t="n">
        <v>31</v>
      </c>
      <c r="L243" s="53" t="n">
        <v>612</v>
      </c>
      <c r="M243" s="53" t="n">
        <v>26</v>
      </c>
      <c r="N243" s="53" t="n">
        <v>362</v>
      </c>
    </row>
    <row r="244">
      <c r="A244" s="58" t="inlineStr">
        <is>
          <t>Savorian INC</t>
        </is>
      </c>
      <c r="B244" s="58" t="inlineStr">
        <is>
          <t>Castellani Etichetta Gialla</t>
        </is>
      </c>
      <c r="C244" s="53" t="n">
        <v>0</v>
      </c>
      <c r="D244" s="53" t="n">
        <v>12</v>
      </c>
      <c r="E244" s="55" t="n">
        <v>0</v>
      </c>
      <c r="F244" s="55" t="n">
        <v>960</v>
      </c>
      <c r="G244" s="55" t="n">
        <v>0</v>
      </c>
      <c r="H244" s="55" t="n">
        <v>235.05</v>
      </c>
      <c r="I244" s="53" t="n">
        <v>0</v>
      </c>
      <c r="J244" s="53" t="n">
        <v>8</v>
      </c>
      <c r="K244" s="53" t="n">
        <v>8</v>
      </c>
      <c r="L244" s="53" t="n">
        <v>12</v>
      </c>
      <c r="M244" s="53" t="n">
        <v>0</v>
      </c>
      <c r="N244" s="53" t="n">
        <v>0</v>
      </c>
    </row>
    <row r="245">
      <c r="A245" s="58" t="inlineStr">
        <is>
          <t>Savorian INC</t>
        </is>
      </c>
      <c r="B245" s="58" t="inlineStr">
        <is>
          <t>Les Domaniales Rose D' Anjou Loire</t>
        </is>
      </c>
      <c r="C245" s="53" t="n">
        <v>0</v>
      </c>
      <c r="D245" s="53" t="n">
        <v>2</v>
      </c>
      <c r="E245" s="55" t="n">
        <v>0</v>
      </c>
      <c r="F245" s="55" t="n">
        <v>170</v>
      </c>
      <c r="G245" s="55" t="n">
        <v>0</v>
      </c>
      <c r="H245" s="55" t="n">
        <v>45.84</v>
      </c>
      <c r="I245" s="53" t="n">
        <v>0</v>
      </c>
      <c r="J245" s="53" t="n">
        <v>2</v>
      </c>
      <c r="K245" s="53" t="n">
        <v>2</v>
      </c>
      <c r="L245" s="53" t="n">
        <v>2</v>
      </c>
      <c r="M245" s="53" t="n">
        <v>0</v>
      </c>
      <c r="N245" s="53" t="n">
        <v>0</v>
      </c>
    </row>
    <row r="246">
      <c r="A246" s="58" t="inlineStr">
        <is>
          <t>Savorian INC</t>
        </is>
      </c>
      <c r="B246" s="58" t="inlineStr">
        <is>
          <t>Stoney River</t>
        </is>
      </c>
      <c r="C246" s="53" t="n">
        <v>0</v>
      </c>
      <c r="D246" s="53" t="n">
        <v>3</v>
      </c>
      <c r="E246" s="55" t="n">
        <v>0</v>
      </c>
      <c r="F246" s="55" t="n">
        <v>300</v>
      </c>
      <c r="G246" s="55" t="n">
        <v>0</v>
      </c>
      <c r="H246" s="55" t="n">
        <v>65.76000000000001</v>
      </c>
      <c r="I246" s="53" t="n">
        <v>0</v>
      </c>
      <c r="J246" s="53" t="n">
        <v>3</v>
      </c>
      <c r="K246" s="53" t="n">
        <v>3</v>
      </c>
      <c r="L246" s="53" t="n">
        <v>3</v>
      </c>
      <c r="M246" s="53" t="n">
        <v>0</v>
      </c>
      <c r="N246" s="53" t="n">
        <v>0</v>
      </c>
    </row>
    <row r="247">
      <c r="A247" s="58" t="inlineStr">
        <is>
          <t>Sierra Nevada Brewing Company</t>
        </is>
      </c>
      <c r="B247" s="58" t="inlineStr">
        <is>
          <t>Sierra Nevada</t>
        </is>
      </c>
      <c r="C247" s="53" t="n">
        <v>12121</v>
      </c>
      <c r="D247" s="53" t="n">
        <v>13104</v>
      </c>
      <c r="E247" s="55" t="n">
        <v>425122.55</v>
      </c>
      <c r="F247" s="55" t="n">
        <v>458124.7799999999</v>
      </c>
      <c r="G247" s="55" t="n">
        <v>115810.1500000001</v>
      </c>
      <c r="H247" s="55" t="n">
        <v>125160.5100000001</v>
      </c>
      <c r="I247" s="53" t="n">
        <v>412</v>
      </c>
      <c r="J247" s="53" t="n">
        <v>423</v>
      </c>
      <c r="K247" s="53" t="n">
        <v>85</v>
      </c>
      <c r="L247" s="53" t="n">
        <v>1012</v>
      </c>
      <c r="M247" s="53" t="n">
        <v>74</v>
      </c>
      <c r="N247" s="53" t="n">
        <v>487</v>
      </c>
    </row>
    <row r="248">
      <c r="A248" s="58" t="inlineStr">
        <is>
          <t>Sixpoint Brewing</t>
        </is>
      </c>
      <c r="B248" s="58" t="inlineStr">
        <is>
          <t>Sixpoint</t>
        </is>
      </c>
      <c r="C248" s="53" t="n">
        <v>5323</v>
      </c>
      <c r="D248" s="53" t="n">
        <v>4972</v>
      </c>
      <c r="E248" s="55" t="n">
        <v>163953.48</v>
      </c>
      <c r="F248" s="55" t="n">
        <v>154203.64</v>
      </c>
      <c r="G248" s="55" t="n">
        <v>41423.57000000001</v>
      </c>
      <c r="H248" s="55" t="n">
        <v>38364.71999999999</v>
      </c>
      <c r="I248" s="53" t="n">
        <v>265</v>
      </c>
      <c r="J248" s="53" t="n">
        <v>247</v>
      </c>
      <c r="K248" s="53" t="n">
        <v>46</v>
      </c>
      <c r="L248" s="53" t="n">
        <v>445</v>
      </c>
      <c r="M248" s="53" t="n">
        <v>64</v>
      </c>
      <c r="N248" s="53" t="n">
        <v>474</v>
      </c>
    </row>
    <row r="249">
      <c r="A249" s="58" t="inlineStr">
        <is>
          <t>Source Brewing</t>
        </is>
      </c>
      <c r="B249" s="58" t="inlineStr">
        <is>
          <t>Source Brewing</t>
        </is>
      </c>
      <c r="C249" s="53" t="n">
        <v>0</v>
      </c>
      <c r="D249" s="53" t="n">
        <v>490</v>
      </c>
      <c r="E249" s="55" t="n">
        <v>0</v>
      </c>
      <c r="F249" s="55" t="n">
        <v>26420.5</v>
      </c>
      <c r="G249" s="55" t="n">
        <v>0</v>
      </c>
      <c r="H249" s="55" t="n">
        <v>7677.540000000002</v>
      </c>
      <c r="I249" s="53" t="n">
        <v>0</v>
      </c>
      <c r="J249" s="53" t="n">
        <v>85</v>
      </c>
      <c r="K249" s="53" t="n">
        <v>85</v>
      </c>
      <c r="L249" s="53" t="n">
        <v>491</v>
      </c>
      <c r="M249" s="53" t="n">
        <v>0</v>
      </c>
      <c r="N249" s="53" t="n">
        <v>0</v>
      </c>
    </row>
    <row r="250">
      <c r="A250" s="58" t="inlineStr">
        <is>
          <t>Southern Tier Brewing Company</t>
        </is>
      </c>
      <c r="B250" s="58" t="inlineStr">
        <is>
          <t>Southern Tier</t>
        </is>
      </c>
      <c r="C250" s="53" t="n">
        <v>1988</v>
      </c>
      <c r="D250" s="53" t="n">
        <v>1874</v>
      </c>
      <c r="E250" s="55" t="n">
        <v>91911.09999999998</v>
      </c>
      <c r="F250" s="55" t="n">
        <v>87768.59999999998</v>
      </c>
      <c r="G250" s="55" t="n">
        <v>22462</v>
      </c>
      <c r="H250" s="55" t="n">
        <v>22282.02000000001</v>
      </c>
      <c r="I250" s="53" t="n">
        <v>143</v>
      </c>
      <c r="J250" s="53" t="n">
        <v>134</v>
      </c>
      <c r="K250" s="53" t="n">
        <v>50</v>
      </c>
      <c r="L250" s="53" t="n">
        <v>369</v>
      </c>
      <c r="M250" s="53" t="n">
        <v>59</v>
      </c>
      <c r="N250" s="53" t="n">
        <v>394</v>
      </c>
    </row>
    <row r="251">
      <c r="A251" s="58" t="inlineStr">
        <is>
          <t>Southern Tier Distilling Company</t>
        </is>
      </c>
      <c r="B251" s="58" t="inlineStr">
        <is>
          <t>Southern Tier Distilling</t>
        </is>
      </c>
      <c r="C251" s="53" t="n">
        <v>175</v>
      </c>
      <c r="D251" s="53" t="n">
        <v>159</v>
      </c>
      <c r="E251" s="55" t="n">
        <v>10726</v>
      </c>
      <c r="F251" s="55" t="n">
        <v>10579.34</v>
      </c>
      <c r="G251" s="55" t="n">
        <v>4459.08</v>
      </c>
      <c r="H251" s="55" t="n">
        <v>4397.72</v>
      </c>
      <c r="I251" s="53" t="n">
        <v>24</v>
      </c>
      <c r="J251" s="53" t="n">
        <v>24</v>
      </c>
      <c r="K251" s="53" t="n">
        <v>6</v>
      </c>
      <c r="L251" s="53" t="n">
        <v>36</v>
      </c>
      <c r="M251" s="53" t="n">
        <v>6</v>
      </c>
      <c r="N251" s="53" t="n">
        <v>25</v>
      </c>
    </row>
    <row r="252">
      <c r="A252" s="58" t="inlineStr">
        <is>
          <t>Southern Tier Distilling Company</t>
        </is>
      </c>
      <c r="B252" s="58" t="inlineStr">
        <is>
          <t>Victory House Pour Vodka</t>
        </is>
      </c>
      <c r="C252" s="53" t="n">
        <v>0</v>
      </c>
      <c r="D252" s="53" t="n">
        <v>11</v>
      </c>
      <c r="E252" s="55" t="n">
        <v>0</v>
      </c>
      <c r="F252" s="55" t="n">
        <v>633</v>
      </c>
      <c r="G252" s="55" t="n">
        <v>0</v>
      </c>
      <c r="H252" s="55" t="n">
        <v>284.41</v>
      </c>
      <c r="I252" s="53" t="n">
        <v>0</v>
      </c>
      <c r="J252" s="53" t="n">
        <v>6</v>
      </c>
      <c r="K252" s="53" t="n">
        <v>6</v>
      </c>
      <c r="L252" s="53" t="n">
        <v>11</v>
      </c>
      <c r="M252" s="53" t="n">
        <v>0</v>
      </c>
      <c r="N252" s="53" t="n">
        <v>0</v>
      </c>
    </row>
    <row r="253">
      <c r="A253" s="58" t="inlineStr">
        <is>
          <t>Stone Brewing</t>
        </is>
      </c>
      <c r="B253" s="58" t="inlineStr">
        <is>
          <t>Stone Brewing</t>
        </is>
      </c>
      <c r="C253" s="53" t="n">
        <v>4845</v>
      </c>
      <c r="D253" s="53" t="n">
        <v>3935</v>
      </c>
      <c r="E253" s="55" t="n">
        <v>151107.0500000001</v>
      </c>
      <c r="F253" s="55" t="n">
        <v>119974.5000000001</v>
      </c>
      <c r="G253" s="55" t="n">
        <v>41359.11999999997</v>
      </c>
      <c r="H253" s="55" t="n">
        <v>33143.33000000001</v>
      </c>
      <c r="I253" s="53" t="n">
        <v>252</v>
      </c>
      <c r="J253" s="53" t="n">
        <v>210</v>
      </c>
      <c r="K253" s="53" t="n">
        <v>44</v>
      </c>
      <c r="L253" s="53" t="n">
        <v>278</v>
      </c>
      <c r="M253" s="53" t="n">
        <v>86</v>
      </c>
      <c r="N253" s="53" t="n">
        <v>662</v>
      </c>
    </row>
    <row r="254">
      <c r="A254" s="58" t="inlineStr">
        <is>
          <t>Stone Brewing</t>
        </is>
      </c>
      <c r="B254" s="58" t="inlineStr">
        <is>
          <t>Stone Premium &amp; Smooth Beer Co</t>
        </is>
      </c>
      <c r="C254" s="53" t="n">
        <v>523</v>
      </c>
      <c r="D254" s="53" t="n">
        <v>572</v>
      </c>
      <c r="E254" s="55" t="n">
        <v>12986</v>
      </c>
      <c r="F254" s="55" t="n">
        <v>14040</v>
      </c>
      <c r="G254" s="55" t="n">
        <v>3538.5</v>
      </c>
      <c r="H254" s="55" t="n">
        <v>3813</v>
      </c>
      <c r="I254" s="53" t="n">
        <v>3</v>
      </c>
      <c r="J254" s="53" t="n">
        <v>2</v>
      </c>
      <c r="K254" s="53" t="n">
        <v>0</v>
      </c>
      <c r="L254" s="53" t="n">
        <v>0</v>
      </c>
      <c r="M254" s="53" t="n">
        <v>1</v>
      </c>
      <c r="N254" s="53" t="n">
        <v>14</v>
      </c>
    </row>
    <row r="255">
      <c r="A255" s="58" t="inlineStr">
        <is>
          <t>Surface Brands</t>
        </is>
      </c>
      <c r="B255" s="58" t="inlineStr">
        <is>
          <t>La Bodega</t>
        </is>
      </c>
      <c r="C255" s="53" t="n">
        <v>0</v>
      </c>
      <c r="D255" s="53" t="n">
        <v>1</v>
      </c>
      <c r="E255" s="55" t="n">
        <v>0</v>
      </c>
      <c r="F255" s="55" t="n">
        <v>220</v>
      </c>
      <c r="G255" s="55" t="n">
        <v>0</v>
      </c>
      <c r="H255" s="55" t="n">
        <v>43.57</v>
      </c>
      <c r="I255" s="53" t="n">
        <v>0</v>
      </c>
      <c r="J255" s="53" t="n">
        <v>1</v>
      </c>
      <c r="K255" s="53" t="n">
        <v>1</v>
      </c>
      <c r="L255" s="53" t="n">
        <v>1</v>
      </c>
      <c r="M255" s="53" t="n">
        <v>0</v>
      </c>
      <c r="N255" s="53" t="n">
        <v>0</v>
      </c>
    </row>
    <row r="256">
      <c r="A256" s="58" t="inlineStr">
        <is>
          <t>Surface Brands</t>
        </is>
      </c>
      <c r="B256" s="58" t="inlineStr">
        <is>
          <t>Poggio Torselli</t>
        </is>
      </c>
      <c r="C256" s="53" t="n">
        <v>0</v>
      </c>
      <c r="D256" s="53" t="n">
        <v>8</v>
      </c>
      <c r="E256" s="55" t="n">
        <v>0</v>
      </c>
      <c r="F256" s="55" t="n">
        <v>1035</v>
      </c>
      <c r="G256" s="55" t="n">
        <v>0</v>
      </c>
      <c r="H256" s="55" t="n">
        <v>557.4</v>
      </c>
      <c r="I256" s="53" t="n">
        <v>0</v>
      </c>
      <c r="J256" s="53" t="n">
        <v>2</v>
      </c>
      <c r="K256" s="53" t="n">
        <v>2</v>
      </c>
      <c r="L256" s="53" t="n">
        <v>8</v>
      </c>
      <c r="M256" s="53" t="n">
        <v>0</v>
      </c>
      <c r="N256" s="53" t="n">
        <v>0</v>
      </c>
    </row>
    <row r="257">
      <c r="A257" s="58" t="inlineStr">
        <is>
          <t>Talkhouse Encore</t>
        </is>
      </c>
      <c r="B257" s="58" t="inlineStr">
        <is>
          <t>Talkhouse Encore</t>
        </is>
      </c>
      <c r="C257" s="53" t="n">
        <v>541</v>
      </c>
      <c r="D257" s="53" t="n">
        <v>657</v>
      </c>
      <c r="E257" s="55" t="n">
        <v>29643</v>
      </c>
      <c r="F257" s="55" t="n">
        <v>36035</v>
      </c>
      <c r="G257" s="55" t="n">
        <v>12331</v>
      </c>
      <c r="H257" s="55" t="n">
        <v>15011</v>
      </c>
      <c r="I257" s="53" t="n">
        <v>81</v>
      </c>
      <c r="J257" s="53" t="n">
        <v>80</v>
      </c>
      <c r="K257" s="53" t="n">
        <v>47</v>
      </c>
      <c r="L257" s="53" t="n">
        <v>321</v>
      </c>
      <c r="M257" s="53" t="n">
        <v>48</v>
      </c>
      <c r="N257" s="53" t="n">
        <v>252</v>
      </c>
    </row>
    <row r="258">
      <c r="A258" s="58" t="inlineStr">
        <is>
          <t>The Old G LLC</t>
        </is>
      </c>
      <c r="B258" s="58" t="inlineStr">
        <is>
          <t>The Old G</t>
        </is>
      </c>
      <c r="C258" s="53" t="n">
        <v>1</v>
      </c>
      <c r="D258" s="53" t="n">
        <v>0</v>
      </c>
      <c r="E258" s="55" t="n">
        <v>186</v>
      </c>
      <c r="F258" s="55" t="n">
        <v>0</v>
      </c>
      <c r="G258" s="55" t="n">
        <v>68.45999999999999</v>
      </c>
      <c r="H258" s="55" t="n">
        <v>0</v>
      </c>
      <c r="I258" s="53" t="n">
        <v>1</v>
      </c>
      <c r="J258" s="53" t="n">
        <v>0</v>
      </c>
      <c r="K258" s="53" t="n">
        <v>0</v>
      </c>
      <c r="L258" s="53" t="n">
        <v>0</v>
      </c>
      <c r="M258" s="53" t="n">
        <v>1</v>
      </c>
      <c r="N258" s="53" t="n">
        <v>1</v>
      </c>
    </row>
    <row r="259">
      <c r="A259" s="58" t="inlineStr">
        <is>
          <t>Tilray Alternative Beverage</t>
        </is>
      </c>
      <c r="B259" s="58" t="inlineStr">
        <is>
          <t>Fizzy Jane</t>
        </is>
      </c>
      <c r="C259" s="53" t="n">
        <v>133</v>
      </c>
      <c r="D259" s="53" t="n">
        <v>54</v>
      </c>
      <c r="E259" s="55" t="n">
        <v>8749</v>
      </c>
      <c r="F259" s="55" t="n">
        <v>4286</v>
      </c>
      <c r="G259" s="55" t="n">
        <v>2621.469999999999</v>
      </c>
      <c r="H259" s="55" t="n">
        <v>1533.56</v>
      </c>
      <c r="I259" s="53" t="n">
        <v>40</v>
      </c>
      <c r="J259" s="53" t="n">
        <v>18</v>
      </c>
      <c r="K259" s="53" t="n">
        <v>5</v>
      </c>
      <c r="L259" s="53" t="n">
        <v>16</v>
      </c>
      <c r="M259" s="53" t="n">
        <v>27</v>
      </c>
      <c r="N259" s="53" t="n">
        <v>95</v>
      </c>
    </row>
    <row r="260">
      <c r="A260" s="58" t="inlineStr">
        <is>
          <t>Tilray Alternative Beverage</t>
        </is>
      </c>
      <c r="B260" s="58" t="inlineStr">
        <is>
          <t>Happy Flower</t>
        </is>
      </c>
      <c r="C260" s="53" t="n">
        <v>50</v>
      </c>
      <c r="D260" s="53" t="n">
        <v>90</v>
      </c>
      <c r="E260" s="55" t="n">
        <v>3986</v>
      </c>
      <c r="F260" s="55" t="n">
        <v>8180</v>
      </c>
      <c r="G260" s="55" t="n">
        <v>1055.58</v>
      </c>
      <c r="H260" s="55" t="n">
        <v>2923.08</v>
      </c>
      <c r="I260" s="53" t="n">
        <v>7</v>
      </c>
      <c r="J260" s="53" t="n">
        <v>15</v>
      </c>
      <c r="K260" s="53" t="n">
        <v>15</v>
      </c>
      <c r="L260" s="53" t="n">
        <v>90</v>
      </c>
      <c r="M260" s="53" t="n">
        <v>7</v>
      </c>
      <c r="N260" s="53" t="n">
        <v>50</v>
      </c>
    </row>
    <row r="261">
      <c r="A261" s="58" t="inlineStr">
        <is>
          <t>Tilray Alternative Beverage</t>
        </is>
      </c>
      <c r="B261" s="58" t="inlineStr">
        <is>
          <t>Herb &amp; Bloom</t>
        </is>
      </c>
      <c r="C261" s="53" t="n">
        <v>246</v>
      </c>
      <c r="D261" s="53" t="n">
        <v>-17</v>
      </c>
      <c r="E261" s="55" t="n">
        <v>22632</v>
      </c>
      <c r="F261" s="55" t="n">
        <v>-944</v>
      </c>
      <c r="G261" s="55" t="n">
        <v>6571.5</v>
      </c>
      <c r="H261" s="55" t="n">
        <v>130.79</v>
      </c>
      <c r="I261" s="53" t="n">
        <v>52</v>
      </c>
      <c r="J261" s="53" t="n">
        <v>0</v>
      </c>
      <c r="K261" s="53" t="n">
        <v>0</v>
      </c>
      <c r="L261" s="53" t="n">
        <v>0</v>
      </c>
      <c r="M261" s="53" t="n">
        <v>52</v>
      </c>
      <c r="N261" s="53" t="n">
        <v>246</v>
      </c>
    </row>
    <row r="262">
      <c r="A262" s="58" t="inlineStr">
        <is>
          <t>Total Beverage Solutions</t>
        </is>
      </c>
      <c r="B262" s="58" t="inlineStr">
        <is>
          <t>Banks</t>
        </is>
      </c>
      <c r="C262" s="53" t="n">
        <v>152</v>
      </c>
      <c r="D262" s="53" t="n">
        <v>117</v>
      </c>
      <c r="E262" s="55" t="n">
        <v>6235.5</v>
      </c>
      <c r="F262" s="55" t="n">
        <v>4801</v>
      </c>
      <c r="G262" s="55" t="n">
        <v>1725.76</v>
      </c>
      <c r="H262" s="55" t="n">
        <v>1154.11</v>
      </c>
      <c r="I262" s="53" t="n">
        <v>14</v>
      </c>
      <c r="J262" s="53" t="n">
        <v>17</v>
      </c>
      <c r="K262" s="53" t="n">
        <v>8</v>
      </c>
      <c r="L262" s="53" t="n">
        <v>21</v>
      </c>
      <c r="M262" s="53" t="n">
        <v>5</v>
      </c>
      <c r="N262" s="53" t="n">
        <v>20</v>
      </c>
    </row>
    <row r="263">
      <c r="A263" s="58" t="inlineStr">
        <is>
          <t>Total Beverage Solutions</t>
        </is>
      </c>
      <c r="B263" s="58" t="inlineStr">
        <is>
          <t>Carib</t>
        </is>
      </c>
      <c r="C263" s="53" t="n">
        <v>4563</v>
      </c>
      <c r="D263" s="53" t="n">
        <v>4177</v>
      </c>
      <c r="E263" s="55" t="n">
        <v>175177</v>
      </c>
      <c r="F263" s="55" t="n">
        <v>163873.01</v>
      </c>
      <c r="G263" s="55" t="n">
        <v>53376.99000000006</v>
      </c>
      <c r="H263" s="55" t="n">
        <v>49971.96000000002</v>
      </c>
      <c r="I263" s="53" t="n">
        <v>141</v>
      </c>
      <c r="J263" s="53" t="n">
        <v>151</v>
      </c>
      <c r="K263" s="53" t="n">
        <v>40</v>
      </c>
      <c r="L263" s="53" t="n">
        <v>361</v>
      </c>
      <c r="M263" s="53" t="n">
        <v>30</v>
      </c>
      <c r="N263" s="53" t="n">
        <v>324</v>
      </c>
    </row>
    <row r="264">
      <c r="A264" s="58" t="inlineStr">
        <is>
          <t>Total Beverage Solutions</t>
        </is>
      </c>
      <c r="B264" s="58" t="inlineStr">
        <is>
          <t>Mackeson</t>
        </is>
      </c>
      <c r="C264" s="53" t="n">
        <v>167</v>
      </c>
      <c r="D264" s="53" t="n">
        <v>154</v>
      </c>
      <c r="E264" s="55" t="n">
        <v>6494.5</v>
      </c>
      <c r="F264" s="55" t="n">
        <v>6073</v>
      </c>
      <c r="G264" s="55" t="n">
        <v>1790.11</v>
      </c>
      <c r="H264" s="55" t="n">
        <v>1734.82</v>
      </c>
      <c r="I264" s="53" t="n">
        <v>34</v>
      </c>
      <c r="J264" s="53" t="n">
        <v>28</v>
      </c>
      <c r="K264" s="53" t="n">
        <v>9</v>
      </c>
      <c r="L264" s="53" t="n">
        <v>28</v>
      </c>
      <c r="M264" s="53" t="n">
        <v>15</v>
      </c>
      <c r="N264" s="53" t="n">
        <v>54</v>
      </c>
    </row>
    <row r="265">
      <c r="A265" s="58" t="inlineStr">
        <is>
          <t>Total Beverage Solutions</t>
        </is>
      </c>
      <c r="B265" s="58" t="inlineStr">
        <is>
          <t>Magners</t>
        </is>
      </c>
      <c r="C265" s="53" t="n">
        <v>1811</v>
      </c>
      <c r="D265" s="53" t="n">
        <v>2262</v>
      </c>
      <c r="E265" s="55" t="n">
        <v>65426</v>
      </c>
      <c r="F265" s="55" t="n">
        <v>82802.5</v>
      </c>
      <c r="G265" s="55" t="n">
        <v>17075.53999999998</v>
      </c>
      <c r="H265" s="55" t="n">
        <v>19744.92999999998</v>
      </c>
      <c r="I265" s="53" t="n">
        <v>191</v>
      </c>
      <c r="J265" s="53" t="n">
        <v>208</v>
      </c>
      <c r="K265" s="53" t="n">
        <v>71</v>
      </c>
      <c r="L265" s="53" t="n">
        <v>462</v>
      </c>
      <c r="M265" s="53" t="n">
        <v>54</v>
      </c>
      <c r="N265" s="53" t="n">
        <v>202</v>
      </c>
    </row>
    <row r="266">
      <c r="A266" s="58" t="inlineStr">
        <is>
          <t>Total Beverage Solutions</t>
        </is>
      </c>
      <c r="B266" s="58" t="inlineStr">
        <is>
          <t>Rekorderlig</t>
        </is>
      </c>
      <c r="C266" s="53" t="n">
        <v>106</v>
      </c>
      <c r="D266" s="53" t="n">
        <v>105</v>
      </c>
      <c r="E266" s="55" t="n">
        <v>4874</v>
      </c>
      <c r="F266" s="55" t="n">
        <v>5360</v>
      </c>
      <c r="G266" s="55" t="n">
        <v>813.99</v>
      </c>
      <c r="H266" s="55" t="n">
        <v>1154.88</v>
      </c>
      <c r="I266" s="53" t="n">
        <v>18</v>
      </c>
      <c r="J266" s="53" t="n">
        <v>18</v>
      </c>
      <c r="K266" s="53" t="n">
        <v>7</v>
      </c>
      <c r="L266" s="53" t="n">
        <v>24</v>
      </c>
      <c r="M266" s="53" t="n">
        <v>7</v>
      </c>
      <c r="N266" s="53" t="n">
        <v>32</v>
      </c>
    </row>
    <row r="267">
      <c r="A267" s="58" t="inlineStr">
        <is>
          <t>Total Beverage Solutions</t>
        </is>
      </c>
      <c r="B267" s="58" t="inlineStr">
        <is>
          <t>Shipyard</t>
        </is>
      </c>
      <c r="C267" s="53" t="n">
        <v>936</v>
      </c>
      <c r="D267" s="53" t="n">
        <v>970</v>
      </c>
      <c r="E267" s="55" t="n">
        <v>35279.15</v>
      </c>
      <c r="F267" s="55" t="n">
        <v>38406.5</v>
      </c>
      <c r="G267" s="55" t="n">
        <v>9421.159999999994</v>
      </c>
      <c r="H267" s="55" t="n">
        <v>11411.83</v>
      </c>
      <c r="I267" s="53" t="n">
        <v>117</v>
      </c>
      <c r="J267" s="53" t="n">
        <v>88</v>
      </c>
      <c r="K267" s="53" t="n">
        <v>32</v>
      </c>
      <c r="L267" s="53" t="n">
        <v>268</v>
      </c>
      <c r="M267" s="53" t="n">
        <v>61</v>
      </c>
      <c r="N267" s="53" t="n">
        <v>289</v>
      </c>
    </row>
    <row r="268">
      <c r="A268" s="58" t="inlineStr">
        <is>
          <t>Total Beverage Solutions</t>
        </is>
      </c>
      <c r="B268" s="58" t="inlineStr">
        <is>
          <t>Weihenstephaner</t>
        </is>
      </c>
      <c r="C268" s="53" t="n">
        <v>2478</v>
      </c>
      <c r="D268" s="53" t="n">
        <v>2592</v>
      </c>
      <c r="E268" s="55" t="n">
        <v>105804.75</v>
      </c>
      <c r="F268" s="55" t="n">
        <v>114531</v>
      </c>
      <c r="G268" s="55" t="n">
        <v>30687.01000000001</v>
      </c>
      <c r="H268" s="55" t="n">
        <v>31700.42000000002</v>
      </c>
      <c r="I268" s="53" t="n">
        <v>149</v>
      </c>
      <c r="J268" s="53" t="n">
        <v>163</v>
      </c>
      <c r="K268" s="53" t="n">
        <v>45</v>
      </c>
      <c r="L268" s="53" t="n">
        <v>272</v>
      </c>
      <c r="M268" s="53" t="n">
        <v>31</v>
      </c>
      <c r="N268" s="53" t="n">
        <v>186</v>
      </c>
    </row>
    <row r="269">
      <c r="A269" s="58" t="inlineStr">
        <is>
          <t>Travelers Club</t>
        </is>
      </c>
      <c r="B269" s="58" t="inlineStr">
        <is>
          <t>Travelers Club</t>
        </is>
      </c>
      <c r="C269" s="53" t="n">
        <v>1001</v>
      </c>
      <c r="D269" s="53" t="n">
        <v>949</v>
      </c>
      <c r="E269" s="55" t="n">
        <v>49616.78000000001</v>
      </c>
      <c r="F269" s="55" t="n">
        <v>37254.73999999998</v>
      </c>
      <c r="G269" s="55" t="n">
        <v>6105.540000000001</v>
      </c>
      <c r="H269" s="55" t="n">
        <v>-5572.650000000001</v>
      </c>
      <c r="I269" s="53" t="n">
        <v>89</v>
      </c>
      <c r="J269" s="53" t="n">
        <v>96</v>
      </c>
      <c r="K269" s="53" t="n">
        <v>35</v>
      </c>
      <c r="L269" s="53" t="n">
        <v>192</v>
      </c>
      <c r="M269" s="53" t="n">
        <v>28</v>
      </c>
      <c r="N269" s="53" t="n">
        <v>209</v>
      </c>
    </row>
    <row r="270">
      <c r="A270" s="58" t="inlineStr">
        <is>
          <t>Trinity Flavors</t>
        </is>
      </c>
      <c r="B270" s="58" t="inlineStr">
        <is>
          <t>Trinity</t>
        </is>
      </c>
      <c r="C270" s="53" t="n">
        <v>1</v>
      </c>
      <c r="D270" s="53" t="n">
        <v>0</v>
      </c>
      <c r="E270" s="55" t="n">
        <v>70</v>
      </c>
      <c r="F270" s="55" t="n">
        <v>0</v>
      </c>
      <c r="G270" s="55" t="n">
        <v>21.63</v>
      </c>
      <c r="H270" s="55" t="n">
        <v>0</v>
      </c>
      <c r="I270" s="53" t="n">
        <v>1</v>
      </c>
      <c r="J270" s="53" t="n">
        <v>0</v>
      </c>
      <c r="K270" s="53" t="n">
        <v>0</v>
      </c>
      <c r="L270" s="53" t="n">
        <v>0</v>
      </c>
      <c r="M270" s="53" t="n">
        <v>1</v>
      </c>
      <c r="N270" s="53" t="n">
        <v>1</v>
      </c>
    </row>
    <row r="271">
      <c r="A271" s="58" t="inlineStr">
        <is>
          <t>US Beverage</t>
        </is>
      </c>
      <c r="B271" s="58" t="inlineStr">
        <is>
          <t>Birra Moretti</t>
        </is>
      </c>
      <c r="C271" s="53" t="n">
        <v>514</v>
      </c>
      <c r="D271" s="53" t="n">
        <v>676</v>
      </c>
      <c r="E271" s="55" t="n">
        <v>16227</v>
      </c>
      <c r="F271" s="55" t="n">
        <v>21306</v>
      </c>
      <c r="G271" s="55" t="n">
        <v>2913.52</v>
      </c>
      <c r="H271" s="55" t="n">
        <v>3804.359999999999</v>
      </c>
      <c r="I271" s="53" t="n">
        <v>66</v>
      </c>
      <c r="J271" s="53" t="n">
        <v>84</v>
      </c>
      <c r="K271" s="53" t="n">
        <v>31</v>
      </c>
      <c r="L271" s="53" t="n">
        <v>141</v>
      </c>
      <c r="M271" s="53" t="n">
        <v>13</v>
      </c>
      <c r="N271" s="53" t="n">
        <v>48</v>
      </c>
    </row>
    <row r="272">
      <c r="A272" s="58" t="inlineStr">
        <is>
          <t>US Beverage</t>
        </is>
      </c>
      <c r="B272" s="58" t="inlineStr">
        <is>
          <t>Daura</t>
        </is>
      </c>
      <c r="C272" s="53" t="n">
        <v>543</v>
      </c>
      <c r="D272" s="53" t="n">
        <v>601</v>
      </c>
      <c r="E272" s="55" t="n">
        <v>19061</v>
      </c>
      <c r="F272" s="55" t="n">
        <v>21111.6</v>
      </c>
      <c r="G272" s="55" t="n">
        <v>5319.959999999996</v>
      </c>
      <c r="H272" s="55" t="n">
        <v>5920.419999999997</v>
      </c>
      <c r="I272" s="53" t="n">
        <v>98</v>
      </c>
      <c r="J272" s="53" t="n">
        <v>114</v>
      </c>
      <c r="K272" s="53" t="n">
        <v>51</v>
      </c>
      <c r="L272" s="53" t="n">
        <v>175</v>
      </c>
      <c r="M272" s="53" t="n">
        <v>35</v>
      </c>
      <c r="N272" s="53" t="n">
        <v>111</v>
      </c>
    </row>
    <row r="273">
      <c r="A273" s="58" t="inlineStr">
        <is>
          <t>US Beverage</t>
        </is>
      </c>
      <c r="B273" s="58" t="inlineStr">
        <is>
          <t>Dragon Stout</t>
        </is>
      </c>
      <c r="C273" s="53" t="n">
        <v>2559</v>
      </c>
      <c r="D273" s="53" t="n">
        <v>2358</v>
      </c>
      <c r="E273" s="55" t="n">
        <v>101179.92</v>
      </c>
      <c r="F273" s="55" t="n">
        <v>92857.72</v>
      </c>
      <c r="G273" s="55" t="n">
        <v>23631.06999999997</v>
      </c>
      <c r="H273" s="55" t="n">
        <v>21418.55</v>
      </c>
      <c r="I273" s="53" t="n">
        <v>166</v>
      </c>
      <c r="J273" s="53" t="n">
        <v>178</v>
      </c>
      <c r="K273" s="53" t="n">
        <v>57</v>
      </c>
      <c r="L273" s="53" t="n">
        <v>317</v>
      </c>
      <c r="M273" s="53" t="n">
        <v>45</v>
      </c>
      <c r="N273" s="53" t="n">
        <v>347</v>
      </c>
    </row>
    <row r="274">
      <c r="A274" s="58" t="inlineStr">
        <is>
          <t>US Beverage</t>
        </is>
      </c>
      <c r="B274" s="58" t="inlineStr">
        <is>
          <t>Estrella</t>
        </is>
      </c>
      <c r="C274" s="53" t="n">
        <v>618</v>
      </c>
      <c r="D274" s="53" t="n">
        <v>401</v>
      </c>
      <c r="E274" s="55" t="n">
        <v>20667.5</v>
      </c>
      <c r="F274" s="55" t="n">
        <v>12508.1</v>
      </c>
      <c r="G274" s="55" t="n">
        <v>5267.5</v>
      </c>
      <c r="H274" s="55" t="n">
        <v>2945.200000000001</v>
      </c>
      <c r="I274" s="53" t="n">
        <v>101</v>
      </c>
      <c r="J274" s="53" t="n">
        <v>73</v>
      </c>
      <c r="K274" s="53" t="n">
        <v>30</v>
      </c>
      <c r="L274" s="53" t="n">
        <v>101</v>
      </c>
      <c r="M274" s="53" t="n">
        <v>58</v>
      </c>
      <c r="N274" s="53" t="n">
        <v>228</v>
      </c>
    </row>
    <row r="275">
      <c r="A275" s="58" t="inlineStr">
        <is>
          <t>US Beverage</t>
        </is>
      </c>
      <c r="B275" s="58" t="inlineStr">
        <is>
          <t>Innis &amp; Gunn</t>
        </is>
      </c>
      <c r="C275" s="53" t="n">
        <v>154</v>
      </c>
      <c r="D275" s="53" t="n">
        <v>163</v>
      </c>
      <c r="E275" s="55" t="n">
        <v>6336</v>
      </c>
      <c r="F275" s="55" t="n">
        <v>6699.4</v>
      </c>
      <c r="G275" s="55" t="n">
        <v>1661.200000000001</v>
      </c>
      <c r="H275" s="55" t="n">
        <v>1742.5</v>
      </c>
      <c r="I275" s="53" t="n">
        <v>38</v>
      </c>
      <c r="J275" s="53" t="n">
        <v>37</v>
      </c>
      <c r="K275" s="53" t="n">
        <v>19</v>
      </c>
      <c r="L275" s="53" t="n">
        <v>62</v>
      </c>
      <c r="M275" s="53" t="n">
        <v>20</v>
      </c>
      <c r="N275" s="53" t="n">
        <v>67</v>
      </c>
    </row>
    <row r="276">
      <c r="A276" s="58" t="inlineStr">
        <is>
          <t>US Beverage</t>
        </is>
      </c>
      <c r="B276" s="58" t="inlineStr">
        <is>
          <t>Krusovice</t>
        </is>
      </c>
      <c r="C276" s="53" t="n">
        <v>317</v>
      </c>
      <c r="D276" s="53" t="n">
        <v>0</v>
      </c>
      <c r="E276" s="55" t="n">
        <v>8111</v>
      </c>
      <c r="F276" s="55" t="n">
        <v>0</v>
      </c>
      <c r="G276" s="55" t="n">
        <v>1792.889999999999</v>
      </c>
      <c r="H276" s="55" t="n">
        <v>0</v>
      </c>
      <c r="I276" s="53" t="n">
        <v>16</v>
      </c>
      <c r="J276" s="53" t="n">
        <v>0</v>
      </c>
      <c r="K276" s="53" t="n">
        <v>0</v>
      </c>
      <c r="L276" s="53" t="n">
        <v>0</v>
      </c>
      <c r="M276" s="53" t="n">
        <v>16</v>
      </c>
      <c r="N276" s="53" t="n">
        <v>317</v>
      </c>
    </row>
    <row r="277">
      <c r="A277" s="58" t="inlineStr">
        <is>
          <t>US Beverage</t>
        </is>
      </c>
      <c r="B277" s="58" t="inlineStr">
        <is>
          <t>Malibu Splash</t>
        </is>
      </c>
      <c r="C277" s="53" t="n">
        <v>1201</v>
      </c>
      <c r="D277" s="53" t="n">
        <v>0</v>
      </c>
      <c r="E277" s="55" t="n">
        <v>49421</v>
      </c>
      <c r="F277" s="55" t="n">
        <v>0</v>
      </c>
      <c r="G277" s="55" t="n">
        <v>10720.05000000001</v>
      </c>
      <c r="H277" s="55" t="n">
        <v>0</v>
      </c>
      <c r="I277" s="53" t="n">
        <v>109</v>
      </c>
      <c r="J277" s="53" t="n">
        <v>0</v>
      </c>
      <c r="K277" s="53" t="n">
        <v>0</v>
      </c>
      <c r="L277" s="53" t="n">
        <v>0</v>
      </c>
      <c r="M277" s="53" t="n">
        <v>109</v>
      </c>
      <c r="N277" s="53" t="n">
        <v>1201</v>
      </c>
    </row>
    <row r="278">
      <c r="A278" s="58" t="inlineStr">
        <is>
          <t>US Beverage</t>
        </is>
      </c>
      <c r="B278" s="58" t="inlineStr">
        <is>
          <t>Moosehead</t>
        </is>
      </c>
      <c r="C278" s="53" t="n">
        <v>656</v>
      </c>
      <c r="D278" s="53" t="n">
        <v>459</v>
      </c>
      <c r="E278" s="55" t="n">
        <v>15953.5</v>
      </c>
      <c r="F278" s="55" t="n">
        <v>11263.6</v>
      </c>
      <c r="G278" s="55" t="n">
        <v>3968.950000000001</v>
      </c>
      <c r="H278" s="55" t="n">
        <v>3045.730000000001</v>
      </c>
      <c r="I278" s="53" t="n">
        <v>62</v>
      </c>
      <c r="J278" s="53" t="n">
        <v>47</v>
      </c>
      <c r="K278" s="53" t="n">
        <v>9</v>
      </c>
      <c r="L278" s="53" t="n">
        <v>56</v>
      </c>
      <c r="M278" s="53" t="n">
        <v>24</v>
      </c>
      <c r="N278" s="53" t="n">
        <v>118</v>
      </c>
    </row>
    <row r="279">
      <c r="A279" s="58" t="inlineStr">
        <is>
          <t>US Beverage</t>
        </is>
      </c>
      <c r="B279" s="58" t="inlineStr">
        <is>
          <t>Sagres Cerveja</t>
        </is>
      </c>
      <c r="C279" s="53" t="n">
        <v>28</v>
      </c>
      <c r="D279" s="53" t="n">
        <v>86</v>
      </c>
      <c r="E279" s="55" t="n">
        <v>941</v>
      </c>
      <c r="F279" s="55" t="n">
        <v>2776.2</v>
      </c>
      <c r="G279" s="55" t="n">
        <v>279.4399999999999</v>
      </c>
      <c r="H279" s="55" t="n">
        <v>813.55</v>
      </c>
      <c r="I279" s="53" t="n">
        <v>7</v>
      </c>
      <c r="J279" s="53" t="n">
        <v>16</v>
      </c>
      <c r="K279" s="53" t="n">
        <v>14</v>
      </c>
      <c r="L279" s="53" t="n">
        <v>67</v>
      </c>
      <c r="M279" s="53" t="n">
        <v>5</v>
      </c>
      <c r="N279" s="53" t="n">
        <v>16</v>
      </c>
    </row>
    <row r="280">
      <c r="A280" s="58" t="inlineStr">
        <is>
          <t>US Beverage</t>
        </is>
      </c>
      <c r="B280" s="58" t="inlineStr">
        <is>
          <t>Sammy's Beach Bum</t>
        </is>
      </c>
      <c r="C280" s="53" t="n">
        <v>0</v>
      </c>
      <c r="D280" s="53" t="n">
        <v>12</v>
      </c>
      <c r="E280" s="55" t="n">
        <v>0</v>
      </c>
      <c r="F280" s="55" t="n">
        <v>2652</v>
      </c>
      <c r="G280" s="55" t="n">
        <v>0</v>
      </c>
      <c r="H280" s="55" t="n">
        <v>702.64</v>
      </c>
      <c r="I280" s="53" t="n">
        <v>0</v>
      </c>
      <c r="J280" s="53" t="n">
        <v>3</v>
      </c>
      <c r="K280" s="53" t="n">
        <v>3</v>
      </c>
      <c r="L280" s="53" t="n">
        <v>12</v>
      </c>
      <c r="M280" s="53" t="n">
        <v>0</v>
      </c>
      <c r="N280" s="53" t="n">
        <v>0</v>
      </c>
    </row>
    <row r="281">
      <c r="A281" s="58" t="inlineStr">
        <is>
          <t>US Beverage</t>
        </is>
      </c>
      <c r="B281" s="58" t="inlineStr">
        <is>
          <t>Tagus</t>
        </is>
      </c>
      <c r="C281" s="53" t="n">
        <v>23</v>
      </c>
      <c r="D281" s="53" t="n">
        <v>20</v>
      </c>
      <c r="E281" s="55" t="n">
        <v>684</v>
      </c>
      <c r="F281" s="55" t="n">
        <v>530.0999999999999</v>
      </c>
      <c r="G281" s="55" t="n">
        <v>204.63</v>
      </c>
      <c r="H281" s="55" t="n">
        <v>135.07</v>
      </c>
      <c r="I281" s="53" t="n">
        <v>6</v>
      </c>
      <c r="J281" s="53" t="n">
        <v>11</v>
      </c>
      <c r="K281" s="53" t="n">
        <v>9</v>
      </c>
      <c r="L281" s="53" t="n">
        <v>17</v>
      </c>
      <c r="M281" s="53" t="n">
        <v>4</v>
      </c>
      <c r="N281" s="53" t="n">
        <v>14</v>
      </c>
    </row>
    <row r="282">
      <c r="A282" s="58" t="inlineStr">
        <is>
          <t>Unibroue</t>
        </is>
      </c>
      <c r="B282" s="58" t="inlineStr">
        <is>
          <t>Unibroue</t>
        </is>
      </c>
      <c r="C282" s="53" t="n">
        <v>89</v>
      </c>
      <c r="D282" s="53" t="n">
        <v>82</v>
      </c>
      <c r="E282" s="55" t="n">
        <v>4512</v>
      </c>
      <c r="F282" s="55" t="n">
        <v>4130</v>
      </c>
      <c r="G282" s="55" t="n">
        <v>1546.86</v>
      </c>
      <c r="H282" s="55" t="n">
        <v>1333.38</v>
      </c>
      <c r="I282" s="53" t="n">
        <v>19</v>
      </c>
      <c r="J282" s="53" t="n">
        <v>21</v>
      </c>
      <c r="K282" s="53" t="n">
        <v>8</v>
      </c>
      <c r="L282" s="53" t="n">
        <v>14</v>
      </c>
      <c r="M282" s="53" t="n">
        <v>6</v>
      </c>
      <c r="N282" s="53" t="n">
        <v>21</v>
      </c>
    </row>
    <row r="283">
      <c r="A283" s="58" t="inlineStr">
        <is>
          <t>Vermont Hard Cider</t>
        </is>
      </c>
      <c r="B283" s="58" t="inlineStr">
        <is>
          <t>Day Chaser</t>
        </is>
      </c>
      <c r="C283" s="53" t="n">
        <v>0</v>
      </c>
      <c r="D283" s="53" t="n">
        <v>0</v>
      </c>
      <c r="E283" s="55" t="n">
        <v>0</v>
      </c>
      <c r="F283" s="55" t="n">
        <v>0</v>
      </c>
      <c r="G283" s="55" t="n">
        <v>0</v>
      </c>
      <c r="H283" s="55" t="n">
        <v>0</v>
      </c>
      <c r="I283" s="53" t="n">
        <v>0</v>
      </c>
      <c r="J283" s="53" t="n">
        <v>0</v>
      </c>
      <c r="K283" s="53" t="n">
        <v>0</v>
      </c>
      <c r="L283" s="53" t="n">
        <v>0</v>
      </c>
      <c r="M283" s="53" t="n">
        <v>0</v>
      </c>
      <c r="N283" s="53" t="n">
        <v>0</v>
      </c>
    </row>
    <row r="284">
      <c r="A284" s="58" t="inlineStr">
        <is>
          <t>Vermont Hard Cider</t>
        </is>
      </c>
      <c r="B284" s="58" t="inlineStr">
        <is>
          <t>Woodchuck</t>
        </is>
      </c>
      <c r="C284" s="53" t="n">
        <v>936</v>
      </c>
      <c r="D284" s="53" t="n">
        <v>771</v>
      </c>
      <c r="E284" s="55" t="n">
        <v>30747.5</v>
      </c>
      <c r="F284" s="55" t="n">
        <v>25176</v>
      </c>
      <c r="G284" s="55" t="n">
        <v>6576.6</v>
      </c>
      <c r="H284" s="55" t="n">
        <v>5565.609999999998</v>
      </c>
      <c r="I284" s="53" t="n">
        <v>80</v>
      </c>
      <c r="J284" s="53" t="n">
        <v>82</v>
      </c>
      <c r="K284" s="53" t="n">
        <v>25</v>
      </c>
      <c r="L284" s="53" t="n">
        <v>136</v>
      </c>
      <c r="M284" s="53" t="n">
        <v>23</v>
      </c>
      <c r="N284" s="53" t="n">
        <v>155</v>
      </c>
    </row>
    <row r="285">
      <c r="A285" s="58" t="inlineStr">
        <is>
          <t>Vermont Hard Cider</t>
        </is>
      </c>
      <c r="B285" s="58" t="inlineStr">
        <is>
          <t>Wyder's</t>
        </is>
      </c>
      <c r="C285" s="53" t="n">
        <v>21</v>
      </c>
      <c r="D285" s="53" t="n">
        <v>28</v>
      </c>
      <c r="E285" s="55" t="n">
        <v>590</v>
      </c>
      <c r="F285" s="55" t="n">
        <v>820</v>
      </c>
      <c r="G285" s="55" t="n">
        <v>159.87</v>
      </c>
      <c r="H285" s="55" t="n">
        <v>209.05</v>
      </c>
      <c r="I285" s="53" t="n">
        <v>1</v>
      </c>
      <c r="J285" s="53" t="n">
        <v>1</v>
      </c>
      <c r="K285" s="53" t="n">
        <v>0</v>
      </c>
      <c r="L285" s="53" t="n">
        <v>0</v>
      </c>
      <c r="M285" s="53" t="n">
        <v>0</v>
      </c>
      <c r="N285" s="53" t="n">
        <v>0</v>
      </c>
    </row>
    <row r="286">
      <c r="A286" s="58" t="inlineStr">
        <is>
          <t>Victory Brewing Company</t>
        </is>
      </c>
      <c r="B286" s="58" t="inlineStr">
        <is>
          <t>Monkey Family</t>
        </is>
      </c>
      <c r="C286" s="53" t="n">
        <v>4521</v>
      </c>
      <c r="D286" s="53" t="n">
        <v>3927</v>
      </c>
      <c r="E286" s="55" t="n">
        <v>157925.5</v>
      </c>
      <c r="F286" s="55" t="n">
        <v>136280.78</v>
      </c>
      <c r="G286" s="55" t="n">
        <v>42875.15999999996</v>
      </c>
      <c r="H286" s="55" t="n">
        <v>36765.79000000004</v>
      </c>
      <c r="I286" s="53" t="n">
        <v>338</v>
      </c>
      <c r="J286" s="53" t="n">
        <v>318</v>
      </c>
      <c r="K286" s="53" t="n">
        <v>66</v>
      </c>
      <c r="L286" s="53" t="n">
        <v>349</v>
      </c>
      <c r="M286" s="53" t="n">
        <v>86</v>
      </c>
      <c r="N286" s="53" t="n">
        <v>568</v>
      </c>
    </row>
    <row r="287">
      <c r="A287" s="58" t="inlineStr">
        <is>
          <t>Victory Brewing Company</t>
        </is>
      </c>
      <c r="B287" s="58" t="inlineStr">
        <is>
          <t>Victory</t>
        </is>
      </c>
      <c r="C287" s="53" t="n">
        <v>1445</v>
      </c>
      <c r="D287" s="53" t="n">
        <v>1221</v>
      </c>
      <c r="E287" s="55" t="n">
        <v>43729.5</v>
      </c>
      <c r="F287" s="55" t="n">
        <v>37194</v>
      </c>
      <c r="G287" s="55" t="n">
        <v>10477.49999999999</v>
      </c>
      <c r="H287" s="55" t="n">
        <v>8962.779999999999</v>
      </c>
      <c r="I287" s="53" t="n">
        <v>173</v>
      </c>
      <c r="J287" s="53" t="n">
        <v>158</v>
      </c>
      <c r="K287" s="53" t="n">
        <v>60</v>
      </c>
      <c r="L287" s="53" t="n">
        <v>235</v>
      </c>
      <c r="M287" s="53" t="n">
        <v>75</v>
      </c>
      <c r="N287" s="53" t="n">
        <v>388</v>
      </c>
    </row>
    <row r="288">
      <c r="A288" s="58" t="inlineStr">
        <is>
          <t>Vinaio Imports LTD</t>
        </is>
      </c>
      <c r="B288" s="58" t="inlineStr">
        <is>
          <t>Carinoso</t>
        </is>
      </c>
      <c r="C288" s="53" t="n">
        <v>0</v>
      </c>
      <c r="D288" s="53" t="n">
        <v>1</v>
      </c>
      <c r="E288" s="55" t="n">
        <v>0</v>
      </c>
      <c r="F288" s="55" t="n">
        <v>90</v>
      </c>
      <c r="G288" s="55" t="n">
        <v>0</v>
      </c>
      <c r="H288" s="55" t="n">
        <v>28.92</v>
      </c>
      <c r="I288" s="53" t="n">
        <v>0</v>
      </c>
      <c r="J288" s="53" t="n">
        <v>1</v>
      </c>
      <c r="K288" s="53" t="n">
        <v>1</v>
      </c>
      <c r="L288" s="53" t="n">
        <v>1</v>
      </c>
      <c r="M288" s="53" t="n">
        <v>0</v>
      </c>
      <c r="N288" s="53" t="n">
        <v>0</v>
      </c>
    </row>
    <row r="289">
      <c r="A289" s="58" t="inlineStr">
        <is>
          <t>Vinaio Imports LTD</t>
        </is>
      </c>
      <c r="B289" s="58" t="inlineStr">
        <is>
          <t>Cerveza Republica LA Tuya</t>
        </is>
      </c>
      <c r="C289" s="53" t="n">
        <v>510</v>
      </c>
      <c r="D289" s="53" t="n">
        <v>-2</v>
      </c>
      <c r="E289" s="55" t="n">
        <v>14980</v>
      </c>
      <c r="F289" s="55" t="n">
        <v>-64</v>
      </c>
      <c r="G289" s="55" t="n">
        <v>4005.9</v>
      </c>
      <c r="H289" s="55" t="n">
        <v>-21.9</v>
      </c>
      <c r="I289" s="53" t="n">
        <v>62</v>
      </c>
      <c r="J289" s="53" t="n">
        <v>0</v>
      </c>
      <c r="K289" s="53" t="n">
        <v>0</v>
      </c>
      <c r="L289" s="53" t="n">
        <v>0</v>
      </c>
      <c r="M289" s="53" t="n">
        <v>62</v>
      </c>
      <c r="N289" s="53" t="n">
        <v>523</v>
      </c>
    </row>
    <row r="290">
      <c r="A290" s="58" t="inlineStr">
        <is>
          <t>Vinaio Imports LTD</t>
        </is>
      </c>
      <c r="B290" s="58" t="inlineStr">
        <is>
          <t>Cerveza Republica La Tuya 5.0 La Dura</t>
        </is>
      </c>
      <c r="C290" s="53" t="n">
        <v>963</v>
      </c>
      <c r="D290" s="53" t="n">
        <v>1500</v>
      </c>
      <c r="E290" s="55" t="n">
        <v>26292</v>
      </c>
      <c r="F290" s="55" t="n">
        <v>47906</v>
      </c>
      <c r="G290" s="55" t="n">
        <v>7347.279999999997</v>
      </c>
      <c r="H290" s="55" t="n">
        <v>15350.12</v>
      </c>
      <c r="I290" s="53" t="n">
        <v>78</v>
      </c>
      <c r="J290" s="53" t="n">
        <v>149</v>
      </c>
      <c r="K290" s="53" t="n">
        <v>97</v>
      </c>
      <c r="L290" s="53" t="n">
        <v>685</v>
      </c>
      <c r="M290" s="53" t="n">
        <v>26</v>
      </c>
      <c r="N290" s="53" t="n">
        <v>219</v>
      </c>
    </row>
    <row r="291">
      <c r="A291" s="58" t="inlineStr">
        <is>
          <t>Viva Beverages Inc</t>
        </is>
      </c>
      <c r="B291" s="58" t="inlineStr">
        <is>
          <t>Viva Tequila Seltzer</t>
        </is>
      </c>
      <c r="C291" s="53" t="n">
        <v>0</v>
      </c>
      <c r="D291" s="53" t="n">
        <v>638</v>
      </c>
      <c r="E291" s="55" t="n">
        <v>0</v>
      </c>
      <c r="F291" s="55" t="n">
        <v>34486.65</v>
      </c>
      <c r="G291" s="55" t="n">
        <v>0</v>
      </c>
      <c r="H291" s="55" t="n">
        <v>13606.90000000001</v>
      </c>
      <c r="I291" s="53" t="n">
        <v>0</v>
      </c>
      <c r="J291" s="53" t="n">
        <v>66</v>
      </c>
      <c r="K291" s="53" t="n">
        <v>66</v>
      </c>
      <c r="L291" s="53" t="n">
        <v>652</v>
      </c>
      <c r="M291" s="53" t="n">
        <v>0</v>
      </c>
      <c r="N291" s="53" t="n">
        <v>0</v>
      </c>
    </row>
    <row r="292">
      <c r="A292" s="58" t="inlineStr">
        <is>
          <t>Warwick Valley</t>
        </is>
      </c>
      <c r="B292" s="58" t="inlineStr">
        <is>
          <t>Doc's</t>
        </is>
      </c>
      <c r="C292" s="53" t="n">
        <v>3497</v>
      </c>
      <c r="D292" s="53" t="n">
        <v>3321</v>
      </c>
      <c r="E292" s="55" t="n">
        <v>135235.5</v>
      </c>
      <c r="F292" s="55" t="n">
        <v>127837</v>
      </c>
      <c r="G292" s="55" t="n">
        <v>37785.12</v>
      </c>
      <c r="H292" s="55" t="n">
        <v>35657.39</v>
      </c>
      <c r="I292" s="53" t="n">
        <v>263</v>
      </c>
      <c r="J292" s="53" t="n">
        <v>264</v>
      </c>
      <c r="K292" s="53" t="n">
        <v>63</v>
      </c>
      <c r="L292" s="53" t="n">
        <v>371</v>
      </c>
      <c r="M292" s="53" t="n">
        <v>62</v>
      </c>
      <c r="N292" s="53" t="n">
        <v>386</v>
      </c>
    </row>
    <row r="293">
      <c r="A293" s="58" t="inlineStr">
        <is>
          <t>Warwick Valley</t>
        </is>
      </c>
      <c r="B293" s="58" t="inlineStr">
        <is>
          <t>Gin Pig</t>
        </is>
      </c>
      <c r="C293" s="53" t="n">
        <v>2</v>
      </c>
      <c r="D293" s="53" t="n">
        <v>2</v>
      </c>
      <c r="E293" s="55" t="n">
        <v>300</v>
      </c>
      <c r="F293" s="55" t="n">
        <v>300</v>
      </c>
      <c r="G293" s="55" t="n">
        <v>94.92</v>
      </c>
      <c r="H293" s="55" t="n">
        <v>94.92</v>
      </c>
      <c r="I293" s="53" t="n">
        <v>2</v>
      </c>
      <c r="J293" s="53" t="n">
        <v>2</v>
      </c>
      <c r="K293" s="53" t="n">
        <v>1</v>
      </c>
      <c r="L293" s="53" t="n">
        <v>1</v>
      </c>
      <c r="M293" s="53" t="n">
        <v>1</v>
      </c>
      <c r="N293" s="53" t="n">
        <v>1</v>
      </c>
    </row>
    <row r="294">
      <c r="A294" s="58" t="inlineStr">
        <is>
          <t>Warwick Valley</t>
        </is>
      </c>
      <c r="B294" s="58" t="inlineStr">
        <is>
          <t>Warwick Gin</t>
        </is>
      </c>
      <c r="C294" s="53" t="n">
        <v>1</v>
      </c>
      <c r="D294" s="53" t="n">
        <v>11</v>
      </c>
      <c r="E294" s="55" t="n">
        <v>138</v>
      </c>
      <c r="F294" s="55" t="n">
        <v>2100</v>
      </c>
      <c r="G294" s="55" t="n">
        <v>41.46</v>
      </c>
      <c r="H294" s="55" t="n">
        <v>555.4</v>
      </c>
      <c r="I294" s="53" t="n">
        <v>1</v>
      </c>
      <c r="J294" s="53" t="n">
        <v>7</v>
      </c>
      <c r="K294" s="53" t="n">
        <v>6</v>
      </c>
      <c r="L294" s="53" t="n">
        <v>10</v>
      </c>
      <c r="M294" s="53" t="n">
        <v>0</v>
      </c>
      <c r="N294" s="53" t="n">
        <v>0</v>
      </c>
    </row>
    <row r="295">
      <c r="A295" s="58" t="inlineStr">
        <is>
          <t>Waterloo Gin</t>
        </is>
      </c>
      <c r="B295" s="58" t="inlineStr">
        <is>
          <t>Waterloo Gin</t>
        </is>
      </c>
      <c r="C295" s="53" t="n">
        <v>4</v>
      </c>
      <c r="D295" s="53" t="n">
        <v>0</v>
      </c>
      <c r="E295" s="55" t="n">
        <v>2618</v>
      </c>
      <c r="F295" s="55" t="n">
        <v>0</v>
      </c>
      <c r="G295" s="55" t="n">
        <v>672.0699999999999</v>
      </c>
      <c r="H295" s="55" t="n">
        <v>0</v>
      </c>
      <c r="I295" s="53" t="n">
        <v>2</v>
      </c>
      <c r="J295" s="53" t="n">
        <v>0</v>
      </c>
      <c r="K295" s="53" t="n">
        <v>0</v>
      </c>
      <c r="L295" s="53" t="n">
        <v>0</v>
      </c>
      <c r="M295" s="53" t="n">
        <v>2</v>
      </c>
      <c r="N295" s="53" t="n">
        <v>4</v>
      </c>
    </row>
    <row r="296">
      <c r="A296" s="58" t="inlineStr">
        <is>
          <t>XYZ Beverage</t>
        </is>
      </c>
      <c r="B296" s="58" t="inlineStr">
        <is>
          <t>Press</t>
        </is>
      </c>
      <c r="C296" s="53" t="n">
        <v>125</v>
      </c>
      <c r="D296" s="53" t="n">
        <v>0</v>
      </c>
      <c r="E296" s="55" t="n">
        <v>3141</v>
      </c>
      <c r="F296" s="55" t="n">
        <v>0</v>
      </c>
      <c r="G296" s="55" t="n">
        <v>232.25</v>
      </c>
      <c r="H296" s="55" t="n">
        <v>0</v>
      </c>
      <c r="I296" s="53" t="n">
        <v>10</v>
      </c>
      <c r="J296" s="53" t="n">
        <v>0</v>
      </c>
      <c r="K296" s="53" t="n">
        <v>0</v>
      </c>
      <c r="L296" s="53" t="n">
        <v>0</v>
      </c>
      <c r="M296" s="53" t="n">
        <v>10</v>
      </c>
      <c r="N296" s="53" t="n">
        <v>125</v>
      </c>
    </row>
    <row r="298">
      <c r="A298" s="2" t="inlineStr">
        <is>
          <t>Blue = from the RDE export, summed to supplier × brand. The export itself is one row per rep × brand × ACCOUNT; no tab reads it at that grain, so it is summed here.</t>
        </is>
      </c>
    </row>
    <row r="299">
      <c r="A299" s="2" t="inlineStr">
        <is>
          <t>POD = a point of distribution, one account × brand that bought. New / lost are measured at that grain, and the counts are additive across brands, which is why they can live on this tab and still roll up correctly.</t>
        </is>
      </c>
    </row>
    <row r="300">
      <c r="A300" s="2" t="inlineStr">
        <is>
          <t>Account-grain analysis runs off the Data - Accounts tab instead.</t>
        </is>
      </c>
    </row>
  </sheetData>
  <autoFilter ref="A4:N29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2363"/>
  <sheetViews>
    <sheetView showGridLines="0" workbookViewId="0">
      <pane ySplit="4" topLeftCell="A5" activePane="bottomLeft" state="frozen"/>
      <selection pane="bottomLeft" activeCell="A1" sqref="A1"/>
    </sheetView>
  </sheetViews>
  <sheetFormatPr baseColWidth="8" defaultRowHeight="15"/>
  <cols>
    <col width="40" customWidth="1" min="1" max="1"/>
    <col width="13" customWidth="1" min="2" max="2"/>
    <col width="20" customWidth="1" min="3" max="3"/>
    <col width="13" customWidth="1" min="4" max="4"/>
    <col width="14" customWidth="1" min="5" max="5"/>
    <col width="14" customWidth="1" min="6" max="6"/>
    <col width="14" customWidth="1" min="7" max="7"/>
    <col width="14" customWidth="1" min="8" max="8"/>
    <col width="16" customWidth="1" min="9" max="9"/>
    <col width="16" customWidth="1" min="10" max="10"/>
    <col width="13" customWidth="1" min="11" max="11"/>
    <col width="13" customWidth="1" min="12" max="12"/>
    <col width="14" customWidth="1" min="13" max="13"/>
    <col width="14" customWidth="1" min="14" max="14"/>
  </cols>
  <sheetData>
    <row r="1">
      <c r="A1" s="24" t="inlineStr">
        <is>
          <t>Source data — accounts</t>
        </is>
      </c>
    </row>
    <row r="2">
      <c r="A2" s="2" t="inlineStr">
        <is>
          <t>One row per account, 6/1–8/31. Program and non-program volume side by side. Sorted by program case gain, biggest first.   ·   Source: all three RDE exports</t>
        </is>
      </c>
    </row>
    <row r="4" ht="32" customHeight="1">
      <c r="A4" s="6" t="inlineStr">
        <is>
          <t>Account</t>
        </is>
      </c>
      <c r="B4" s="6" t="inlineStr">
        <is>
          <t>County</t>
        </is>
      </c>
      <c r="C4" s="6" t="inlineStr">
        <is>
          <t>Rep</t>
        </is>
      </c>
      <c r="D4" s="6" t="inlineStr">
        <is>
          <t>Channel</t>
        </is>
      </c>
      <c r="E4" s="6" t="inlineStr">
        <is>
          <t>Program CE 2025</t>
        </is>
      </c>
      <c r="F4" s="6" t="inlineStr">
        <is>
          <t>Program CE 2026</t>
        </is>
      </c>
      <c r="G4" s="6" t="inlineStr">
        <is>
          <t>Program GP 2025</t>
        </is>
      </c>
      <c r="H4" s="6" t="inlineStr">
        <is>
          <t>Program GP 2026</t>
        </is>
      </c>
      <c r="I4" s="6" t="inlineStr">
        <is>
          <t>Non-program CE 2025</t>
        </is>
      </c>
      <c r="J4" s="6" t="inlineStr">
        <is>
          <t>Non-program CE 2026</t>
        </is>
      </c>
      <c r="K4" s="6" t="inlineStr">
        <is>
          <t>Amplify CE 2025</t>
        </is>
      </c>
      <c r="L4" s="6" t="inlineStr">
        <is>
          <t>Amplify CE 2026</t>
        </is>
      </c>
      <c r="M4" s="6" t="inlineStr">
        <is>
          <t>Program Δ cases</t>
        </is>
      </c>
      <c r="N4" s="6" t="inlineStr">
        <is>
          <t>Amplify Δ cases</t>
        </is>
      </c>
    </row>
    <row r="5">
      <c r="A5" s="58" t="inlineStr">
        <is>
          <t>31019 Bj's Warehouse E Rutherfo</t>
        </is>
      </c>
      <c r="B5" s="58" t="inlineStr">
        <is>
          <t>Bergen</t>
        </is>
      </c>
      <c r="C5" s="58" t="inlineStr">
        <is>
          <t>John Neukum</t>
        </is>
      </c>
      <c r="D5" s="58" t="inlineStr">
        <is>
          <t>Off-premise</t>
        </is>
      </c>
      <c r="E5" s="53" t="n">
        <v>94432</v>
      </c>
      <c r="F5" s="53" t="n">
        <v>86573</v>
      </c>
      <c r="G5" s="55" t="n">
        <v>561240.0399999999</v>
      </c>
      <c r="H5" s="55" t="n">
        <v>529082.9400000001</v>
      </c>
      <c r="I5" s="53" t="n">
        <v>4706</v>
      </c>
      <c r="J5" s="53" t="n">
        <v>4798</v>
      </c>
      <c r="K5" s="53" t="n">
        <v>7088</v>
      </c>
      <c r="L5" s="53" t="n">
        <v>9982</v>
      </c>
      <c r="M5" s="33">
        <f>F5-E5</f>
        <v/>
      </c>
      <c r="N5" s="33">
        <f>L5-K5</f>
        <v/>
      </c>
    </row>
    <row r="6">
      <c r="A6" s="58" t="inlineStr">
        <is>
          <t>20106 Super Wine Warehse(P)Pate</t>
        </is>
      </c>
      <c r="B6" s="58" t="inlineStr">
        <is>
          <t>Passaic</t>
        </is>
      </c>
      <c r="C6" s="58" t="inlineStr">
        <is>
          <t>Phil Ernst</t>
        </is>
      </c>
      <c r="D6" s="58" t="inlineStr">
        <is>
          <t>Off-premise</t>
        </is>
      </c>
      <c r="E6" s="53" t="n">
        <v>19588</v>
      </c>
      <c r="F6" s="53" t="n">
        <v>21892</v>
      </c>
      <c r="G6" s="55" t="n">
        <v>127699.52</v>
      </c>
      <c r="H6" s="55" t="n">
        <v>133675.72</v>
      </c>
      <c r="I6" s="53" t="n">
        <v>2323</v>
      </c>
      <c r="J6" s="53" t="n">
        <v>2220</v>
      </c>
      <c r="K6" s="53" t="n">
        <v>1941</v>
      </c>
      <c r="L6" s="53" t="n">
        <v>3787</v>
      </c>
      <c r="M6" s="33">
        <f>F6-E6</f>
        <v/>
      </c>
      <c r="N6" s="33">
        <f>L6-K6</f>
        <v/>
      </c>
    </row>
    <row r="7">
      <c r="A7" s="58" t="inlineStr">
        <is>
          <t>67004 Beverage Barn (A)</t>
        </is>
      </c>
      <c r="B7" s="58" t="inlineStr">
        <is>
          <t>Bergen</t>
        </is>
      </c>
      <c r="C7" s="58" t="inlineStr">
        <is>
          <t>Shane Barreca</t>
        </is>
      </c>
      <c r="D7" s="58" t="inlineStr">
        <is>
          <t>Off-premise</t>
        </is>
      </c>
      <c r="E7" s="53" t="n">
        <v>7816</v>
      </c>
      <c r="F7" s="53" t="n">
        <v>9192</v>
      </c>
      <c r="G7" s="55" t="n">
        <v>45214.19999999999</v>
      </c>
      <c r="H7" s="55" t="n">
        <v>55274.42000000001</v>
      </c>
      <c r="I7" s="53" t="n">
        <v>2198</v>
      </c>
      <c r="J7" s="53" t="n">
        <v>2999</v>
      </c>
      <c r="K7" s="53" t="n">
        <v>1891</v>
      </c>
      <c r="L7" s="53" t="n">
        <v>3211</v>
      </c>
      <c r="M7" s="33">
        <f>F7-E7</f>
        <v/>
      </c>
      <c r="N7" s="33">
        <f>L7-K7</f>
        <v/>
      </c>
    </row>
    <row r="8">
      <c r="A8" s="58" t="inlineStr">
        <is>
          <t>14007 Total Wine &amp; More (Totowa)</t>
        </is>
      </c>
      <c r="B8" s="58" t="inlineStr">
        <is>
          <t>Passaic</t>
        </is>
      </c>
      <c r="C8" s="58" t="inlineStr">
        <is>
          <t>Dave Ehlers</t>
        </is>
      </c>
      <c r="D8" s="58" t="inlineStr">
        <is>
          <t>Off-premise</t>
        </is>
      </c>
      <c r="E8" s="53" t="n">
        <v>20953</v>
      </c>
      <c r="F8" s="53" t="n">
        <v>24507</v>
      </c>
      <c r="G8" s="55" t="n">
        <v>134387.57</v>
      </c>
      <c r="H8" s="55" t="n">
        <v>162555.79</v>
      </c>
      <c r="I8" s="53" t="n">
        <v>8120</v>
      </c>
      <c r="J8" s="53" t="n">
        <v>8175</v>
      </c>
      <c r="K8" s="53" t="n">
        <v>3216</v>
      </c>
      <c r="L8" s="53" t="n">
        <v>4003</v>
      </c>
      <c r="M8" s="33">
        <f>F8-E8</f>
        <v/>
      </c>
      <c r="N8" s="33">
        <f>L8-K8</f>
        <v/>
      </c>
    </row>
    <row r="9">
      <c r="A9" s="58" t="inlineStr">
        <is>
          <t>31060 Bottle Republic (Rutherford)</t>
        </is>
      </c>
      <c r="B9" s="58" t="inlineStr">
        <is>
          <t>Bergen</t>
        </is>
      </c>
      <c r="C9" s="58" t="inlineStr">
        <is>
          <t>Matt Powierski</t>
        </is>
      </c>
      <c r="D9" s="58" t="inlineStr">
        <is>
          <t>Off-premise</t>
        </is>
      </c>
      <c r="E9" s="53" t="n">
        <v>0</v>
      </c>
      <c r="F9" s="53" t="n">
        <v>2754</v>
      </c>
      <c r="G9" s="55" t="n">
        <v>0</v>
      </c>
      <c r="H9" s="55" t="n">
        <v>18613.97</v>
      </c>
      <c r="I9" s="53" t="n">
        <v>0</v>
      </c>
      <c r="J9" s="53" t="n">
        <v>1259</v>
      </c>
      <c r="K9" s="53" t="n">
        <v>0</v>
      </c>
      <c r="L9" s="53" t="n">
        <v>687</v>
      </c>
      <c r="M9" s="33">
        <f>F9-E9</f>
        <v/>
      </c>
      <c r="N9" s="33">
        <f>L9-K9</f>
        <v/>
      </c>
    </row>
    <row r="10">
      <c r="A10" s="58" t="inlineStr">
        <is>
          <t>201026 Sam's Club (Secaucus)</t>
        </is>
      </c>
      <c r="B10" s="58" t="inlineStr">
        <is>
          <t>Hudson</t>
        </is>
      </c>
      <c r="C10" s="58" t="inlineStr">
        <is>
          <t>John Neukum</t>
        </is>
      </c>
      <c r="D10" s="58" t="inlineStr">
        <is>
          <t>Off-premise</t>
        </is>
      </c>
      <c r="E10" s="53" t="n">
        <v>0</v>
      </c>
      <c r="F10" s="53" t="n">
        <v>500</v>
      </c>
      <c r="G10" s="55" t="n">
        <v>0</v>
      </c>
      <c r="H10" s="55" t="n">
        <v>2515</v>
      </c>
      <c r="I10" s="53" t="n">
        <v>0</v>
      </c>
      <c r="J10" s="53" t="n">
        <v>100</v>
      </c>
      <c r="K10" s="53" t="n">
        <v>0</v>
      </c>
      <c r="L10" s="53" t="n">
        <v>500</v>
      </c>
      <c r="M10" s="33">
        <f>F10-E10</f>
        <v/>
      </c>
      <c r="N10" s="33">
        <f>L10-K10</f>
        <v/>
      </c>
    </row>
    <row r="11">
      <c r="A11" s="58" t="inlineStr">
        <is>
          <t>190917 Shop Rite Liq (A)Wharton</t>
        </is>
      </c>
      <c r="B11" s="58" t="inlineStr">
        <is>
          <t>Morris</t>
        </is>
      </c>
      <c r="C11" s="58" t="inlineStr">
        <is>
          <t>Klejdi Lamo</t>
        </is>
      </c>
      <c r="D11" s="58" t="inlineStr">
        <is>
          <t>Off-premise</t>
        </is>
      </c>
      <c r="E11" s="53" t="n">
        <v>11629</v>
      </c>
      <c r="F11" s="53" t="n">
        <v>11707</v>
      </c>
      <c r="G11" s="55" t="n">
        <v>69910.65000000001</v>
      </c>
      <c r="H11" s="55" t="n">
        <v>73850.25</v>
      </c>
      <c r="I11" s="53" t="n">
        <v>4559</v>
      </c>
      <c r="J11" s="53" t="n">
        <v>4799</v>
      </c>
      <c r="K11" s="53" t="n">
        <v>1706</v>
      </c>
      <c r="L11" s="53" t="n">
        <v>2137</v>
      </c>
      <c r="M11" s="33">
        <f>F11-E11</f>
        <v/>
      </c>
      <c r="N11" s="33">
        <f>L11-K11</f>
        <v/>
      </c>
    </row>
    <row r="12">
      <c r="A12" s="58" t="inlineStr">
        <is>
          <t>58001 Total Wine &amp; More (River Edge)</t>
        </is>
      </c>
      <c r="B12" s="58" t="inlineStr">
        <is>
          <t>Bergen</t>
        </is>
      </c>
      <c r="C12" s="58" t="inlineStr">
        <is>
          <t>Dave Ehlers</t>
        </is>
      </c>
      <c r="D12" s="58" t="inlineStr">
        <is>
          <t>Off-premise</t>
        </is>
      </c>
      <c r="E12" s="53" t="n">
        <v>23412</v>
      </c>
      <c r="F12" s="53" t="n">
        <v>23346</v>
      </c>
      <c r="G12" s="55" t="n">
        <v>147833.77</v>
      </c>
      <c r="H12" s="55" t="n">
        <v>148881.17</v>
      </c>
      <c r="I12" s="53" t="n">
        <v>11097</v>
      </c>
      <c r="J12" s="53" t="n">
        <v>10698</v>
      </c>
      <c r="K12" s="53" t="n">
        <v>3975</v>
      </c>
      <c r="L12" s="53" t="n">
        <v>4357</v>
      </c>
      <c r="M12" s="33">
        <f>F12-E12</f>
        <v/>
      </c>
      <c r="N12" s="33">
        <f>L12-K12</f>
        <v/>
      </c>
    </row>
    <row r="13">
      <c r="A13" s="58" t="inlineStr">
        <is>
          <t>25045 Clifton Disc Liq (A)</t>
        </is>
      </c>
      <c r="B13" s="58" t="inlineStr">
        <is>
          <t>Passaic</t>
        </is>
      </c>
      <c r="C13" s="58" t="inlineStr">
        <is>
          <t>Chris Payton</t>
        </is>
      </c>
      <c r="D13" s="58" t="inlineStr">
        <is>
          <t>Off-premise</t>
        </is>
      </c>
      <c r="E13" s="53" t="n">
        <v>14017</v>
      </c>
      <c r="F13" s="53" t="n">
        <v>12713</v>
      </c>
      <c r="G13" s="55" t="n">
        <v>93239.12</v>
      </c>
      <c r="H13" s="55" t="n">
        <v>86593.18999999999</v>
      </c>
      <c r="I13" s="53" t="n">
        <v>1932</v>
      </c>
      <c r="J13" s="53" t="n">
        <v>1919</v>
      </c>
      <c r="K13" s="53" t="n">
        <v>1680</v>
      </c>
      <c r="L13" s="53" t="n">
        <v>2005</v>
      </c>
      <c r="M13" s="33">
        <f>F13-E13</f>
        <v/>
      </c>
      <c r="N13" s="33">
        <f>L13-K13</f>
        <v/>
      </c>
    </row>
    <row r="14">
      <c r="A14" s="58" t="inlineStr">
        <is>
          <t>92011 Bottle King (A) Ramsey</t>
        </is>
      </c>
      <c r="B14" s="58" t="inlineStr">
        <is>
          <t>Bergen</t>
        </is>
      </c>
      <c r="C14" s="58" t="inlineStr">
        <is>
          <t>Shane Barreca</t>
        </is>
      </c>
      <c r="D14" s="58" t="inlineStr">
        <is>
          <t>Off-premise</t>
        </is>
      </c>
      <c r="E14" s="53" t="n">
        <v>16201</v>
      </c>
      <c r="F14" s="53" t="n">
        <v>16102</v>
      </c>
      <c r="G14" s="55" t="n">
        <v>97199.36</v>
      </c>
      <c r="H14" s="55" t="n">
        <v>99665.32999999999</v>
      </c>
      <c r="I14" s="53" t="n">
        <v>6561</v>
      </c>
      <c r="J14" s="53" t="n">
        <v>7298</v>
      </c>
      <c r="K14" s="53" t="n">
        <v>2529</v>
      </c>
      <c r="L14" s="53" t="n">
        <v>2830</v>
      </c>
      <c r="M14" s="33">
        <f>F14-E14</f>
        <v/>
      </c>
      <c r="N14" s="33">
        <f>L14-K14</f>
        <v/>
      </c>
    </row>
    <row r="15">
      <c r="A15" s="58" t="inlineStr">
        <is>
          <t>56008 Bergenfield Liq &amp; Fw</t>
        </is>
      </c>
      <c r="B15" s="58" t="inlineStr">
        <is>
          <t>Bergen</t>
        </is>
      </c>
      <c r="C15" s="58" t="inlineStr">
        <is>
          <t>Dave Ehlers</t>
        </is>
      </c>
      <c r="D15" s="58" t="inlineStr">
        <is>
          <t>Off-premise</t>
        </is>
      </c>
      <c r="E15" s="53" t="n">
        <v>4503</v>
      </c>
      <c r="F15" s="53" t="n">
        <v>5325</v>
      </c>
      <c r="G15" s="55" t="n">
        <v>30149.36</v>
      </c>
      <c r="H15" s="55" t="n">
        <v>35741.29</v>
      </c>
      <c r="I15" s="53" t="n">
        <v>589</v>
      </c>
      <c r="J15" s="53" t="n">
        <v>800</v>
      </c>
      <c r="K15" s="53" t="n">
        <v>827</v>
      </c>
      <c r="L15" s="53" t="n">
        <v>1105</v>
      </c>
      <c r="M15" s="33">
        <f>F15-E15</f>
        <v/>
      </c>
      <c r="N15" s="33">
        <f>L15-K15</f>
        <v/>
      </c>
    </row>
    <row r="16">
      <c r="A16" s="58" t="inlineStr">
        <is>
          <t>49045 Liquor World</t>
        </is>
      </c>
      <c r="B16" s="58" t="inlineStr">
        <is>
          <t>Bergen</t>
        </is>
      </c>
      <c r="C16" s="58" t="inlineStr">
        <is>
          <t>Dan Lagala</t>
        </is>
      </c>
      <c r="D16" s="58" t="inlineStr">
        <is>
          <t>Off-premise</t>
        </is>
      </c>
      <c r="E16" s="53" t="n">
        <v>4620</v>
      </c>
      <c r="F16" s="53" t="n">
        <v>4889</v>
      </c>
      <c r="G16" s="55" t="n">
        <v>26395.26</v>
      </c>
      <c r="H16" s="55" t="n">
        <v>27930.6</v>
      </c>
      <c r="I16" s="53" t="n">
        <v>703</v>
      </c>
      <c r="J16" s="53" t="n">
        <v>764</v>
      </c>
      <c r="K16" s="53" t="n">
        <v>693</v>
      </c>
      <c r="L16" s="53" t="n">
        <v>967</v>
      </c>
      <c r="M16" s="33">
        <f>F16-E16</f>
        <v/>
      </c>
      <c r="N16" s="33">
        <f>L16-K16</f>
        <v/>
      </c>
    </row>
    <row r="17">
      <c r="A17" s="58" t="inlineStr">
        <is>
          <t>191526 Liquor Factory IV Hopatcong</t>
        </is>
      </c>
      <c r="B17" s="58" t="inlineStr">
        <is>
          <t>Sussex</t>
        </is>
      </c>
      <c r="C17" s="58" t="inlineStr">
        <is>
          <t>Jayson Romine</t>
        </is>
      </c>
      <c r="D17" s="58" t="inlineStr">
        <is>
          <t>Off-premise</t>
        </is>
      </c>
      <c r="E17" s="53" t="n">
        <v>4242</v>
      </c>
      <c r="F17" s="53" t="n">
        <v>3688</v>
      </c>
      <c r="G17" s="55" t="n">
        <v>26230.22</v>
      </c>
      <c r="H17" s="55" t="n">
        <v>24022.69</v>
      </c>
      <c r="I17" s="53" t="n">
        <v>1814</v>
      </c>
      <c r="J17" s="53" t="n">
        <v>1852</v>
      </c>
      <c r="K17" s="53" t="n">
        <v>460</v>
      </c>
      <c r="L17" s="53" t="n">
        <v>732</v>
      </c>
      <c r="M17" s="33">
        <f>F17-E17</f>
        <v/>
      </c>
      <c r="N17" s="33">
        <f>L17-K17</f>
        <v/>
      </c>
    </row>
    <row r="18">
      <c r="A18" s="58" t="inlineStr">
        <is>
          <t>40001 Bottle &amp; Cork</t>
        </is>
      </c>
      <c r="B18" s="58" t="inlineStr">
        <is>
          <t>Bergen</t>
        </is>
      </c>
      <c r="C18" s="58" t="inlineStr">
        <is>
          <t>Dave Ehlers</t>
        </is>
      </c>
      <c r="D18" s="58" t="inlineStr">
        <is>
          <t>Off-premise</t>
        </is>
      </c>
      <c r="E18" s="53" t="n">
        <v>881</v>
      </c>
      <c r="F18" s="53" t="n">
        <v>2543</v>
      </c>
      <c r="G18" s="55" t="n">
        <v>6129.97</v>
      </c>
      <c r="H18" s="55" t="n">
        <v>18057.48</v>
      </c>
      <c r="I18" s="53" t="n">
        <v>289</v>
      </c>
      <c r="J18" s="53" t="n">
        <v>599</v>
      </c>
      <c r="K18" s="53" t="n">
        <v>160</v>
      </c>
      <c r="L18" s="53" t="n">
        <v>421</v>
      </c>
      <c r="M18" s="33">
        <f>F18-E18</f>
        <v/>
      </c>
      <c r="N18" s="33">
        <f>L18-K18</f>
        <v/>
      </c>
    </row>
    <row r="19">
      <c r="A19" s="58" t="inlineStr">
        <is>
          <t>20037 The Point Liquor &amp; Bar</t>
        </is>
      </c>
      <c r="B19" s="58" t="inlineStr">
        <is>
          <t>Passaic</t>
        </is>
      </c>
      <c r="C19" s="58" t="inlineStr">
        <is>
          <t>Derrick Laws</t>
        </is>
      </c>
      <c r="D19" s="58" t="inlineStr">
        <is>
          <t>Off-premise</t>
        </is>
      </c>
      <c r="E19" s="53" t="n">
        <v>1508</v>
      </c>
      <c r="F19" s="53" t="n">
        <v>2024</v>
      </c>
      <c r="G19" s="55" t="n">
        <v>11129.88</v>
      </c>
      <c r="H19" s="55" t="n">
        <v>14851.96</v>
      </c>
      <c r="I19" s="53" t="n">
        <v>145</v>
      </c>
      <c r="J19" s="53" t="n">
        <v>209</v>
      </c>
      <c r="K19" s="53" t="n">
        <v>158</v>
      </c>
      <c r="L19" s="53" t="n">
        <v>416</v>
      </c>
      <c r="M19" s="33">
        <f>F19-E19</f>
        <v/>
      </c>
      <c r="N19" s="33">
        <f>L19-K19</f>
        <v/>
      </c>
    </row>
    <row r="20">
      <c r="A20" s="58" t="inlineStr">
        <is>
          <t>8010 George's Market (A)</t>
        </is>
      </c>
      <c r="B20" s="58" t="inlineStr">
        <is>
          <t>Passaic</t>
        </is>
      </c>
      <c r="C20" s="58" t="inlineStr">
        <is>
          <t>Anthony Palmisano</t>
        </is>
      </c>
      <c r="D20" s="58" t="inlineStr">
        <is>
          <t>Off-premise</t>
        </is>
      </c>
      <c r="E20" s="53" t="n">
        <v>2534</v>
      </c>
      <c r="F20" s="53" t="n">
        <v>2678</v>
      </c>
      <c r="G20" s="55" t="n">
        <v>16093.75</v>
      </c>
      <c r="H20" s="55" t="n">
        <v>17446.82</v>
      </c>
      <c r="I20" s="53" t="n">
        <v>124</v>
      </c>
      <c r="J20" s="53" t="n">
        <v>112</v>
      </c>
      <c r="K20" s="53" t="n">
        <v>205</v>
      </c>
      <c r="L20" s="53" t="n">
        <v>458</v>
      </c>
      <c r="M20" s="33">
        <f>F20-E20</f>
        <v/>
      </c>
      <c r="N20" s="33">
        <f>L20-K20</f>
        <v/>
      </c>
    </row>
    <row r="21">
      <c r="A21" s="58" t="inlineStr">
        <is>
          <t>27021 Johnny's Liqs (P)</t>
        </is>
      </c>
      <c r="B21" s="58" t="inlineStr">
        <is>
          <t>Passaic</t>
        </is>
      </c>
      <c r="C21" s="58" t="inlineStr">
        <is>
          <t>Pablo Lopez</t>
        </is>
      </c>
      <c r="D21" s="58" t="inlineStr">
        <is>
          <t>Off-premise</t>
        </is>
      </c>
      <c r="E21" s="53" t="n">
        <v>3941</v>
      </c>
      <c r="F21" s="53" t="n">
        <v>4016</v>
      </c>
      <c r="G21" s="55" t="n">
        <v>25165.62</v>
      </c>
      <c r="H21" s="55" t="n">
        <v>26930.41999999999</v>
      </c>
      <c r="I21" s="53" t="n">
        <v>426</v>
      </c>
      <c r="J21" s="53" t="n">
        <v>602</v>
      </c>
      <c r="K21" s="53" t="n">
        <v>542</v>
      </c>
      <c r="L21" s="53" t="n">
        <v>794</v>
      </c>
      <c r="M21" s="33">
        <f>F21-E21</f>
        <v/>
      </c>
      <c r="N21" s="33">
        <f>L21-K21</f>
        <v/>
      </c>
    </row>
    <row r="22">
      <c r="A22" s="58" t="inlineStr">
        <is>
          <t>47011 Ridgefield Deli &amp; Liq</t>
        </is>
      </c>
      <c r="B22" s="58" t="inlineStr">
        <is>
          <t>Bergen</t>
        </is>
      </c>
      <c r="C22" s="58" t="inlineStr">
        <is>
          <t>Chris Payton</t>
        </is>
      </c>
      <c r="D22" s="58" t="inlineStr">
        <is>
          <t>Off-premise</t>
        </is>
      </c>
      <c r="E22" s="53" t="n">
        <v>1512</v>
      </c>
      <c r="F22" s="53" t="n">
        <v>2031</v>
      </c>
      <c r="G22" s="55" t="n">
        <v>11801.98</v>
      </c>
      <c r="H22" s="55" t="n">
        <v>15099.96</v>
      </c>
      <c r="I22" s="53" t="n">
        <v>160</v>
      </c>
      <c r="J22" s="53" t="n">
        <v>347</v>
      </c>
      <c r="K22" s="53" t="n">
        <v>158</v>
      </c>
      <c r="L22" s="53" t="n">
        <v>407</v>
      </c>
      <c r="M22" s="33">
        <f>F22-E22</f>
        <v/>
      </c>
      <c r="N22" s="33">
        <f>L22-K22</f>
        <v/>
      </c>
    </row>
    <row r="23">
      <c r="A23" s="58" t="inlineStr">
        <is>
          <t>21033 The Liquor Shop</t>
        </is>
      </c>
      <c r="B23" s="58" t="inlineStr">
        <is>
          <t>Passaic</t>
        </is>
      </c>
      <c r="C23" s="58" t="inlineStr">
        <is>
          <t>Derrick Laws</t>
        </is>
      </c>
      <c r="D23" s="58" t="inlineStr">
        <is>
          <t>Off-premise</t>
        </is>
      </c>
      <c r="E23" s="53" t="n">
        <v>10322</v>
      </c>
      <c r="F23" s="53" t="n">
        <v>10085</v>
      </c>
      <c r="G23" s="55" t="n">
        <v>75592.53999999999</v>
      </c>
      <c r="H23" s="55" t="n">
        <v>74506.24000000001</v>
      </c>
      <c r="I23" s="53" t="n">
        <v>511</v>
      </c>
      <c r="J23" s="53" t="n">
        <v>489</v>
      </c>
      <c r="K23" s="53" t="n">
        <v>509</v>
      </c>
      <c r="L23" s="53" t="n">
        <v>756</v>
      </c>
      <c r="M23" s="33">
        <f>F23-E23</f>
        <v/>
      </c>
      <c r="N23" s="33">
        <f>L23-K23</f>
        <v/>
      </c>
    </row>
    <row r="24">
      <c r="A24" s="58" t="inlineStr">
        <is>
          <t>25047 Parker Liquors (Z)</t>
        </is>
      </c>
      <c r="B24" s="58" t="inlineStr">
        <is>
          <t>Passaic</t>
        </is>
      </c>
      <c r="C24" s="58" t="inlineStr">
        <is>
          <t>Javier Melo</t>
        </is>
      </c>
      <c r="D24" s="58" t="inlineStr">
        <is>
          <t>Off-premise</t>
        </is>
      </c>
      <c r="E24" s="53" t="n">
        <v>4861</v>
      </c>
      <c r="F24" s="53" t="n">
        <v>5026</v>
      </c>
      <c r="G24" s="55" t="n">
        <v>30238.25</v>
      </c>
      <c r="H24" s="55" t="n">
        <v>32334.98999999999</v>
      </c>
      <c r="I24" s="53" t="n">
        <v>537</v>
      </c>
      <c r="J24" s="53" t="n">
        <v>538</v>
      </c>
      <c r="K24" s="53" t="n">
        <v>802</v>
      </c>
      <c r="L24" s="53" t="n">
        <v>1042</v>
      </c>
      <c r="M24" s="33">
        <f>F24-E24</f>
        <v/>
      </c>
      <c r="N24" s="33">
        <f>L24-K24</f>
        <v/>
      </c>
    </row>
    <row r="25">
      <c r="A25" s="58" t="inlineStr">
        <is>
          <t>49066 Mitsuwa Market (A)</t>
        </is>
      </c>
      <c r="B25" s="58" t="inlineStr">
        <is>
          <t>Bergen</t>
        </is>
      </c>
      <c r="C25" s="58" t="inlineStr">
        <is>
          <t>Dan Lagala</t>
        </is>
      </c>
      <c r="D25" s="58" t="inlineStr">
        <is>
          <t>Off-premise</t>
        </is>
      </c>
      <c r="E25" s="53" t="n">
        <v>988</v>
      </c>
      <c r="F25" s="53" t="n">
        <v>1303</v>
      </c>
      <c r="G25" s="55" t="n">
        <v>3155.86</v>
      </c>
      <c r="H25" s="55" t="n">
        <v>6024.459999999999</v>
      </c>
      <c r="I25" s="53" t="n">
        <v>23</v>
      </c>
      <c r="J25" s="53" t="n">
        <v>23</v>
      </c>
      <c r="K25" s="53" t="n">
        <v>988</v>
      </c>
      <c r="L25" s="53" t="n">
        <v>1227</v>
      </c>
      <c r="M25" s="33">
        <f>F25-E25</f>
        <v/>
      </c>
      <c r="N25" s="33">
        <f>L25-K25</f>
        <v/>
      </c>
    </row>
    <row r="26">
      <c r="A26" s="58" t="inlineStr">
        <is>
          <t>39016 NB Liquors</t>
        </is>
      </c>
      <c r="B26" s="58" t="inlineStr">
        <is>
          <t>Bergen</t>
        </is>
      </c>
      <c r="C26" s="58" t="inlineStr">
        <is>
          <t>John Neukum</t>
        </is>
      </c>
      <c r="D26" s="58" t="inlineStr">
        <is>
          <t>Off-premise</t>
        </is>
      </c>
      <c r="E26" s="53" t="n">
        <v>21786</v>
      </c>
      <c r="F26" s="53" t="n">
        <v>21473</v>
      </c>
      <c r="G26" s="55" t="n">
        <v>137234.93</v>
      </c>
      <c r="H26" s="55" t="n">
        <v>136834.83</v>
      </c>
      <c r="I26" s="53" t="n">
        <v>1117</v>
      </c>
      <c r="J26" s="53" t="n">
        <v>954</v>
      </c>
      <c r="K26" s="53" t="n">
        <v>1078</v>
      </c>
      <c r="L26" s="53" t="n">
        <v>1309</v>
      </c>
      <c r="M26" s="33">
        <f>F26-E26</f>
        <v/>
      </c>
      <c r="N26" s="33">
        <f>L26-K26</f>
        <v/>
      </c>
    </row>
    <row r="27">
      <c r="A27" s="58" t="inlineStr">
        <is>
          <t>31017 Victory Sports Bar</t>
        </is>
      </c>
      <c r="B27" s="58" t="inlineStr">
        <is>
          <t>Bergen</t>
        </is>
      </c>
      <c r="C27" s="58" t="inlineStr">
        <is>
          <t>Nick Melissari</t>
        </is>
      </c>
      <c r="D27" s="58" t="inlineStr">
        <is>
          <t>On-premise</t>
        </is>
      </c>
      <c r="E27" s="53" t="n">
        <v>162</v>
      </c>
      <c r="F27" s="53" t="n">
        <v>851</v>
      </c>
      <c r="G27" s="55" t="n">
        <v>1338.6</v>
      </c>
      <c r="H27" s="55" t="n">
        <v>3769.15</v>
      </c>
      <c r="I27" s="53" t="n">
        <v>6</v>
      </c>
      <c r="J27" s="53" t="n">
        <v>18</v>
      </c>
      <c r="K27" s="53" t="n">
        <v>5</v>
      </c>
      <c r="L27" s="53" t="n">
        <v>234</v>
      </c>
      <c r="M27" s="33">
        <f>F27-E27</f>
        <v/>
      </c>
      <c r="N27" s="33">
        <f>L27-K27</f>
        <v/>
      </c>
    </row>
    <row r="28">
      <c r="A28" s="58" t="inlineStr">
        <is>
          <t>22032 Economy Liquors</t>
        </is>
      </c>
      <c r="B28" s="58" t="inlineStr">
        <is>
          <t>Passaic</t>
        </is>
      </c>
      <c r="C28" s="58" t="inlineStr">
        <is>
          <t>Derrick Laws</t>
        </is>
      </c>
      <c r="D28" s="58" t="inlineStr">
        <is>
          <t>Off-premise</t>
        </is>
      </c>
      <c r="E28" s="53" t="n">
        <v>8092</v>
      </c>
      <c r="F28" s="53" t="n">
        <v>7688</v>
      </c>
      <c r="G28" s="55" t="n">
        <v>54249.67000000001</v>
      </c>
      <c r="H28" s="55" t="n">
        <v>53872</v>
      </c>
      <c r="I28" s="53" t="n">
        <v>582</v>
      </c>
      <c r="J28" s="53" t="n">
        <v>541</v>
      </c>
      <c r="K28" s="53" t="n">
        <v>717</v>
      </c>
      <c r="L28" s="53" t="n">
        <v>943</v>
      </c>
      <c r="M28" s="33">
        <f>F28-E28</f>
        <v/>
      </c>
      <c r="N28" s="33">
        <f>L28-K28</f>
        <v/>
      </c>
    </row>
    <row r="29">
      <c r="A29" s="58" t="inlineStr">
        <is>
          <t>21055 C &amp; S Lucky Liquors II</t>
        </is>
      </c>
      <c r="B29" s="58" t="inlineStr">
        <is>
          <t>Passaic</t>
        </is>
      </c>
      <c r="C29" s="58" t="inlineStr">
        <is>
          <t>Javier Melo</t>
        </is>
      </c>
      <c r="D29" s="58" t="inlineStr">
        <is>
          <t>Off-premise</t>
        </is>
      </c>
      <c r="E29" s="53" t="n">
        <v>520</v>
      </c>
      <c r="F29" s="53" t="n">
        <v>2280</v>
      </c>
      <c r="G29" s="55" t="n">
        <v>3377.25</v>
      </c>
      <c r="H29" s="55" t="n">
        <v>15190.74</v>
      </c>
      <c r="I29" s="53" t="n">
        <v>78</v>
      </c>
      <c r="J29" s="53" t="n">
        <v>326</v>
      </c>
      <c r="K29" s="53" t="n">
        <v>58</v>
      </c>
      <c r="L29" s="53" t="n">
        <v>270</v>
      </c>
      <c r="M29" s="33">
        <f>F29-E29</f>
        <v/>
      </c>
      <c r="N29" s="33">
        <f>L29-K29</f>
        <v/>
      </c>
    </row>
    <row r="30">
      <c r="A30" s="58" t="inlineStr">
        <is>
          <t>73003 Bottle King (A) Hillsdale</t>
        </is>
      </c>
      <c r="B30" s="58" t="inlineStr">
        <is>
          <t>Bergen</t>
        </is>
      </c>
      <c r="C30" s="58" t="inlineStr">
        <is>
          <t>Shane Barreca</t>
        </is>
      </c>
      <c r="D30" s="58" t="inlineStr">
        <is>
          <t>Off-premise</t>
        </is>
      </c>
      <c r="E30" s="53" t="n">
        <v>7336</v>
      </c>
      <c r="F30" s="53" t="n">
        <v>7113</v>
      </c>
      <c r="G30" s="55" t="n">
        <v>47618.60000000001</v>
      </c>
      <c r="H30" s="55" t="n">
        <v>48201.15000000001</v>
      </c>
      <c r="I30" s="53" t="n">
        <v>2556</v>
      </c>
      <c r="J30" s="53" t="n">
        <v>2826</v>
      </c>
      <c r="K30" s="53" t="n">
        <v>1067</v>
      </c>
      <c r="L30" s="53" t="n">
        <v>1278</v>
      </c>
      <c r="M30" s="33">
        <f>F30-E30</f>
        <v/>
      </c>
      <c r="N30" s="33">
        <f>L30-K30</f>
        <v/>
      </c>
    </row>
    <row r="31">
      <c r="A31" s="58" t="inlineStr">
        <is>
          <t>83001 Food Universe Marketplace</t>
        </is>
      </c>
      <c r="B31" s="58" t="inlineStr">
        <is>
          <t>Bergen</t>
        </is>
      </c>
      <c r="C31" s="58" t="inlineStr">
        <is>
          <t>Phil Ernst</t>
        </is>
      </c>
      <c r="D31" s="58" t="inlineStr">
        <is>
          <t>Off-premise</t>
        </is>
      </c>
      <c r="E31" s="53" t="n">
        <v>3756</v>
      </c>
      <c r="F31" s="53" t="n">
        <v>3806</v>
      </c>
      <c r="G31" s="55" t="n">
        <v>24153.8</v>
      </c>
      <c r="H31" s="55" t="n">
        <v>26037.32</v>
      </c>
      <c r="I31" s="53" t="n">
        <v>729</v>
      </c>
      <c r="J31" s="53" t="n">
        <v>1023</v>
      </c>
      <c r="K31" s="53" t="n">
        <v>440</v>
      </c>
      <c r="L31" s="53" t="n">
        <v>646</v>
      </c>
      <c r="M31" s="33">
        <f>F31-E31</f>
        <v/>
      </c>
      <c r="N31" s="33">
        <f>L31-K31</f>
        <v/>
      </c>
    </row>
    <row r="32">
      <c r="A32" s="58" t="inlineStr">
        <is>
          <t>191814 Sandy's Wine &amp; Spirit (P) (Budd Lake)</t>
        </is>
      </c>
      <c r="B32" s="58" t="inlineStr">
        <is>
          <t>Morris</t>
        </is>
      </c>
      <c r="C32" s="58" t="inlineStr">
        <is>
          <t>Klejdi Lamo</t>
        </is>
      </c>
      <c r="D32" s="58" t="inlineStr">
        <is>
          <t>Off-premise</t>
        </is>
      </c>
      <c r="E32" s="53" t="n">
        <v>6591</v>
      </c>
      <c r="F32" s="53" t="n">
        <v>6614</v>
      </c>
      <c r="G32" s="55" t="n">
        <v>41076.74000000001</v>
      </c>
      <c r="H32" s="55" t="n">
        <v>42157.46</v>
      </c>
      <c r="I32" s="53" t="n">
        <v>2859</v>
      </c>
      <c r="J32" s="53" t="n">
        <v>2909</v>
      </c>
      <c r="K32" s="53" t="n">
        <v>1019</v>
      </c>
      <c r="L32" s="53" t="n">
        <v>1222</v>
      </c>
      <c r="M32" s="33">
        <f>F32-E32</f>
        <v/>
      </c>
      <c r="N32" s="33">
        <f>L32-K32</f>
        <v/>
      </c>
    </row>
    <row r="33">
      <c r="A33" s="58" t="inlineStr">
        <is>
          <t>13017 On The Rocks</t>
        </is>
      </c>
      <c r="B33" s="58" t="inlineStr">
        <is>
          <t>Passaic</t>
        </is>
      </c>
      <c r="C33" s="58" t="inlineStr">
        <is>
          <t>Jim Heaney</t>
        </is>
      </c>
      <c r="D33" s="58" t="inlineStr">
        <is>
          <t>Off-premise</t>
        </is>
      </c>
      <c r="E33" s="53" t="n">
        <v>988</v>
      </c>
      <c r="F33" s="53" t="n">
        <v>1635</v>
      </c>
      <c r="G33" s="55" t="n">
        <v>7026.570000000001</v>
      </c>
      <c r="H33" s="55" t="n">
        <v>11552.01</v>
      </c>
      <c r="I33" s="53" t="n">
        <v>125</v>
      </c>
      <c r="J33" s="53" t="n">
        <v>196</v>
      </c>
      <c r="K33" s="53" t="n">
        <v>114</v>
      </c>
      <c r="L33" s="53" t="n">
        <v>314</v>
      </c>
      <c r="M33" s="33">
        <f>F33-E33</f>
        <v/>
      </c>
      <c r="N33" s="33">
        <f>L33-K33</f>
        <v/>
      </c>
    </row>
    <row r="34">
      <c r="A34" s="58" t="inlineStr">
        <is>
          <t>39015 Rudy's Inflight Caterers</t>
        </is>
      </c>
      <c r="B34" s="58" t="inlineStr">
        <is>
          <t>Bergen</t>
        </is>
      </c>
      <c r="C34" s="58" t="inlineStr">
        <is>
          <t>Robin Feldman</t>
        </is>
      </c>
      <c r="D34" s="58" t="inlineStr">
        <is>
          <t>On-premise</t>
        </is>
      </c>
      <c r="E34" s="53" t="n">
        <v>0</v>
      </c>
      <c r="F34" s="53" t="n">
        <v>196</v>
      </c>
      <c r="G34" s="55" t="n">
        <v>0</v>
      </c>
      <c r="H34" s="55" t="n">
        <v>822.4400000000001</v>
      </c>
      <c r="I34" s="53" t="n">
        <v>0</v>
      </c>
      <c r="J34" s="53" t="n">
        <v>168</v>
      </c>
      <c r="K34" s="53" t="n">
        <v>0</v>
      </c>
      <c r="L34" s="53" t="n">
        <v>196</v>
      </c>
      <c r="M34" s="33">
        <f>F34-E34</f>
        <v/>
      </c>
      <c r="N34" s="33">
        <f>L34-K34</f>
        <v/>
      </c>
    </row>
    <row r="35">
      <c r="A35" s="58" t="inlineStr">
        <is>
          <t>230915 Crystal Sprs/Wild Turkey</t>
        </is>
      </c>
      <c r="B35" s="58" t="inlineStr">
        <is>
          <t>Sussex</t>
        </is>
      </c>
      <c r="C35" s="58" t="inlineStr">
        <is>
          <t>Anthony Palmisano</t>
        </is>
      </c>
      <c r="D35" s="58" t="inlineStr">
        <is>
          <t>On-premise</t>
        </is>
      </c>
      <c r="E35" s="53" t="n">
        <v>1924</v>
      </c>
      <c r="F35" s="53" t="n">
        <v>2140</v>
      </c>
      <c r="G35" s="55" t="n">
        <v>10323.36</v>
      </c>
      <c r="H35" s="55" t="n">
        <v>12620.96</v>
      </c>
      <c r="I35" s="53" t="n">
        <v>1083</v>
      </c>
      <c r="J35" s="53" t="n">
        <v>939</v>
      </c>
      <c r="K35" s="53" t="n">
        <v>186</v>
      </c>
      <c r="L35" s="53" t="n">
        <v>376</v>
      </c>
      <c r="M35" s="33">
        <f>F35-E35</f>
        <v/>
      </c>
      <c r="N35" s="33">
        <f>L35-K35</f>
        <v/>
      </c>
    </row>
    <row r="36">
      <c r="A36" s="58" t="inlineStr">
        <is>
          <t>27046 New Eagle Liquors</t>
        </is>
      </c>
      <c r="B36" s="58" t="inlineStr">
        <is>
          <t>Passaic</t>
        </is>
      </c>
      <c r="C36" s="58" t="inlineStr">
        <is>
          <t>Javier Melo</t>
        </is>
      </c>
      <c r="D36" s="58" t="inlineStr">
        <is>
          <t>Off-premise</t>
        </is>
      </c>
      <c r="E36" s="53" t="n">
        <v>5136</v>
      </c>
      <c r="F36" s="53" t="n">
        <v>5193</v>
      </c>
      <c r="G36" s="55" t="n">
        <v>30436.2</v>
      </c>
      <c r="H36" s="55" t="n">
        <v>33459.58</v>
      </c>
      <c r="I36" s="53" t="n">
        <v>717</v>
      </c>
      <c r="J36" s="53" t="n">
        <v>480</v>
      </c>
      <c r="K36" s="53" t="n">
        <v>661</v>
      </c>
      <c r="L36" s="53" t="n">
        <v>850</v>
      </c>
      <c r="M36" s="33">
        <f>F36-E36</f>
        <v/>
      </c>
      <c r="N36" s="33">
        <f>L36-K36</f>
        <v/>
      </c>
    </row>
    <row r="37">
      <c r="A37" s="58" t="inlineStr">
        <is>
          <t>73008 Shop Rite Liq (A)Hillsdal</t>
        </is>
      </c>
      <c r="B37" s="58" t="inlineStr">
        <is>
          <t>Bergen</t>
        </is>
      </c>
      <c r="C37" s="58" t="inlineStr">
        <is>
          <t>Shane Barreca</t>
        </is>
      </c>
      <c r="D37" s="58" t="inlineStr">
        <is>
          <t>Off-premise</t>
        </is>
      </c>
      <c r="E37" s="53" t="n">
        <v>5320</v>
      </c>
      <c r="F37" s="53" t="n">
        <v>5315</v>
      </c>
      <c r="G37" s="55" t="n">
        <v>32977.88</v>
      </c>
      <c r="H37" s="55" t="n">
        <v>34200.88</v>
      </c>
      <c r="I37" s="53" t="n">
        <v>2171</v>
      </c>
      <c r="J37" s="53" t="n">
        <v>2038</v>
      </c>
      <c r="K37" s="53" t="n">
        <v>1104</v>
      </c>
      <c r="L37" s="53" t="n">
        <v>1288</v>
      </c>
      <c r="M37" s="33">
        <f>F37-E37</f>
        <v/>
      </c>
      <c r="N37" s="33">
        <f>L37-K37</f>
        <v/>
      </c>
    </row>
    <row r="38">
      <c r="A38" s="58" t="inlineStr">
        <is>
          <t>27002 President Liqrs (A)</t>
        </is>
      </c>
      <c r="B38" s="58" t="inlineStr">
        <is>
          <t>Passaic</t>
        </is>
      </c>
      <c r="C38" s="58" t="inlineStr">
        <is>
          <t>Javier Melo</t>
        </is>
      </c>
      <c r="D38" s="58" t="inlineStr">
        <is>
          <t>Off-premise</t>
        </is>
      </c>
      <c r="E38" s="53" t="n">
        <v>4380</v>
      </c>
      <c r="F38" s="53" t="n">
        <v>4642</v>
      </c>
      <c r="G38" s="55" t="n">
        <v>27512.76</v>
      </c>
      <c r="H38" s="55" t="n">
        <v>29287.38</v>
      </c>
      <c r="I38" s="53" t="n">
        <v>466</v>
      </c>
      <c r="J38" s="53" t="n">
        <v>425</v>
      </c>
      <c r="K38" s="53" t="n">
        <v>639</v>
      </c>
      <c r="L38" s="53" t="n">
        <v>816</v>
      </c>
      <c r="M38" s="33">
        <f>F38-E38</f>
        <v/>
      </c>
      <c r="N38" s="33">
        <f>L38-K38</f>
        <v/>
      </c>
    </row>
    <row r="39">
      <c r="A39" s="58" t="inlineStr">
        <is>
          <t>4005 Turnpike Discount Liquors</t>
        </is>
      </c>
      <c r="B39" s="58" t="inlineStr">
        <is>
          <t>Passaic</t>
        </is>
      </c>
      <c r="C39" s="58" t="inlineStr">
        <is>
          <t>Anthony Palmisano</t>
        </is>
      </c>
      <c r="D39" s="58" t="inlineStr">
        <is>
          <t>Off-premise</t>
        </is>
      </c>
      <c r="E39" s="53" t="n">
        <v>2428</v>
      </c>
      <c r="F39" s="53" t="n">
        <v>3174</v>
      </c>
      <c r="G39" s="55" t="n">
        <v>15834.81</v>
      </c>
      <c r="H39" s="55" t="n">
        <v>21729.45</v>
      </c>
      <c r="I39" s="53" t="n">
        <v>539</v>
      </c>
      <c r="J39" s="53" t="n">
        <v>688</v>
      </c>
      <c r="K39" s="53" t="n">
        <v>456</v>
      </c>
      <c r="L39" s="53" t="n">
        <v>632</v>
      </c>
      <c r="M39" s="33">
        <f>F39-E39</f>
        <v/>
      </c>
      <c r="N39" s="33">
        <f>L39-K39</f>
        <v/>
      </c>
    </row>
    <row r="40">
      <c r="A40" s="58" t="inlineStr">
        <is>
          <t>37068 Whoopee Liq (A)</t>
        </is>
      </c>
      <c r="B40" s="58" t="inlineStr">
        <is>
          <t>Bergen</t>
        </is>
      </c>
      <c r="C40" s="58" t="inlineStr">
        <is>
          <t>Matt Powierski</t>
        </is>
      </c>
      <c r="D40" s="58" t="inlineStr">
        <is>
          <t>Off-premise</t>
        </is>
      </c>
      <c r="E40" s="53" t="n">
        <v>4612</v>
      </c>
      <c r="F40" s="53" t="n">
        <v>4754</v>
      </c>
      <c r="G40" s="55" t="n">
        <v>31313.27</v>
      </c>
      <c r="H40" s="55" t="n">
        <v>33220.41</v>
      </c>
      <c r="I40" s="53" t="n">
        <v>725</v>
      </c>
      <c r="J40" s="53" t="n">
        <v>708</v>
      </c>
      <c r="K40" s="53" t="n">
        <v>632</v>
      </c>
      <c r="L40" s="53" t="n">
        <v>806</v>
      </c>
      <c r="M40" s="33">
        <f>F40-E40</f>
        <v/>
      </c>
      <c r="N40" s="33">
        <f>L40-K40</f>
        <v/>
      </c>
    </row>
    <row r="41">
      <c r="A41" s="58" t="inlineStr">
        <is>
          <t>74005 Winemart Discount</t>
        </is>
      </c>
      <c r="B41" s="58" t="inlineStr">
        <is>
          <t>Bergen</t>
        </is>
      </c>
      <c r="C41" s="58" t="inlineStr">
        <is>
          <t>Shane Barreca</t>
        </is>
      </c>
      <c r="D41" s="58" t="inlineStr">
        <is>
          <t>Off-premise</t>
        </is>
      </c>
      <c r="E41" s="53" t="n">
        <v>2969</v>
      </c>
      <c r="F41" s="53" t="n">
        <v>3033</v>
      </c>
      <c r="G41" s="55" t="n">
        <v>18198.62</v>
      </c>
      <c r="H41" s="55" t="n">
        <v>19638.3</v>
      </c>
      <c r="I41" s="53" t="n">
        <v>670</v>
      </c>
      <c r="J41" s="53" t="n">
        <v>793</v>
      </c>
      <c r="K41" s="53" t="n">
        <v>561</v>
      </c>
      <c r="L41" s="53" t="n">
        <v>734</v>
      </c>
      <c r="M41" s="33">
        <f>F41-E41</f>
        <v/>
      </c>
      <c r="N41" s="33">
        <f>L41-K41</f>
        <v/>
      </c>
    </row>
    <row r="42">
      <c r="A42" s="58" t="inlineStr">
        <is>
          <t>11003 Lincoln Park Fine Wines &amp; Spirits</t>
        </is>
      </c>
      <c r="B42" s="58" t="inlineStr">
        <is>
          <t>Morris</t>
        </is>
      </c>
      <c r="C42" s="58" t="inlineStr">
        <is>
          <t>Mike Ast</t>
        </is>
      </c>
      <c r="D42" s="58" t="inlineStr">
        <is>
          <t>Off-premise</t>
        </is>
      </c>
      <c r="E42" s="53" t="n">
        <v>4718</v>
      </c>
      <c r="F42" s="53" t="n">
        <v>5162</v>
      </c>
      <c r="G42" s="55" t="n">
        <v>29293.36</v>
      </c>
      <c r="H42" s="55" t="n">
        <v>32129.54</v>
      </c>
      <c r="I42" s="53" t="n">
        <v>2181</v>
      </c>
      <c r="J42" s="53" t="n">
        <v>2078</v>
      </c>
      <c r="K42" s="53" t="n">
        <v>760</v>
      </c>
      <c r="L42" s="53" t="n">
        <v>929</v>
      </c>
      <c r="M42" s="33">
        <f>F42-E42</f>
        <v/>
      </c>
      <c r="N42" s="33">
        <f>L42-K42</f>
        <v/>
      </c>
    </row>
    <row r="43">
      <c r="A43" s="58" t="inlineStr">
        <is>
          <t>40004 Simple Simon's (Z)</t>
        </is>
      </c>
      <c r="B43" s="58" t="inlineStr">
        <is>
          <t>Bergen</t>
        </is>
      </c>
      <c r="C43" s="58" t="inlineStr">
        <is>
          <t>Dave Ehlers</t>
        </is>
      </c>
      <c r="D43" s="58" t="inlineStr">
        <is>
          <t>Off-premise</t>
        </is>
      </c>
      <c r="E43" s="53" t="n">
        <v>3126</v>
      </c>
      <c r="F43" s="53" t="n">
        <v>2823</v>
      </c>
      <c r="G43" s="55" t="n">
        <v>22819.88</v>
      </c>
      <c r="H43" s="55" t="n">
        <v>21360.94</v>
      </c>
      <c r="I43" s="53" t="n">
        <v>439</v>
      </c>
      <c r="J43" s="53" t="n">
        <v>358</v>
      </c>
      <c r="K43" s="53" t="n">
        <v>301</v>
      </c>
      <c r="L43" s="53" t="n">
        <v>468</v>
      </c>
      <c r="M43" s="33">
        <f>F43-E43</f>
        <v/>
      </c>
      <c r="N43" s="33">
        <f>L43-K43</f>
        <v/>
      </c>
    </row>
    <row r="44">
      <c r="A44" s="58" t="inlineStr">
        <is>
          <t>21028 Estevez Liquors &amp; Grocery 2 LLC</t>
        </is>
      </c>
      <c r="B44" s="58" t="inlineStr">
        <is>
          <t>Passaic</t>
        </is>
      </c>
      <c r="C44" s="58" t="inlineStr">
        <is>
          <t>Javier Melo</t>
        </is>
      </c>
      <c r="D44" s="58" t="inlineStr">
        <is>
          <t>Off-premise</t>
        </is>
      </c>
      <c r="E44" s="53" t="n">
        <v>2121</v>
      </c>
      <c r="F44" s="53" t="n">
        <v>2361</v>
      </c>
      <c r="G44" s="55" t="n">
        <v>14851.99</v>
      </c>
      <c r="H44" s="55" t="n">
        <v>16795.23</v>
      </c>
      <c r="I44" s="53" t="n">
        <v>65</v>
      </c>
      <c r="J44" s="53" t="n">
        <v>59</v>
      </c>
      <c r="K44" s="53" t="n">
        <v>120</v>
      </c>
      <c r="L44" s="53" t="n">
        <v>286</v>
      </c>
      <c r="M44" s="33">
        <f>F44-E44</f>
        <v/>
      </c>
      <c r="N44" s="33">
        <f>L44-K44</f>
        <v/>
      </c>
    </row>
    <row r="45">
      <c r="A45" s="58" t="inlineStr">
        <is>
          <t>13008 Little Falls Liq(P)</t>
        </is>
      </c>
      <c r="B45" s="58" t="inlineStr">
        <is>
          <t>Passaic</t>
        </is>
      </c>
      <c r="C45" s="58" t="inlineStr">
        <is>
          <t>Jim Heaney</t>
        </is>
      </c>
      <c r="D45" s="58" t="inlineStr">
        <is>
          <t>Off-premise</t>
        </is>
      </c>
      <c r="E45" s="53" t="n">
        <v>3064</v>
      </c>
      <c r="F45" s="53" t="n">
        <v>3042</v>
      </c>
      <c r="G45" s="55" t="n">
        <v>19112.3</v>
      </c>
      <c r="H45" s="55" t="n">
        <v>19651.12</v>
      </c>
      <c r="I45" s="53" t="n">
        <v>640</v>
      </c>
      <c r="J45" s="53" t="n">
        <v>860</v>
      </c>
      <c r="K45" s="53" t="n">
        <v>446</v>
      </c>
      <c r="L45" s="53" t="n">
        <v>612</v>
      </c>
      <c r="M45" s="33">
        <f>F45-E45</f>
        <v/>
      </c>
      <c r="N45" s="33">
        <f>L45-K45</f>
        <v/>
      </c>
    </row>
    <row r="46">
      <c r="A46" s="58" t="inlineStr">
        <is>
          <t>49044 Linwood Wine-Hudson Light</t>
        </is>
      </c>
      <c r="B46" s="58" t="inlineStr">
        <is>
          <t>Bergen</t>
        </is>
      </c>
      <c r="C46" s="58" t="inlineStr">
        <is>
          <t>Dan Lagala</t>
        </is>
      </c>
      <c r="D46" s="58" t="inlineStr">
        <is>
          <t>Off-premise</t>
        </is>
      </c>
      <c r="E46" s="53" t="n">
        <v>1876</v>
      </c>
      <c r="F46" s="53" t="n">
        <v>2140</v>
      </c>
      <c r="G46" s="55" t="n">
        <v>13434.94</v>
      </c>
      <c r="H46" s="55" t="n">
        <v>15456.79</v>
      </c>
      <c r="I46" s="53" t="n">
        <v>364</v>
      </c>
      <c r="J46" s="53" t="n">
        <v>364</v>
      </c>
      <c r="K46" s="53" t="n">
        <v>399</v>
      </c>
      <c r="L46" s="53" t="n">
        <v>561</v>
      </c>
      <c r="M46" s="33">
        <f>F46-E46</f>
        <v/>
      </c>
      <c r="N46" s="33">
        <f>L46-K46</f>
        <v/>
      </c>
    </row>
    <row r="47">
      <c r="A47" s="58" t="inlineStr">
        <is>
          <t>40022 Buy Rite Of Hackensack</t>
        </is>
      </c>
      <c r="B47" s="58" t="inlineStr">
        <is>
          <t>Bergen</t>
        </is>
      </c>
      <c r="C47" s="58" t="inlineStr">
        <is>
          <t>Dave Ehlers</t>
        </is>
      </c>
      <c r="D47" s="58" t="inlineStr">
        <is>
          <t>Off-premise</t>
        </is>
      </c>
      <c r="E47" s="53" t="n">
        <v>9363</v>
      </c>
      <c r="F47" s="53" t="n">
        <v>9240</v>
      </c>
      <c r="G47" s="55" t="n">
        <v>63398.67</v>
      </c>
      <c r="H47" s="55" t="n">
        <v>63248.59999999999</v>
      </c>
      <c r="I47" s="53" t="n">
        <v>1059</v>
      </c>
      <c r="J47" s="53" t="n">
        <v>1180</v>
      </c>
      <c r="K47" s="53" t="n">
        <v>896</v>
      </c>
      <c r="L47" s="53" t="n">
        <v>1058</v>
      </c>
      <c r="M47" s="33">
        <f>F47-E47</f>
        <v/>
      </c>
      <c r="N47" s="33">
        <f>L47-K47</f>
        <v/>
      </c>
    </row>
    <row r="48">
      <c r="A48" s="58" t="inlineStr">
        <is>
          <t>23006 46 Discount Liquor Store</t>
        </is>
      </c>
      <c r="B48" s="58" t="inlineStr">
        <is>
          <t>Passaic</t>
        </is>
      </c>
      <c r="C48" s="58" t="inlineStr">
        <is>
          <t>Chris Payton</t>
        </is>
      </c>
      <c r="D48" s="58" t="inlineStr">
        <is>
          <t>Off-premise</t>
        </is>
      </c>
      <c r="E48" s="53" t="n">
        <v>4643</v>
      </c>
      <c r="F48" s="53" t="n">
        <v>4770</v>
      </c>
      <c r="G48" s="55" t="n">
        <v>29604.79</v>
      </c>
      <c r="H48" s="55" t="n">
        <v>31984.17</v>
      </c>
      <c r="I48" s="53" t="n">
        <v>675</v>
      </c>
      <c r="J48" s="53" t="n">
        <v>635</v>
      </c>
      <c r="K48" s="53" t="n">
        <v>531</v>
      </c>
      <c r="L48" s="53" t="n">
        <v>687</v>
      </c>
      <c r="M48" s="33">
        <f>F48-E48</f>
        <v/>
      </c>
      <c r="N48" s="33">
        <f>L48-K48</f>
        <v/>
      </c>
    </row>
    <row r="49">
      <c r="A49" s="58" t="inlineStr">
        <is>
          <t>77009 M &amp; M Wine &amp; Spirits</t>
        </is>
      </c>
      <c r="B49" s="58" t="inlineStr">
        <is>
          <t>Bergen</t>
        </is>
      </c>
      <c r="C49" s="58" t="inlineStr">
        <is>
          <t>Matt Powierski</t>
        </is>
      </c>
      <c r="D49" s="58" t="inlineStr">
        <is>
          <t>Off-premise</t>
        </is>
      </c>
      <c r="E49" s="53" t="n">
        <v>4235</v>
      </c>
      <c r="F49" s="53" t="n">
        <v>4553</v>
      </c>
      <c r="G49" s="55" t="n">
        <v>28433.89</v>
      </c>
      <c r="H49" s="55" t="n">
        <v>31342.79</v>
      </c>
      <c r="I49" s="53" t="n">
        <v>1975</v>
      </c>
      <c r="J49" s="53" t="n">
        <v>2301</v>
      </c>
      <c r="K49" s="53" t="n">
        <v>609</v>
      </c>
      <c r="L49" s="53" t="n">
        <v>765</v>
      </c>
      <c r="M49" s="33">
        <f>F49-E49</f>
        <v/>
      </c>
      <c r="N49" s="33">
        <f>L49-K49</f>
        <v/>
      </c>
    </row>
    <row r="50">
      <c r="A50" s="58" t="inlineStr">
        <is>
          <t>22006 Ant's Bar &amp; Liquors</t>
        </is>
      </c>
      <c r="B50" s="58" t="inlineStr">
        <is>
          <t>Passaic</t>
        </is>
      </c>
      <c r="C50" s="58" t="inlineStr">
        <is>
          <t>Derrick Laws</t>
        </is>
      </c>
      <c r="D50" s="58" t="inlineStr">
        <is>
          <t>Off-premise</t>
        </is>
      </c>
      <c r="E50" s="53" t="n">
        <v>0</v>
      </c>
      <c r="F50" s="53" t="n">
        <v>401</v>
      </c>
      <c r="G50" s="55" t="n">
        <v>0</v>
      </c>
      <c r="H50" s="55" t="n">
        <v>2780.87</v>
      </c>
      <c r="I50" s="53" t="n">
        <v>0</v>
      </c>
      <c r="J50" s="53" t="n">
        <v>87</v>
      </c>
      <c r="K50" s="53" t="n">
        <v>0</v>
      </c>
      <c r="L50" s="53" t="n">
        <v>154</v>
      </c>
      <c r="M50" s="33">
        <f>F50-E50</f>
        <v/>
      </c>
      <c r="N50" s="33">
        <f>L50-K50</f>
        <v/>
      </c>
    </row>
    <row r="51">
      <c r="A51" s="58" t="inlineStr">
        <is>
          <t>49027 Linwood Wine-Linwood Plaza</t>
        </is>
      </c>
      <c r="B51" s="58" t="inlineStr">
        <is>
          <t>Bergen</t>
        </is>
      </c>
      <c r="C51" s="58" t="inlineStr">
        <is>
          <t>Dan Lagala</t>
        </is>
      </c>
      <c r="D51" s="58" t="inlineStr">
        <is>
          <t>Off-premise</t>
        </is>
      </c>
      <c r="E51" s="53" t="n">
        <v>3200</v>
      </c>
      <c r="F51" s="53" t="n">
        <v>2916</v>
      </c>
      <c r="G51" s="55" t="n">
        <v>22174.24</v>
      </c>
      <c r="H51" s="55" t="n">
        <v>19379.8</v>
      </c>
      <c r="I51" s="53" t="n">
        <v>876</v>
      </c>
      <c r="J51" s="53" t="n">
        <v>901</v>
      </c>
      <c r="K51" s="53" t="n">
        <v>852</v>
      </c>
      <c r="L51" s="53" t="n">
        <v>1005</v>
      </c>
      <c r="M51" s="33">
        <f>F51-E51</f>
        <v/>
      </c>
      <c r="N51" s="33">
        <f>L51-K51</f>
        <v/>
      </c>
    </row>
    <row r="52">
      <c r="A52" s="58" t="inlineStr">
        <is>
          <t>24011 Shoppers Vineyard (A)</t>
        </is>
      </c>
      <c r="B52" s="58" t="inlineStr">
        <is>
          <t>Passaic</t>
        </is>
      </c>
      <c r="C52" s="58" t="inlineStr">
        <is>
          <t>Jim Heaney</t>
        </is>
      </c>
      <c r="D52" s="58" t="inlineStr">
        <is>
          <t>Off-premise</t>
        </is>
      </c>
      <c r="E52" s="53" t="n">
        <v>14202</v>
      </c>
      <c r="F52" s="53" t="n">
        <v>13351</v>
      </c>
      <c r="G52" s="55" t="n">
        <v>92358.19000000002</v>
      </c>
      <c r="H52" s="55" t="n">
        <v>88838.52999999998</v>
      </c>
      <c r="I52" s="53" t="n">
        <v>2840</v>
      </c>
      <c r="J52" s="53" t="n">
        <v>2435</v>
      </c>
      <c r="K52" s="53" t="n">
        <v>1366</v>
      </c>
      <c r="L52" s="53" t="n">
        <v>1512</v>
      </c>
      <c r="M52" s="33">
        <f>F52-E52</f>
        <v/>
      </c>
      <c r="N52" s="33">
        <f>L52-K52</f>
        <v/>
      </c>
    </row>
    <row r="53">
      <c r="A53" s="58" t="inlineStr">
        <is>
          <t>43013 Buy Rite Of Fairview</t>
        </is>
      </c>
      <c r="B53" s="58" t="inlineStr">
        <is>
          <t>Bergen</t>
        </is>
      </c>
      <c r="C53" s="58" t="inlineStr">
        <is>
          <t>Dan Lagala</t>
        </is>
      </c>
      <c r="D53" s="58" t="inlineStr">
        <is>
          <t>Off-premise</t>
        </is>
      </c>
      <c r="E53" s="53" t="n">
        <v>8676</v>
      </c>
      <c r="F53" s="53" t="n">
        <v>8133</v>
      </c>
      <c r="G53" s="55" t="n">
        <v>57507.66999999999</v>
      </c>
      <c r="H53" s="55" t="n">
        <v>55956.13</v>
      </c>
      <c r="I53" s="53" t="n">
        <v>991</v>
      </c>
      <c r="J53" s="53" t="n">
        <v>1005</v>
      </c>
      <c r="K53" s="53" t="n">
        <v>536</v>
      </c>
      <c r="L53" s="53" t="n">
        <v>681</v>
      </c>
      <c r="M53" s="33">
        <f>F53-E53</f>
        <v/>
      </c>
      <c r="N53" s="33">
        <f>L53-K53</f>
        <v/>
      </c>
    </row>
    <row r="54">
      <c r="A54" s="58" t="inlineStr">
        <is>
          <t>56007 Portland Wine &amp; Liquor</t>
        </is>
      </c>
      <c r="B54" s="58" t="inlineStr">
        <is>
          <t>Bergen</t>
        </is>
      </c>
      <c r="C54" s="58" t="inlineStr">
        <is>
          <t>Dave Ehlers</t>
        </is>
      </c>
      <c r="D54" s="58" t="inlineStr">
        <is>
          <t>Off-premise</t>
        </is>
      </c>
      <c r="E54" s="53" t="n">
        <v>6818</v>
      </c>
      <c r="F54" s="53" t="n">
        <v>6808</v>
      </c>
      <c r="G54" s="55" t="n">
        <v>45443.69</v>
      </c>
      <c r="H54" s="55" t="n">
        <v>46433.98</v>
      </c>
      <c r="I54" s="53" t="n">
        <v>987</v>
      </c>
      <c r="J54" s="53" t="n">
        <v>1093</v>
      </c>
      <c r="K54" s="53" t="n">
        <v>1393</v>
      </c>
      <c r="L54" s="53" t="n">
        <v>1537</v>
      </c>
      <c r="M54" s="33">
        <f>F54-E54</f>
        <v/>
      </c>
      <c r="N54" s="33">
        <f>L54-K54</f>
        <v/>
      </c>
    </row>
    <row r="55">
      <c r="A55" s="58" t="inlineStr">
        <is>
          <t>23002 Valley Liquors (A)</t>
        </is>
      </c>
      <c r="B55" s="58" t="inlineStr">
        <is>
          <t>Passaic</t>
        </is>
      </c>
      <c r="C55" s="58" t="inlineStr">
        <is>
          <t>Jim Heaney</t>
        </is>
      </c>
      <c r="D55" s="58" t="inlineStr">
        <is>
          <t>Off-premise</t>
        </is>
      </c>
      <c r="E55" s="53" t="n">
        <v>1912</v>
      </c>
      <c r="F55" s="53" t="n">
        <v>2189</v>
      </c>
      <c r="G55" s="55" t="n">
        <v>13042.31</v>
      </c>
      <c r="H55" s="55" t="n">
        <v>14459.6</v>
      </c>
      <c r="I55" s="53" t="n">
        <v>117</v>
      </c>
      <c r="J55" s="53" t="n">
        <v>187</v>
      </c>
      <c r="K55" s="53" t="n">
        <v>117</v>
      </c>
      <c r="L55" s="53" t="n">
        <v>259</v>
      </c>
      <c r="M55" s="33">
        <f>F55-E55</f>
        <v/>
      </c>
      <c r="N55" s="33">
        <f>L55-K55</f>
        <v/>
      </c>
    </row>
    <row r="56">
      <c r="A56" s="58" t="inlineStr">
        <is>
          <t>88005 Waldwick Wine/Spirits</t>
        </is>
      </c>
      <c r="B56" s="58" t="inlineStr">
        <is>
          <t>Bergen</t>
        </is>
      </c>
      <c r="C56" s="58" t="inlineStr">
        <is>
          <t>Mike Ast</t>
        </is>
      </c>
      <c r="D56" s="58" t="inlineStr">
        <is>
          <t>Off-premise</t>
        </is>
      </c>
      <c r="E56" s="53" t="n">
        <v>2697</v>
      </c>
      <c r="F56" s="53" t="n">
        <v>3874</v>
      </c>
      <c r="G56" s="55" t="n">
        <v>17119.79</v>
      </c>
      <c r="H56" s="55" t="n">
        <v>23365.16</v>
      </c>
      <c r="I56" s="53" t="n">
        <v>778</v>
      </c>
      <c r="J56" s="53" t="n">
        <v>1420</v>
      </c>
      <c r="K56" s="53" t="n">
        <v>470</v>
      </c>
      <c r="L56" s="53" t="n">
        <v>611</v>
      </c>
      <c r="M56" s="33">
        <f>F56-E56</f>
        <v/>
      </c>
      <c r="N56" s="33">
        <f>L56-K56</f>
        <v/>
      </c>
    </row>
    <row r="57">
      <c r="A57" s="58" t="inlineStr">
        <is>
          <t>25034 Figlar's (P)</t>
        </is>
      </c>
      <c r="B57" s="58" t="inlineStr">
        <is>
          <t>Passaic</t>
        </is>
      </c>
      <c r="C57" s="58" t="inlineStr">
        <is>
          <t>Chris Payton</t>
        </is>
      </c>
      <c r="D57" s="58" t="inlineStr">
        <is>
          <t>Off-premise</t>
        </is>
      </c>
      <c r="E57" s="53" t="n">
        <v>3488</v>
      </c>
      <c r="F57" s="53" t="n">
        <v>3375</v>
      </c>
      <c r="G57" s="55" t="n">
        <v>23521.49</v>
      </c>
      <c r="H57" s="55" t="n">
        <v>23666.83</v>
      </c>
      <c r="I57" s="53" t="n">
        <v>403</v>
      </c>
      <c r="J57" s="53" t="n">
        <v>364</v>
      </c>
      <c r="K57" s="53" t="n">
        <v>524</v>
      </c>
      <c r="L57" s="53" t="n">
        <v>664</v>
      </c>
      <c r="M57" s="33">
        <f>F57-E57</f>
        <v/>
      </c>
      <c r="N57" s="33">
        <f>L57-K57</f>
        <v/>
      </c>
    </row>
    <row r="58">
      <c r="A58" s="58" t="inlineStr">
        <is>
          <t>1015 Greenwood Lake Disc.(P)</t>
        </is>
      </c>
      <c r="B58" s="58" t="inlineStr">
        <is>
          <t>Passaic</t>
        </is>
      </c>
      <c r="C58" s="58" t="inlineStr">
        <is>
          <t>Anthony Palmisano</t>
        </is>
      </c>
      <c r="D58" s="58" t="inlineStr">
        <is>
          <t>Off-premise</t>
        </is>
      </c>
      <c r="E58" s="53" t="n">
        <v>3089</v>
      </c>
      <c r="F58" s="53" t="n">
        <v>3526</v>
      </c>
      <c r="G58" s="55" t="n">
        <v>18568.09</v>
      </c>
      <c r="H58" s="55" t="n">
        <v>20289.36</v>
      </c>
      <c r="I58" s="53" t="n">
        <v>1125</v>
      </c>
      <c r="J58" s="53" t="n">
        <v>1295</v>
      </c>
      <c r="K58" s="53" t="n">
        <v>415</v>
      </c>
      <c r="L58" s="53" t="n">
        <v>553</v>
      </c>
      <c r="M58" s="33">
        <f>F58-E58</f>
        <v/>
      </c>
      <c r="N58" s="33">
        <f>L58-K58</f>
        <v/>
      </c>
    </row>
    <row r="59">
      <c r="A59" s="58" t="inlineStr">
        <is>
          <t>25031 Lexington Liquors (Z)</t>
        </is>
      </c>
      <c r="B59" s="58" t="inlineStr">
        <is>
          <t>Passaic</t>
        </is>
      </c>
      <c r="C59" s="58" t="inlineStr">
        <is>
          <t>Jim Heaney</t>
        </is>
      </c>
      <c r="D59" s="58" t="inlineStr">
        <is>
          <t>Off-premise</t>
        </is>
      </c>
      <c r="E59" s="53" t="n">
        <v>6704</v>
      </c>
      <c r="F59" s="53" t="n">
        <v>6764</v>
      </c>
      <c r="G59" s="55" t="n">
        <v>45806.12</v>
      </c>
      <c r="H59" s="55" t="n">
        <v>47919.23</v>
      </c>
      <c r="I59" s="53" t="n">
        <v>613</v>
      </c>
      <c r="J59" s="53" t="n">
        <v>647</v>
      </c>
      <c r="K59" s="53" t="n">
        <v>901</v>
      </c>
      <c r="L59" s="53" t="n">
        <v>1038</v>
      </c>
      <c r="M59" s="33">
        <f>F59-E59</f>
        <v/>
      </c>
      <c r="N59" s="33">
        <f>L59-K59</f>
        <v/>
      </c>
    </row>
    <row r="60">
      <c r="A60" s="58" t="inlineStr">
        <is>
          <t>52025 Englewood Wine and Spirits</t>
        </is>
      </c>
      <c r="B60" s="58" t="inlineStr">
        <is>
          <t>Bergen</t>
        </is>
      </c>
      <c r="C60" s="58" t="inlineStr">
        <is>
          <t>Dave Ehlers</t>
        </is>
      </c>
      <c r="D60" s="58" t="inlineStr">
        <is>
          <t>Off-premise</t>
        </is>
      </c>
      <c r="E60" s="53" t="n">
        <v>1226</v>
      </c>
      <c r="F60" s="53" t="n">
        <v>1945</v>
      </c>
      <c r="G60" s="55" t="n">
        <v>8421.330000000002</v>
      </c>
      <c r="H60" s="55" t="n">
        <v>13672.19</v>
      </c>
      <c r="I60" s="53" t="n">
        <v>102</v>
      </c>
      <c r="J60" s="53" t="n">
        <v>221</v>
      </c>
      <c r="K60" s="53" t="n">
        <v>202</v>
      </c>
      <c r="L60" s="53" t="n">
        <v>337</v>
      </c>
      <c r="M60" s="33">
        <f>F60-E60</f>
        <v/>
      </c>
      <c r="N60" s="33">
        <f>L60-K60</f>
        <v/>
      </c>
    </row>
    <row r="61">
      <c r="A61" s="58" t="inlineStr">
        <is>
          <t>52019 W E Beverage (A)</t>
        </is>
      </c>
      <c r="B61" s="58" t="inlineStr">
        <is>
          <t>Bergen</t>
        </is>
      </c>
      <c r="C61" s="58" t="inlineStr">
        <is>
          <t>Dave Ehlers</t>
        </is>
      </c>
      <c r="D61" s="58" t="inlineStr">
        <is>
          <t>Off-premise</t>
        </is>
      </c>
      <c r="E61" s="53" t="n">
        <v>3018</v>
      </c>
      <c r="F61" s="53" t="n">
        <v>3153</v>
      </c>
      <c r="G61" s="55" t="n">
        <v>20727.63</v>
      </c>
      <c r="H61" s="55" t="n">
        <v>21629.58</v>
      </c>
      <c r="I61" s="53" t="n">
        <v>291</v>
      </c>
      <c r="J61" s="53" t="n">
        <v>325</v>
      </c>
      <c r="K61" s="53" t="n">
        <v>346</v>
      </c>
      <c r="L61" s="53" t="n">
        <v>480</v>
      </c>
      <c r="M61" s="33">
        <f>F61-E61</f>
        <v/>
      </c>
      <c r="N61" s="33">
        <f>L61-K61</f>
        <v/>
      </c>
    </row>
    <row r="62">
      <c r="A62" s="58" t="inlineStr">
        <is>
          <t>190705 Rockaway W/L</t>
        </is>
      </c>
      <c r="B62" s="58" t="inlineStr">
        <is>
          <t>Morris</t>
        </is>
      </c>
      <c r="C62" s="58" t="inlineStr">
        <is>
          <t>Klejdi Lamo</t>
        </is>
      </c>
      <c r="D62" s="58" t="inlineStr">
        <is>
          <t>Off-premise</t>
        </is>
      </c>
      <c r="E62" s="53" t="n">
        <v>3291</v>
      </c>
      <c r="F62" s="53" t="n">
        <v>3747</v>
      </c>
      <c r="G62" s="55" t="n">
        <v>20174.67</v>
      </c>
      <c r="H62" s="55" t="n">
        <v>22418.48</v>
      </c>
      <c r="I62" s="53" t="n">
        <v>1050</v>
      </c>
      <c r="J62" s="53" t="n">
        <v>842</v>
      </c>
      <c r="K62" s="53" t="n">
        <v>293</v>
      </c>
      <c r="L62" s="53" t="n">
        <v>426</v>
      </c>
      <c r="M62" s="33">
        <f>F62-E62</f>
        <v/>
      </c>
      <c r="N62" s="33">
        <f>L62-K62</f>
        <v/>
      </c>
    </row>
    <row r="63">
      <c r="A63" s="58" t="inlineStr">
        <is>
          <t>46011 Han Mi Supermkt (A)</t>
        </is>
      </c>
      <c r="B63" s="58" t="inlineStr">
        <is>
          <t>Bergen</t>
        </is>
      </c>
      <c r="C63" s="58" t="inlineStr">
        <is>
          <t>Dan Lagala</t>
        </is>
      </c>
      <c r="D63" s="58" t="inlineStr">
        <is>
          <t>Off-premise</t>
        </is>
      </c>
      <c r="E63" s="53" t="n">
        <v>1295</v>
      </c>
      <c r="F63" s="53" t="n">
        <v>1052</v>
      </c>
      <c r="G63" s="55" t="n">
        <v>7789.950000000001</v>
      </c>
      <c r="H63" s="55" t="n">
        <v>6398.539999999999</v>
      </c>
      <c r="I63" s="53" t="n">
        <v>295</v>
      </c>
      <c r="J63" s="53" t="n">
        <v>150</v>
      </c>
      <c r="K63" s="53" t="n">
        <v>74</v>
      </c>
      <c r="L63" s="53" t="n">
        <v>204</v>
      </c>
      <c r="M63" s="33">
        <f>F63-E63</f>
        <v/>
      </c>
      <c r="N63" s="33">
        <f>L63-K63</f>
        <v/>
      </c>
    </row>
    <row r="64">
      <c r="A64" s="58" t="inlineStr">
        <is>
          <t>15061 Boulevard Wine &amp; Spirits</t>
        </is>
      </c>
      <c r="B64" s="58" t="inlineStr">
        <is>
          <t>Passaic</t>
        </is>
      </c>
      <c r="C64" s="58" t="inlineStr">
        <is>
          <t>Pablo Lopez</t>
        </is>
      </c>
      <c r="D64" s="58" t="inlineStr">
        <is>
          <t>Off-premise</t>
        </is>
      </c>
      <c r="E64" s="53" t="n">
        <v>1976</v>
      </c>
      <c r="F64" s="53" t="n">
        <v>2559</v>
      </c>
      <c r="G64" s="55" t="n">
        <v>14034.08</v>
      </c>
      <c r="H64" s="55" t="n">
        <v>18001.69</v>
      </c>
      <c r="I64" s="53" t="n">
        <v>118</v>
      </c>
      <c r="J64" s="53" t="n">
        <v>161</v>
      </c>
      <c r="K64" s="53" t="n">
        <v>83</v>
      </c>
      <c r="L64" s="53" t="n">
        <v>213</v>
      </c>
      <c r="M64" s="33">
        <f>F64-E64</f>
        <v/>
      </c>
      <c r="N64" s="33">
        <f>L64-K64</f>
        <v/>
      </c>
    </row>
    <row r="65">
      <c r="A65" s="58" t="inlineStr">
        <is>
          <t>24010 Western Bev 21088 Clift</t>
        </is>
      </c>
      <c r="B65" s="58" t="inlineStr">
        <is>
          <t>Passaic</t>
        </is>
      </c>
      <c r="C65" s="58" t="inlineStr">
        <is>
          <t>John Neukum</t>
        </is>
      </c>
      <c r="D65" s="58" t="inlineStr">
        <is>
          <t>Off-premise</t>
        </is>
      </c>
      <c r="E65" s="53" t="n">
        <v>34921</v>
      </c>
      <c r="F65" s="53" t="n">
        <v>31975</v>
      </c>
      <c r="G65" s="55" t="n">
        <v>227286.54</v>
      </c>
      <c r="H65" s="55" t="n">
        <v>216925.13</v>
      </c>
      <c r="I65" s="53" t="n">
        <v>462</v>
      </c>
      <c r="J65" s="53" t="n">
        <v>452</v>
      </c>
      <c r="K65" s="53" t="n">
        <v>1312</v>
      </c>
      <c r="L65" s="53" t="n">
        <v>1438</v>
      </c>
      <c r="M65" s="33">
        <f>F65-E65</f>
        <v/>
      </c>
      <c r="N65" s="33">
        <f>L65-K65</f>
        <v/>
      </c>
    </row>
    <row r="66">
      <c r="A66" s="58" t="inlineStr">
        <is>
          <t>41012 Deli Mart (A)</t>
        </is>
      </c>
      <c r="B66" s="58" t="inlineStr">
        <is>
          <t>Bergen</t>
        </is>
      </c>
      <c r="C66" s="58" t="inlineStr">
        <is>
          <t>Dave Ehlers</t>
        </is>
      </c>
      <c r="D66" s="58" t="inlineStr">
        <is>
          <t>Off-premise</t>
        </is>
      </c>
      <c r="E66" s="53" t="n">
        <v>2314</v>
      </c>
      <c r="F66" s="53" t="n">
        <v>2402</v>
      </c>
      <c r="G66" s="55" t="n">
        <v>15692.95</v>
      </c>
      <c r="H66" s="55" t="n">
        <v>16557.91</v>
      </c>
      <c r="I66" s="53" t="n">
        <v>209</v>
      </c>
      <c r="J66" s="53" t="n">
        <v>247</v>
      </c>
      <c r="K66" s="53" t="n">
        <v>201</v>
      </c>
      <c r="L66" s="53" t="n">
        <v>325</v>
      </c>
      <c r="M66" s="33">
        <f>F66-E66</f>
        <v/>
      </c>
      <c r="N66" s="33">
        <f>L66-K66</f>
        <v/>
      </c>
    </row>
    <row r="67">
      <c r="A67" s="58" t="inlineStr">
        <is>
          <t>190216 House of Wine &amp; Liquor</t>
        </is>
      </c>
      <c r="B67" s="58" t="inlineStr">
        <is>
          <t>Morris</t>
        </is>
      </c>
      <c r="C67" s="58" t="inlineStr">
        <is>
          <t>Klejdi Lamo</t>
        </is>
      </c>
      <c r="D67" s="58" t="inlineStr">
        <is>
          <t>Off-premise</t>
        </is>
      </c>
      <c r="E67" s="53" t="n">
        <v>4002</v>
      </c>
      <c r="F67" s="53" t="n">
        <v>3922</v>
      </c>
      <c r="G67" s="55" t="n">
        <v>26354.89</v>
      </c>
      <c r="H67" s="55" t="n">
        <v>27035.66</v>
      </c>
      <c r="I67" s="53" t="n">
        <v>1114</v>
      </c>
      <c r="J67" s="53" t="n">
        <v>1149</v>
      </c>
      <c r="K67" s="53" t="n">
        <v>706</v>
      </c>
      <c r="L67" s="53" t="n">
        <v>828</v>
      </c>
      <c r="M67" s="33">
        <f>F67-E67</f>
        <v/>
      </c>
      <c r="N67" s="33">
        <f>L67-K67</f>
        <v/>
      </c>
    </row>
    <row r="68">
      <c r="A68" s="58" t="inlineStr">
        <is>
          <t>33002 Moonachie Liquors</t>
        </is>
      </c>
      <c r="B68" s="58" t="inlineStr">
        <is>
          <t>Bergen</t>
        </is>
      </c>
      <c r="C68" s="58" t="inlineStr">
        <is>
          <t>Matt Powierski</t>
        </is>
      </c>
      <c r="D68" s="58" t="inlineStr">
        <is>
          <t>Off-premise</t>
        </is>
      </c>
      <c r="E68" s="53" t="n">
        <v>1595</v>
      </c>
      <c r="F68" s="53" t="n">
        <v>1926</v>
      </c>
      <c r="G68" s="55" t="n">
        <v>10383.13</v>
      </c>
      <c r="H68" s="55" t="n">
        <v>12976.88</v>
      </c>
      <c r="I68" s="53" t="n">
        <v>139</v>
      </c>
      <c r="J68" s="53" t="n">
        <v>220</v>
      </c>
      <c r="K68" s="53" t="n">
        <v>167</v>
      </c>
      <c r="L68" s="53" t="n">
        <v>289</v>
      </c>
      <c r="M68" s="33">
        <f>F68-E68</f>
        <v/>
      </c>
      <c r="N68" s="33">
        <f>L68-K68</f>
        <v/>
      </c>
    </row>
    <row r="69">
      <c r="A69" s="58" t="inlineStr">
        <is>
          <t>76021 Saddle Brook Liquor &amp; Bar</t>
        </is>
      </c>
      <c r="B69" s="58" t="inlineStr">
        <is>
          <t>Bergen</t>
        </is>
      </c>
      <c r="C69" s="58" t="inlineStr">
        <is>
          <t>Phil Ernst</t>
        </is>
      </c>
      <c r="D69" s="58" t="inlineStr">
        <is>
          <t>On-premise</t>
        </is>
      </c>
      <c r="E69" s="53" t="n">
        <v>1641</v>
      </c>
      <c r="F69" s="53" t="n">
        <v>2372</v>
      </c>
      <c r="G69" s="55" t="n">
        <v>12462.01</v>
      </c>
      <c r="H69" s="55" t="n">
        <v>18307.43</v>
      </c>
      <c r="I69" s="53" t="n">
        <v>427</v>
      </c>
      <c r="J69" s="53" t="n">
        <v>499</v>
      </c>
      <c r="K69" s="53" t="n">
        <v>247</v>
      </c>
      <c r="L69" s="53" t="n">
        <v>369</v>
      </c>
      <c r="M69" s="33">
        <f>F69-E69</f>
        <v/>
      </c>
      <c r="N69" s="33">
        <f>L69-K69</f>
        <v/>
      </c>
    </row>
    <row r="70">
      <c r="A70" s="58" t="inlineStr">
        <is>
          <t>1012 Uncorked Wines &amp; Spirits (West Milford)</t>
        </is>
      </c>
      <c r="B70" s="58" t="inlineStr">
        <is>
          <t>Passaic</t>
        </is>
      </c>
      <c r="C70" s="58" t="inlineStr">
        <is>
          <t>Anthony Palmisano</t>
        </is>
      </c>
      <c r="D70" s="58" t="inlineStr">
        <is>
          <t>Off-premise</t>
        </is>
      </c>
      <c r="E70" s="53" t="n">
        <v>5513</v>
      </c>
      <c r="F70" s="53" t="n">
        <v>5684</v>
      </c>
      <c r="G70" s="55" t="n">
        <v>34945.76</v>
      </c>
      <c r="H70" s="55" t="n">
        <v>35586.3</v>
      </c>
      <c r="I70" s="53" t="n">
        <v>2209</v>
      </c>
      <c r="J70" s="53" t="n">
        <v>2312</v>
      </c>
      <c r="K70" s="53" t="n">
        <v>935</v>
      </c>
      <c r="L70" s="53" t="n">
        <v>1055</v>
      </c>
      <c r="M70" s="33">
        <f>F70-E70</f>
        <v/>
      </c>
      <c r="N70" s="33">
        <f>L70-K70</f>
        <v/>
      </c>
    </row>
    <row r="71">
      <c r="A71" s="58" t="inlineStr">
        <is>
          <t>75002 Shop Rite Liq (A)Emerson</t>
        </is>
      </c>
      <c r="B71" s="58" t="inlineStr">
        <is>
          <t>Bergen</t>
        </is>
      </c>
      <c r="C71" s="58" t="inlineStr">
        <is>
          <t>Shane Barreca</t>
        </is>
      </c>
      <c r="D71" s="58" t="inlineStr">
        <is>
          <t>Off-premise</t>
        </is>
      </c>
      <c r="E71" s="53" t="n">
        <v>2873</v>
      </c>
      <c r="F71" s="53" t="n">
        <v>2991</v>
      </c>
      <c r="G71" s="55" t="n">
        <v>18810.08</v>
      </c>
      <c r="H71" s="55" t="n">
        <v>20090.96</v>
      </c>
      <c r="I71" s="53" t="n">
        <v>891</v>
      </c>
      <c r="J71" s="53" t="n">
        <v>906</v>
      </c>
      <c r="K71" s="53" t="n">
        <v>465</v>
      </c>
      <c r="L71" s="53" t="n">
        <v>585</v>
      </c>
      <c r="M71" s="33">
        <f>F71-E71</f>
        <v/>
      </c>
      <c r="N71" s="33">
        <f>L71-K71</f>
        <v/>
      </c>
    </row>
    <row r="72">
      <c r="A72" s="58" t="inlineStr">
        <is>
          <t>43001 City Supermarket</t>
        </is>
      </c>
      <c r="B72" s="58" t="inlineStr">
        <is>
          <t>Bergen</t>
        </is>
      </c>
      <c r="C72" s="58" t="inlineStr">
        <is>
          <t>Phil Ernst</t>
        </is>
      </c>
      <c r="D72" s="58" t="inlineStr">
        <is>
          <t>Off-premise</t>
        </is>
      </c>
      <c r="E72" s="53" t="n">
        <v>4406</v>
      </c>
      <c r="F72" s="53" t="n">
        <v>4877</v>
      </c>
      <c r="G72" s="55" t="n">
        <v>31182.55</v>
      </c>
      <c r="H72" s="55" t="n">
        <v>33874.04</v>
      </c>
      <c r="I72" s="53" t="n">
        <v>465</v>
      </c>
      <c r="J72" s="53" t="n">
        <v>553</v>
      </c>
      <c r="K72" s="53" t="n">
        <v>438</v>
      </c>
      <c r="L72" s="53" t="n">
        <v>556</v>
      </c>
      <c r="M72" s="33">
        <f>F72-E72</f>
        <v/>
      </c>
      <c r="N72" s="33">
        <f>L72-K72</f>
        <v/>
      </c>
    </row>
    <row r="73">
      <c r="A73" s="58" t="inlineStr">
        <is>
          <t>20060 Moya E.Bar&amp;Liq.(Z)</t>
        </is>
      </c>
      <c r="B73" s="58" t="inlineStr">
        <is>
          <t>Passaic</t>
        </is>
      </c>
      <c r="C73" s="58" t="inlineStr">
        <is>
          <t>Derrick Laws</t>
        </is>
      </c>
      <c r="D73" s="58" t="inlineStr">
        <is>
          <t>Off-premise</t>
        </is>
      </c>
      <c r="E73" s="53" t="n">
        <v>1406</v>
      </c>
      <c r="F73" s="53" t="n">
        <v>3059</v>
      </c>
      <c r="G73" s="55" t="n">
        <v>9442.880000000001</v>
      </c>
      <c r="H73" s="55" t="n">
        <v>22350.52</v>
      </c>
      <c r="I73" s="53" t="n">
        <v>0</v>
      </c>
      <c r="J73" s="53" t="n">
        <v>12</v>
      </c>
      <c r="K73" s="53" t="n">
        <v>40</v>
      </c>
      <c r="L73" s="53" t="n">
        <v>156</v>
      </c>
      <c r="M73" s="33">
        <f>F73-E73</f>
        <v/>
      </c>
      <c r="N73" s="33">
        <f>L73-K73</f>
        <v/>
      </c>
    </row>
    <row r="74">
      <c r="A74" s="58" t="inlineStr">
        <is>
          <t>25032 Liquor Mart 46</t>
        </is>
      </c>
      <c r="B74" s="58" t="inlineStr">
        <is>
          <t>Passaic</t>
        </is>
      </c>
      <c r="C74" s="58" t="inlineStr">
        <is>
          <t>Jim Heaney</t>
        </is>
      </c>
      <c r="D74" s="58" t="inlineStr">
        <is>
          <t>Off-premise</t>
        </is>
      </c>
      <c r="E74" s="53" t="n">
        <v>0</v>
      </c>
      <c r="F74" s="53" t="n">
        <v>746</v>
      </c>
      <c r="G74" s="55" t="n">
        <v>0</v>
      </c>
      <c r="H74" s="55" t="n">
        <v>5368.3</v>
      </c>
      <c r="I74" s="53" t="n">
        <v>0</v>
      </c>
      <c r="J74" s="53" t="n">
        <v>153</v>
      </c>
      <c r="K74" s="53" t="n">
        <v>0</v>
      </c>
      <c r="L74" s="53" t="n">
        <v>115</v>
      </c>
      <c r="M74" s="33">
        <f>F74-E74</f>
        <v/>
      </c>
      <c r="N74" s="33">
        <f>L74-K74</f>
        <v/>
      </c>
    </row>
    <row r="75">
      <c r="A75" s="58" t="inlineStr">
        <is>
          <t>44016 Liquor City(A)Cliffside</t>
        </is>
      </c>
      <c r="B75" s="58" t="inlineStr">
        <is>
          <t>Bergen</t>
        </is>
      </c>
      <c r="C75" s="58" t="inlineStr">
        <is>
          <t>Dan Lagala</t>
        </is>
      </c>
      <c r="D75" s="58" t="inlineStr">
        <is>
          <t>Off-premise</t>
        </is>
      </c>
      <c r="E75" s="53" t="n">
        <v>4357</v>
      </c>
      <c r="F75" s="53" t="n">
        <v>4609</v>
      </c>
      <c r="G75" s="55" t="n">
        <v>30094.95</v>
      </c>
      <c r="H75" s="55" t="n">
        <v>32116.61</v>
      </c>
      <c r="I75" s="53" t="n">
        <v>407</v>
      </c>
      <c r="J75" s="53" t="n">
        <v>472</v>
      </c>
      <c r="K75" s="53" t="n">
        <v>466</v>
      </c>
      <c r="L75" s="53" t="n">
        <v>580</v>
      </c>
      <c r="M75" s="33">
        <f>F75-E75</f>
        <v/>
      </c>
      <c r="N75" s="33">
        <f>L75-K75</f>
        <v/>
      </c>
    </row>
    <row r="76">
      <c r="A76" s="58" t="inlineStr">
        <is>
          <t>15016 Gene's Liquor</t>
        </is>
      </c>
      <c r="B76" s="58" t="inlineStr">
        <is>
          <t>Passaic</t>
        </is>
      </c>
      <c r="C76" s="58" t="inlineStr">
        <is>
          <t>Pablo Lopez</t>
        </is>
      </c>
      <c r="D76" s="58" t="inlineStr">
        <is>
          <t>Off-premise</t>
        </is>
      </c>
      <c r="E76" s="53" t="n">
        <v>4171</v>
      </c>
      <c r="F76" s="53" t="n">
        <v>4711</v>
      </c>
      <c r="G76" s="55" t="n">
        <v>25993.33</v>
      </c>
      <c r="H76" s="55" t="n">
        <v>31535.55</v>
      </c>
      <c r="I76" s="53" t="n">
        <v>355</v>
      </c>
      <c r="J76" s="53" t="n">
        <v>405</v>
      </c>
      <c r="K76" s="53" t="n">
        <v>299</v>
      </c>
      <c r="L76" s="53" t="n">
        <v>409</v>
      </c>
      <c r="M76" s="33">
        <f>F76-E76</f>
        <v/>
      </c>
      <c r="N76" s="33">
        <f>L76-K76</f>
        <v/>
      </c>
    </row>
    <row r="77">
      <c r="A77" s="58" t="inlineStr">
        <is>
          <t>51008 H &amp; R Disc. Liq (P)</t>
        </is>
      </c>
      <c r="B77" s="58" t="inlineStr">
        <is>
          <t>Bergen</t>
        </is>
      </c>
      <c r="C77" s="58" t="inlineStr">
        <is>
          <t>Dave Ehlers</t>
        </is>
      </c>
      <c r="D77" s="58" t="inlineStr">
        <is>
          <t>Off-premise</t>
        </is>
      </c>
      <c r="E77" s="53" t="n">
        <v>2217</v>
      </c>
      <c r="F77" s="53" t="n">
        <v>2440</v>
      </c>
      <c r="G77" s="55" t="n">
        <v>14528.49</v>
      </c>
      <c r="H77" s="55" t="n">
        <v>16601.37</v>
      </c>
      <c r="I77" s="53" t="n">
        <v>377</v>
      </c>
      <c r="J77" s="53" t="n">
        <v>371</v>
      </c>
      <c r="K77" s="53" t="n">
        <v>352</v>
      </c>
      <c r="L77" s="53" t="n">
        <v>461</v>
      </c>
      <c r="M77" s="33">
        <f>F77-E77</f>
        <v/>
      </c>
      <c r="N77" s="33">
        <f>L77-K77</f>
        <v/>
      </c>
    </row>
    <row r="78">
      <c r="A78" s="58" t="inlineStr">
        <is>
          <t>60003 Charlie's Liquor and Convenience</t>
        </is>
      </c>
      <c r="B78" s="58" t="inlineStr">
        <is>
          <t>Bergen</t>
        </is>
      </c>
      <c r="C78" s="58" t="inlineStr">
        <is>
          <t>John O'Donoghue</t>
        </is>
      </c>
      <c r="D78" s="58" t="inlineStr">
        <is>
          <t>Off-premise</t>
        </is>
      </c>
      <c r="E78" s="53" t="n">
        <v>268</v>
      </c>
      <c r="F78" s="53" t="n">
        <v>526</v>
      </c>
      <c r="G78" s="55" t="n">
        <v>2051.84</v>
      </c>
      <c r="H78" s="55" t="n">
        <v>3896.25</v>
      </c>
      <c r="I78" s="53" t="n">
        <v>46</v>
      </c>
      <c r="J78" s="53" t="n">
        <v>151</v>
      </c>
      <c r="K78" s="53" t="n">
        <v>30</v>
      </c>
      <c r="L78" s="53" t="n">
        <v>139</v>
      </c>
      <c r="M78" s="33">
        <f>F78-E78</f>
        <v/>
      </c>
      <c r="N78" s="33">
        <f>L78-K78</f>
        <v/>
      </c>
    </row>
    <row r="79">
      <c r="A79" s="58" t="inlineStr">
        <is>
          <t>29004 Shop-Rite Liq Lyndhurst</t>
        </is>
      </c>
      <c r="B79" s="58" t="inlineStr">
        <is>
          <t>Bergen</t>
        </is>
      </c>
      <c r="C79" s="58" t="inlineStr">
        <is>
          <t>Phil Ernst</t>
        </is>
      </c>
      <c r="D79" s="58" t="inlineStr">
        <is>
          <t>Off-premise</t>
        </is>
      </c>
      <c r="E79" s="53" t="n">
        <v>4226</v>
      </c>
      <c r="F79" s="53" t="n">
        <v>4410</v>
      </c>
      <c r="G79" s="55" t="n">
        <v>27356.66</v>
      </c>
      <c r="H79" s="55" t="n">
        <v>29929.98</v>
      </c>
      <c r="I79" s="53" t="n">
        <v>1655</v>
      </c>
      <c r="J79" s="53" t="n">
        <v>1908</v>
      </c>
      <c r="K79" s="53" t="n">
        <v>656</v>
      </c>
      <c r="L79" s="53" t="n">
        <v>765</v>
      </c>
      <c r="M79" s="33">
        <f>F79-E79</f>
        <v/>
      </c>
      <c r="N79" s="33">
        <f>L79-K79</f>
        <v/>
      </c>
    </row>
    <row r="80">
      <c r="A80" s="58" t="inlineStr">
        <is>
          <t>71003 Brand Bar &amp; Bev (A)</t>
        </is>
      </c>
      <c r="B80" s="58" t="inlineStr">
        <is>
          <t>Bergen</t>
        </is>
      </c>
      <c r="C80" s="58" t="inlineStr">
        <is>
          <t>Shane Barreca</t>
        </is>
      </c>
      <c r="D80" s="58" t="inlineStr">
        <is>
          <t>Off-premise</t>
        </is>
      </c>
      <c r="E80" s="53" t="n">
        <v>2630</v>
      </c>
      <c r="F80" s="53" t="n">
        <v>2738</v>
      </c>
      <c r="G80" s="55" t="n">
        <v>17360.73</v>
      </c>
      <c r="H80" s="55" t="n">
        <v>18850.96</v>
      </c>
      <c r="I80" s="53" t="n">
        <v>548</v>
      </c>
      <c r="J80" s="53" t="n">
        <v>426</v>
      </c>
      <c r="K80" s="53" t="n">
        <v>461</v>
      </c>
      <c r="L80" s="53" t="n">
        <v>570</v>
      </c>
      <c r="M80" s="33">
        <f>F80-E80</f>
        <v/>
      </c>
      <c r="N80" s="33">
        <f>L80-K80</f>
        <v/>
      </c>
    </row>
    <row r="81">
      <c r="A81" s="58" t="inlineStr">
        <is>
          <t>27008 Bermuda Liquors (P)</t>
        </is>
      </c>
      <c r="B81" s="58" t="inlineStr">
        <is>
          <t>Passaic</t>
        </is>
      </c>
      <c r="C81" s="58" t="inlineStr">
        <is>
          <t>Javier Melo</t>
        </is>
      </c>
      <c r="D81" s="58" t="inlineStr">
        <is>
          <t>Off-premise</t>
        </is>
      </c>
      <c r="E81" s="53" t="n">
        <v>3759</v>
      </c>
      <c r="F81" s="53" t="n">
        <v>3577</v>
      </c>
      <c r="G81" s="55" t="n">
        <v>23357.08</v>
      </c>
      <c r="H81" s="55" t="n">
        <v>23503.67</v>
      </c>
      <c r="I81" s="53" t="n">
        <v>359</v>
      </c>
      <c r="J81" s="53" t="n">
        <v>415</v>
      </c>
      <c r="K81" s="53" t="n">
        <v>667</v>
      </c>
      <c r="L81" s="53" t="n">
        <v>775</v>
      </c>
      <c r="M81" s="33">
        <f>F81-E81</f>
        <v/>
      </c>
      <c r="N81" s="33">
        <f>L81-K81</f>
        <v/>
      </c>
    </row>
    <row r="82">
      <c r="A82" s="58" t="inlineStr">
        <is>
          <t>8005 Empire Wine &amp; Liquor</t>
        </is>
      </c>
      <c r="B82" s="58" t="inlineStr">
        <is>
          <t>Passaic</t>
        </is>
      </c>
      <c r="C82" s="58" t="inlineStr">
        <is>
          <t>Anthony Palmisano</t>
        </is>
      </c>
      <c r="D82" s="58" t="inlineStr">
        <is>
          <t>Off-premise</t>
        </is>
      </c>
      <c r="E82" s="53" t="n">
        <v>1043</v>
      </c>
      <c r="F82" s="53" t="n">
        <v>1083</v>
      </c>
      <c r="G82" s="55" t="n">
        <v>7812.73</v>
      </c>
      <c r="H82" s="55" t="n">
        <v>7936.74</v>
      </c>
      <c r="I82" s="53" t="n">
        <v>208</v>
      </c>
      <c r="J82" s="53" t="n">
        <v>341</v>
      </c>
      <c r="K82" s="53" t="n">
        <v>180</v>
      </c>
      <c r="L82" s="53" t="n">
        <v>286</v>
      </c>
      <c r="M82" s="33">
        <f>F82-E82</f>
        <v/>
      </c>
      <c r="N82" s="33">
        <f>L82-K82</f>
        <v/>
      </c>
    </row>
    <row r="83">
      <c r="A83" s="58" t="inlineStr">
        <is>
          <t>56013 Time Lounge And Liq (A)</t>
        </is>
      </c>
      <c r="B83" s="58" t="inlineStr">
        <is>
          <t>Bergen</t>
        </is>
      </c>
      <c r="C83" s="58" t="inlineStr">
        <is>
          <t>Dave Ehlers</t>
        </is>
      </c>
      <c r="D83" s="58" t="inlineStr">
        <is>
          <t>Off-premise</t>
        </is>
      </c>
      <c r="E83" s="53" t="n">
        <v>2801</v>
      </c>
      <c r="F83" s="53" t="n">
        <v>3123</v>
      </c>
      <c r="G83" s="55" t="n">
        <v>19726.17</v>
      </c>
      <c r="H83" s="55" t="n">
        <v>21844.59</v>
      </c>
      <c r="I83" s="53" t="n">
        <v>344</v>
      </c>
      <c r="J83" s="53" t="n">
        <v>376</v>
      </c>
      <c r="K83" s="53" t="n">
        <v>356</v>
      </c>
      <c r="L83" s="53" t="n">
        <v>462</v>
      </c>
      <c r="M83" s="33">
        <f>F83-E83</f>
        <v/>
      </c>
      <c r="N83" s="33">
        <f>L83-K83</f>
        <v/>
      </c>
    </row>
    <row r="84">
      <c r="A84" s="58" t="inlineStr">
        <is>
          <t>43005 Rome Liquors (Fairview)</t>
        </is>
      </c>
      <c r="B84" s="58" t="inlineStr">
        <is>
          <t>Bergen</t>
        </is>
      </c>
      <c r="C84" s="58" t="inlineStr">
        <is>
          <t>Dan Lagala</t>
        </is>
      </c>
      <c r="D84" s="58" t="inlineStr">
        <is>
          <t>Off-premise</t>
        </is>
      </c>
      <c r="E84" s="53" t="n">
        <v>4410</v>
      </c>
      <c r="F84" s="53" t="n">
        <v>3899</v>
      </c>
      <c r="G84" s="55" t="n">
        <v>28672.8</v>
      </c>
      <c r="H84" s="55" t="n">
        <v>26767.36</v>
      </c>
      <c r="I84" s="53" t="n">
        <v>322</v>
      </c>
      <c r="J84" s="53" t="n">
        <v>342</v>
      </c>
      <c r="K84" s="53" t="n">
        <v>427</v>
      </c>
      <c r="L84" s="53" t="n">
        <v>530</v>
      </c>
      <c r="M84" s="33">
        <f>F84-E84</f>
        <v/>
      </c>
      <c r="N84" s="33">
        <f>L84-K84</f>
        <v/>
      </c>
    </row>
    <row r="85">
      <c r="A85" s="58" t="inlineStr">
        <is>
          <t>230441 Wine Country Newton</t>
        </is>
      </c>
      <c r="B85" s="58" t="inlineStr">
        <is>
          <t>Sussex</t>
        </is>
      </c>
      <c r="C85" s="58" t="inlineStr">
        <is>
          <t>Jayson Romine</t>
        </is>
      </c>
      <c r="D85" s="58" t="inlineStr">
        <is>
          <t>Off-premise</t>
        </is>
      </c>
      <c r="E85" s="53" t="n">
        <v>2237</v>
      </c>
      <c r="F85" s="53" t="n">
        <v>2104</v>
      </c>
      <c r="G85" s="55" t="n">
        <v>13865.65</v>
      </c>
      <c r="H85" s="55" t="n">
        <v>13079.46</v>
      </c>
      <c r="I85" s="53" t="n">
        <v>738</v>
      </c>
      <c r="J85" s="53" t="n">
        <v>860</v>
      </c>
      <c r="K85" s="53" t="n">
        <v>209</v>
      </c>
      <c r="L85" s="53" t="n">
        <v>311</v>
      </c>
      <c r="M85" s="33">
        <f>F85-E85</f>
        <v/>
      </c>
      <c r="N85" s="33">
        <f>L85-K85</f>
        <v/>
      </c>
    </row>
    <row r="86">
      <c r="A86" s="58" t="inlineStr">
        <is>
          <t>190913 Main Street Liquor</t>
        </is>
      </c>
      <c r="B86" s="58" t="inlineStr">
        <is>
          <t>Morris</t>
        </is>
      </c>
      <c r="C86" s="58" t="inlineStr">
        <is>
          <t>Klejdi Lamo</t>
        </is>
      </c>
      <c r="D86" s="58" t="inlineStr">
        <is>
          <t>Off-premise</t>
        </is>
      </c>
      <c r="E86" s="53" t="n">
        <v>1960</v>
      </c>
      <c r="F86" s="53" t="n">
        <v>2259</v>
      </c>
      <c r="G86" s="55" t="n">
        <v>13925.32</v>
      </c>
      <c r="H86" s="55" t="n">
        <v>16062.4</v>
      </c>
      <c r="I86" s="53" t="n">
        <v>234</v>
      </c>
      <c r="J86" s="53" t="n">
        <v>278</v>
      </c>
      <c r="K86" s="53" t="n">
        <v>215</v>
      </c>
      <c r="L86" s="53" t="n">
        <v>317</v>
      </c>
      <c r="M86" s="33">
        <f>F86-E86</f>
        <v/>
      </c>
      <c r="N86" s="33">
        <f>L86-K86</f>
        <v/>
      </c>
    </row>
    <row r="87">
      <c r="A87" s="58" t="inlineStr">
        <is>
          <t>26014 Regalado Liq</t>
        </is>
      </c>
      <c r="B87" s="58" t="inlineStr">
        <is>
          <t>Passaic</t>
        </is>
      </c>
      <c r="C87" s="58" t="inlineStr">
        <is>
          <t>Pablo Lopez</t>
        </is>
      </c>
      <c r="D87" s="58" t="inlineStr">
        <is>
          <t>Off-premise</t>
        </is>
      </c>
      <c r="E87" s="53" t="n">
        <v>5117</v>
      </c>
      <c r="F87" s="53" t="n">
        <v>4743</v>
      </c>
      <c r="G87" s="55" t="n">
        <v>34211.02</v>
      </c>
      <c r="H87" s="55" t="n">
        <v>33126.06999999999</v>
      </c>
      <c r="I87" s="53" t="n">
        <v>1040</v>
      </c>
      <c r="J87" s="53" t="n">
        <v>732</v>
      </c>
      <c r="K87" s="53" t="n">
        <v>1311</v>
      </c>
      <c r="L87" s="53" t="n">
        <v>1413</v>
      </c>
      <c r="M87" s="33">
        <f>F87-E87</f>
        <v/>
      </c>
      <c r="N87" s="33">
        <f>L87-K87</f>
        <v/>
      </c>
    </row>
    <row r="88">
      <c r="A88" s="58" t="inlineStr">
        <is>
          <t>57001 Barrel &amp; Brew Bar &amp; Liq</t>
        </is>
      </c>
      <c r="B88" s="58" t="inlineStr">
        <is>
          <t>Bergen</t>
        </is>
      </c>
      <c r="C88" s="58" t="inlineStr">
        <is>
          <t>Dave Ehlers</t>
        </is>
      </c>
      <c r="D88" s="58" t="inlineStr">
        <is>
          <t>Off-premise</t>
        </is>
      </c>
      <c r="E88" s="53" t="n">
        <v>1018</v>
      </c>
      <c r="F88" s="53" t="n">
        <v>1247</v>
      </c>
      <c r="G88" s="55" t="n">
        <v>8835.789999999999</v>
      </c>
      <c r="H88" s="55" t="n">
        <v>11155.25</v>
      </c>
      <c r="I88" s="53" t="n">
        <v>181</v>
      </c>
      <c r="J88" s="53" t="n">
        <v>274</v>
      </c>
      <c r="K88" s="53" t="n">
        <v>105</v>
      </c>
      <c r="L88" s="53" t="n">
        <v>203</v>
      </c>
      <c r="M88" s="33">
        <f>F88-E88</f>
        <v/>
      </c>
      <c r="N88" s="33">
        <f>L88-K88</f>
        <v/>
      </c>
    </row>
    <row r="89">
      <c r="A89" s="58" t="inlineStr">
        <is>
          <t>44010 Garden State Food&amp;Liq (P)</t>
        </is>
      </c>
      <c r="B89" s="58" t="inlineStr">
        <is>
          <t>Bergen</t>
        </is>
      </c>
      <c r="C89" s="58" t="inlineStr">
        <is>
          <t>Dan Lagala</t>
        </is>
      </c>
      <c r="D89" s="58" t="inlineStr">
        <is>
          <t>Off-premise</t>
        </is>
      </c>
      <c r="E89" s="53" t="n">
        <v>2342</v>
      </c>
      <c r="F89" s="53" t="n">
        <v>2024</v>
      </c>
      <c r="G89" s="55" t="n">
        <v>15377.1</v>
      </c>
      <c r="H89" s="55" t="n">
        <v>13983.05</v>
      </c>
      <c r="I89" s="53" t="n">
        <v>320</v>
      </c>
      <c r="J89" s="53" t="n">
        <v>342</v>
      </c>
      <c r="K89" s="53" t="n">
        <v>272</v>
      </c>
      <c r="L89" s="53" t="n">
        <v>369</v>
      </c>
      <c r="M89" s="33">
        <f>F89-E89</f>
        <v/>
      </c>
      <c r="N89" s="33">
        <f>L89-K89</f>
        <v/>
      </c>
    </row>
    <row r="90">
      <c r="A90" s="58" t="inlineStr">
        <is>
          <t>20069 Segundo's (P)</t>
        </is>
      </c>
      <c r="B90" s="58" t="inlineStr">
        <is>
          <t>Passaic</t>
        </is>
      </c>
      <c r="C90" s="58" t="inlineStr">
        <is>
          <t>Javier Melo</t>
        </is>
      </c>
      <c r="D90" s="58" t="inlineStr">
        <is>
          <t>Off-premise</t>
        </is>
      </c>
      <c r="E90" s="53" t="n">
        <v>2687</v>
      </c>
      <c r="F90" s="53" t="n">
        <v>2501</v>
      </c>
      <c r="G90" s="55" t="n">
        <v>16846.28</v>
      </c>
      <c r="H90" s="55" t="n">
        <v>16516.05</v>
      </c>
      <c r="I90" s="53" t="n">
        <v>120</v>
      </c>
      <c r="J90" s="53" t="n">
        <v>88</v>
      </c>
      <c r="K90" s="53" t="n">
        <v>203</v>
      </c>
      <c r="L90" s="53" t="n">
        <v>300</v>
      </c>
      <c r="M90" s="33">
        <f>F90-E90</f>
        <v/>
      </c>
      <c r="N90" s="33">
        <f>L90-K90</f>
        <v/>
      </c>
    </row>
    <row r="91">
      <c r="A91" s="58" t="inlineStr">
        <is>
          <t>17010 Frank's Fine Wine &amp; Foods</t>
        </is>
      </c>
      <c r="B91" s="58" t="inlineStr">
        <is>
          <t>Passaic</t>
        </is>
      </c>
      <c r="C91" s="58" t="inlineStr">
        <is>
          <t>Mike Ast</t>
        </is>
      </c>
      <c r="D91" s="58" t="inlineStr">
        <is>
          <t>Off-premise</t>
        </is>
      </c>
      <c r="E91" s="53" t="n">
        <v>5105</v>
      </c>
      <c r="F91" s="53" t="n">
        <v>5373</v>
      </c>
      <c r="G91" s="55" t="n">
        <v>34639.44</v>
      </c>
      <c r="H91" s="55" t="n">
        <v>37422.79</v>
      </c>
      <c r="I91" s="53" t="n">
        <v>897</v>
      </c>
      <c r="J91" s="53" t="n">
        <v>1011</v>
      </c>
      <c r="K91" s="53" t="n">
        <v>505</v>
      </c>
      <c r="L91" s="53" t="n">
        <v>601</v>
      </c>
      <c r="M91" s="33">
        <f>F91-E91</f>
        <v/>
      </c>
      <c r="N91" s="33">
        <f>L91-K91</f>
        <v/>
      </c>
    </row>
    <row r="92">
      <c r="A92" s="58" t="inlineStr">
        <is>
          <t>80018 Millers Paramus Ale House</t>
        </is>
      </c>
      <c r="B92" s="58" t="inlineStr">
        <is>
          <t>Bergen</t>
        </is>
      </c>
      <c r="C92" s="58" t="inlineStr">
        <is>
          <t>Nick Melissari</t>
        </is>
      </c>
      <c r="D92" s="58" t="inlineStr">
        <is>
          <t>On-premise</t>
        </is>
      </c>
      <c r="E92" s="53" t="n">
        <v>1536</v>
      </c>
      <c r="F92" s="53" t="n">
        <v>1829</v>
      </c>
      <c r="G92" s="55" t="n">
        <v>10572.22</v>
      </c>
      <c r="H92" s="55" t="n">
        <v>12623.58</v>
      </c>
      <c r="I92" s="53" t="n">
        <v>350</v>
      </c>
      <c r="J92" s="53" t="n">
        <v>496</v>
      </c>
      <c r="K92" s="53" t="n">
        <v>183</v>
      </c>
      <c r="L92" s="53" t="n">
        <v>279</v>
      </c>
      <c r="M92" s="33">
        <f>F92-E92</f>
        <v/>
      </c>
      <c r="N92" s="33">
        <f>L92-K92</f>
        <v/>
      </c>
    </row>
    <row r="93">
      <c r="A93" s="58" t="inlineStr">
        <is>
          <t>93003 Mahwah Liqrs (P)</t>
        </is>
      </c>
      <c r="B93" s="58" t="inlineStr">
        <is>
          <t>Bergen</t>
        </is>
      </c>
      <c r="C93" s="58" t="inlineStr">
        <is>
          <t>Mike Ast</t>
        </is>
      </c>
      <c r="D93" s="58" t="inlineStr">
        <is>
          <t>Off-premise</t>
        </is>
      </c>
      <c r="E93" s="53" t="n">
        <v>3140</v>
      </c>
      <c r="F93" s="53" t="n">
        <v>3388</v>
      </c>
      <c r="G93" s="55" t="n">
        <v>20779.1</v>
      </c>
      <c r="H93" s="55" t="n">
        <v>22999.28</v>
      </c>
      <c r="I93" s="53" t="n">
        <v>765</v>
      </c>
      <c r="J93" s="53" t="n">
        <v>868</v>
      </c>
      <c r="K93" s="53" t="n">
        <v>277</v>
      </c>
      <c r="L93" s="53" t="n">
        <v>372</v>
      </c>
      <c r="M93" s="33">
        <f>F93-E93</f>
        <v/>
      </c>
      <c r="N93" s="33">
        <f>L93-K93</f>
        <v/>
      </c>
    </row>
    <row r="94">
      <c r="A94" s="58" t="inlineStr">
        <is>
          <t>44040 Stop N Go Conven. (P)</t>
        </is>
      </c>
      <c r="B94" s="58" t="inlineStr">
        <is>
          <t>Bergen</t>
        </is>
      </c>
      <c r="C94" s="58" t="inlineStr">
        <is>
          <t>Dan Lagala</t>
        </is>
      </c>
      <c r="D94" s="58" t="inlineStr">
        <is>
          <t>Off-premise</t>
        </is>
      </c>
      <c r="E94" s="53" t="n">
        <v>3285</v>
      </c>
      <c r="F94" s="53" t="n">
        <v>3188</v>
      </c>
      <c r="G94" s="55" t="n">
        <v>21670.65</v>
      </c>
      <c r="H94" s="55" t="n">
        <v>21791.69</v>
      </c>
      <c r="I94" s="53" t="n">
        <v>180</v>
      </c>
      <c r="J94" s="53" t="n">
        <v>160</v>
      </c>
      <c r="K94" s="53" t="n">
        <v>235</v>
      </c>
      <c r="L94" s="53" t="n">
        <v>329</v>
      </c>
      <c r="M94" s="33">
        <f>F94-E94</f>
        <v/>
      </c>
      <c r="N94" s="33">
        <f>L94-K94</f>
        <v/>
      </c>
    </row>
    <row r="95">
      <c r="A95" s="58" t="inlineStr">
        <is>
          <t>170137 Giannone Wine &amp; Liq(#2)</t>
        </is>
      </c>
      <c r="B95" s="58" t="inlineStr">
        <is>
          <t>Hudson</t>
        </is>
      </c>
      <c r="C95" s="58" t="inlineStr">
        <is>
          <t>Jaime Colonna</t>
        </is>
      </c>
      <c r="D95" s="58" t="inlineStr">
        <is>
          <t>Off-premise</t>
        </is>
      </c>
      <c r="E95" s="53" t="n">
        <v>0</v>
      </c>
      <c r="F95" s="53" t="n">
        <v>94</v>
      </c>
      <c r="G95" s="55" t="n">
        <v>0</v>
      </c>
      <c r="H95" s="55" t="n">
        <v>633.34</v>
      </c>
      <c r="I95" s="53" t="n">
        <v>0</v>
      </c>
      <c r="J95" s="53" t="n">
        <v>481</v>
      </c>
      <c r="K95" s="53" t="n">
        <v>0</v>
      </c>
      <c r="L95" s="53" t="n">
        <v>94</v>
      </c>
      <c r="M95" s="33">
        <f>F95-E95</f>
        <v/>
      </c>
      <c r="N95" s="33">
        <f>L95-K95</f>
        <v/>
      </c>
    </row>
    <row r="96">
      <c r="A96" s="58" t="inlineStr">
        <is>
          <t>88004 Discount Liq (P)_2</t>
        </is>
      </c>
      <c r="B96" s="58" t="inlineStr">
        <is>
          <t>Bergen</t>
        </is>
      </c>
      <c r="C96" s="58" t="inlineStr">
        <is>
          <t>Mike Ast</t>
        </is>
      </c>
      <c r="D96" s="58" t="inlineStr">
        <is>
          <t>Off-premise</t>
        </is>
      </c>
      <c r="E96" s="53" t="n">
        <v>2000</v>
      </c>
      <c r="F96" s="53" t="n">
        <v>1765</v>
      </c>
      <c r="G96" s="55" t="n">
        <v>12375.02</v>
      </c>
      <c r="H96" s="55" t="n">
        <v>11020.28</v>
      </c>
      <c r="I96" s="53" t="n">
        <v>470</v>
      </c>
      <c r="J96" s="53" t="n">
        <v>451</v>
      </c>
      <c r="K96" s="53" t="n">
        <v>208</v>
      </c>
      <c r="L96" s="53" t="n">
        <v>301</v>
      </c>
      <c r="M96" s="33">
        <f>F96-E96</f>
        <v/>
      </c>
      <c r="N96" s="33">
        <f>L96-K96</f>
        <v/>
      </c>
    </row>
    <row r="97">
      <c r="A97" s="58" t="inlineStr">
        <is>
          <t>49063 COV</t>
        </is>
      </c>
      <c r="B97" s="58" t="inlineStr">
        <is>
          <t>Bergen</t>
        </is>
      </c>
      <c r="C97" s="58" t="inlineStr">
        <is>
          <t>Nick Melissari</t>
        </is>
      </c>
      <c r="D97" s="58" t="inlineStr">
        <is>
          <t>On-premise</t>
        </is>
      </c>
      <c r="E97" s="53" t="n">
        <v>0</v>
      </c>
      <c r="F97" s="53" t="n">
        <v>170</v>
      </c>
      <c r="G97" s="55" t="n">
        <v>0</v>
      </c>
      <c r="H97" s="55" t="n">
        <v>1324.41</v>
      </c>
      <c r="I97" s="53" t="n">
        <v>0</v>
      </c>
      <c r="J97" s="53" t="n">
        <v>50</v>
      </c>
      <c r="K97" s="53" t="n">
        <v>0</v>
      </c>
      <c r="L97" s="53" t="n">
        <v>93</v>
      </c>
      <c r="M97" s="33">
        <f>F97-E97</f>
        <v/>
      </c>
      <c r="N97" s="33">
        <f>L97-K97</f>
        <v/>
      </c>
    </row>
    <row r="98">
      <c r="A98" s="58" t="inlineStr">
        <is>
          <t>22024 Edwards (P) Wine &amp; Liq</t>
        </is>
      </c>
      <c r="B98" s="58" t="inlineStr">
        <is>
          <t>Passaic</t>
        </is>
      </c>
      <c r="C98" s="58" t="inlineStr">
        <is>
          <t>Javier Melo</t>
        </is>
      </c>
      <c r="D98" s="58" t="inlineStr">
        <is>
          <t>Off-premise</t>
        </is>
      </c>
      <c r="E98" s="53" t="n">
        <v>4097</v>
      </c>
      <c r="F98" s="53" t="n">
        <v>3658</v>
      </c>
      <c r="G98" s="55" t="n">
        <v>25870.22</v>
      </c>
      <c r="H98" s="55" t="n">
        <v>25108.87</v>
      </c>
      <c r="I98" s="53" t="n">
        <v>278</v>
      </c>
      <c r="J98" s="53" t="n">
        <v>322</v>
      </c>
      <c r="K98" s="53" t="n">
        <v>460</v>
      </c>
      <c r="L98" s="53" t="n">
        <v>552</v>
      </c>
      <c r="M98" s="33">
        <f>F98-E98</f>
        <v/>
      </c>
      <c r="N98" s="33">
        <f>L98-K98</f>
        <v/>
      </c>
    </row>
    <row r="99">
      <c r="A99" s="58" t="inlineStr">
        <is>
          <t>11005 Wolfson Market</t>
        </is>
      </c>
      <c r="B99" s="58" t="inlineStr">
        <is>
          <t>Morris</t>
        </is>
      </c>
      <c r="C99" s="58" t="inlineStr">
        <is>
          <t>Michael Harboy</t>
        </is>
      </c>
      <c r="D99" s="58" t="inlineStr">
        <is>
          <t>Off-premise</t>
        </is>
      </c>
      <c r="E99" s="53" t="n">
        <v>1747</v>
      </c>
      <c r="F99" s="53" t="n">
        <v>1788</v>
      </c>
      <c r="G99" s="55" t="n">
        <v>11888.17</v>
      </c>
      <c r="H99" s="55" t="n">
        <v>12536.97</v>
      </c>
      <c r="I99" s="53" t="n">
        <v>336</v>
      </c>
      <c r="J99" s="53" t="n">
        <v>366</v>
      </c>
      <c r="K99" s="53" t="n">
        <v>142</v>
      </c>
      <c r="L99" s="53" t="n">
        <v>234</v>
      </c>
      <c r="M99" s="33">
        <f>F99-E99</f>
        <v/>
      </c>
      <c r="N99" s="33">
        <f>L99-K99</f>
        <v/>
      </c>
    </row>
    <row r="100">
      <c r="A100" s="58" t="inlineStr">
        <is>
          <t>190304 Shoppers Disc Liquor</t>
        </is>
      </c>
      <c r="B100" s="58" t="inlineStr">
        <is>
          <t>Morris</t>
        </is>
      </c>
      <c r="C100" s="58" t="inlineStr">
        <is>
          <t>Klejdi Lamo</t>
        </is>
      </c>
      <c r="D100" s="58" t="inlineStr">
        <is>
          <t>Off-premise</t>
        </is>
      </c>
      <c r="E100" s="53" t="n">
        <v>3724</v>
      </c>
      <c r="F100" s="53" t="n">
        <v>3611</v>
      </c>
      <c r="G100" s="55" t="n">
        <v>24291.8</v>
      </c>
      <c r="H100" s="55" t="n">
        <v>24467.95</v>
      </c>
      <c r="I100" s="53" t="n">
        <v>467</v>
      </c>
      <c r="J100" s="53" t="n">
        <v>556</v>
      </c>
      <c r="K100" s="53" t="n">
        <v>708</v>
      </c>
      <c r="L100" s="53" t="n">
        <v>799</v>
      </c>
      <c r="M100" s="33">
        <f>F100-E100</f>
        <v/>
      </c>
      <c r="N100" s="33">
        <f>L100-K100</f>
        <v/>
      </c>
    </row>
    <row r="101">
      <c r="A101" s="58" t="inlineStr">
        <is>
          <t>31054 Burger Shack</t>
        </is>
      </c>
      <c r="B101" s="58" t="inlineStr">
        <is>
          <t>Bergen</t>
        </is>
      </c>
      <c r="C101" s="58" t="inlineStr">
        <is>
          <t>Nick Melissari</t>
        </is>
      </c>
      <c r="D101" s="58" t="inlineStr">
        <is>
          <t>On-premise</t>
        </is>
      </c>
      <c r="E101" s="53" t="n">
        <v>251</v>
      </c>
      <c r="F101" s="53" t="n">
        <v>636</v>
      </c>
      <c r="G101" s="55" t="n">
        <v>1558.8</v>
      </c>
      <c r="H101" s="55" t="n">
        <v>4901.049999999999</v>
      </c>
      <c r="I101" s="53" t="n">
        <v>40</v>
      </c>
      <c r="J101" s="53" t="n">
        <v>105</v>
      </c>
      <c r="K101" s="53" t="n">
        <v>0</v>
      </c>
      <c r="L101" s="53" t="n">
        <v>91</v>
      </c>
      <c r="M101" s="33">
        <f>F101-E101</f>
        <v/>
      </c>
      <c r="N101" s="33">
        <f>L101-K101</f>
        <v/>
      </c>
    </row>
    <row r="102">
      <c r="A102" s="58" t="inlineStr">
        <is>
          <t>39012 Wine And Liq Depot(A)</t>
        </is>
      </c>
      <c r="B102" s="58" t="inlineStr">
        <is>
          <t>Bergen</t>
        </is>
      </c>
      <c r="C102" s="58" t="inlineStr">
        <is>
          <t>Dave Ehlers</t>
        </is>
      </c>
      <c r="D102" s="58" t="inlineStr">
        <is>
          <t>Off-premise</t>
        </is>
      </c>
      <c r="E102" s="53" t="n">
        <v>7134</v>
      </c>
      <c r="F102" s="53" t="n">
        <v>6404</v>
      </c>
      <c r="G102" s="55" t="n">
        <v>50003.67999999999</v>
      </c>
      <c r="H102" s="55" t="n">
        <v>45535.25000000001</v>
      </c>
      <c r="I102" s="53" t="n">
        <v>583</v>
      </c>
      <c r="J102" s="53" t="n">
        <v>619</v>
      </c>
      <c r="K102" s="53" t="n">
        <v>982</v>
      </c>
      <c r="L102" s="53" t="n">
        <v>1071</v>
      </c>
      <c r="M102" s="33">
        <f>F102-E102</f>
        <v/>
      </c>
      <c r="N102" s="33">
        <f>L102-K102</f>
        <v/>
      </c>
    </row>
    <row r="103">
      <c r="A103" s="58" t="inlineStr">
        <is>
          <t>24002 Swizzle Stick Liq (A)</t>
        </is>
      </c>
      <c r="B103" s="58" t="inlineStr">
        <is>
          <t>Passaic</t>
        </is>
      </c>
      <c r="C103" s="58" t="inlineStr">
        <is>
          <t>Jim Heaney</t>
        </is>
      </c>
      <c r="D103" s="58" t="inlineStr">
        <is>
          <t>Off-premise</t>
        </is>
      </c>
      <c r="E103" s="53" t="n">
        <v>1666</v>
      </c>
      <c r="F103" s="53" t="n">
        <v>2058</v>
      </c>
      <c r="G103" s="55" t="n">
        <v>11631.25</v>
      </c>
      <c r="H103" s="55" t="n">
        <v>14865.81</v>
      </c>
      <c r="I103" s="53" t="n">
        <v>203</v>
      </c>
      <c r="J103" s="53" t="n">
        <v>183</v>
      </c>
      <c r="K103" s="53" t="n">
        <v>204</v>
      </c>
      <c r="L103" s="53" t="n">
        <v>293</v>
      </c>
      <c r="M103" s="33">
        <f>F103-E103</f>
        <v/>
      </c>
      <c r="N103" s="33">
        <f>L103-K103</f>
        <v/>
      </c>
    </row>
    <row r="104">
      <c r="A104" s="58" t="inlineStr">
        <is>
          <t>42011 Buzzzrite Liquors</t>
        </is>
      </c>
      <c r="B104" s="58" t="inlineStr">
        <is>
          <t>Bergen</t>
        </is>
      </c>
      <c r="C104" s="58" t="inlineStr">
        <is>
          <t>Matt Powierski</t>
        </is>
      </c>
      <c r="D104" s="58" t="inlineStr">
        <is>
          <t>Unmatched</t>
        </is>
      </c>
      <c r="E104" s="53" t="n">
        <v>2213</v>
      </c>
      <c r="F104" s="53" t="n">
        <v>2115</v>
      </c>
      <c r="G104" s="55" t="n">
        <v>14871.07</v>
      </c>
      <c r="H104" s="55" t="n">
        <v>14333.01</v>
      </c>
      <c r="I104" s="53" t="n">
        <v>302</v>
      </c>
      <c r="J104" s="53" t="n">
        <v>229</v>
      </c>
      <c r="K104" s="53" t="n">
        <v>247</v>
      </c>
      <c r="L104" s="53" t="n">
        <v>336</v>
      </c>
      <c r="M104" s="33">
        <f>F104-E104</f>
        <v/>
      </c>
      <c r="N104" s="33">
        <f>L104-K104</f>
        <v/>
      </c>
    </row>
    <row r="105">
      <c r="A105" s="58" t="inlineStr">
        <is>
          <t>21024 Altiero Liquors</t>
        </is>
      </c>
      <c r="B105" s="58" t="inlineStr">
        <is>
          <t>Passaic</t>
        </is>
      </c>
      <c r="C105" s="58" t="inlineStr">
        <is>
          <t>Pablo Lopez</t>
        </is>
      </c>
      <c r="D105" s="58" t="inlineStr">
        <is>
          <t>Off-premise</t>
        </is>
      </c>
      <c r="E105" s="53" t="n">
        <v>1053</v>
      </c>
      <c r="F105" s="53" t="n">
        <v>1686</v>
      </c>
      <c r="G105" s="55" t="n">
        <v>6754.36</v>
      </c>
      <c r="H105" s="55" t="n">
        <v>11882.23</v>
      </c>
      <c r="I105" s="53" t="n">
        <v>50</v>
      </c>
      <c r="J105" s="53" t="n">
        <v>110</v>
      </c>
      <c r="K105" s="53" t="n">
        <v>50</v>
      </c>
      <c r="L105" s="53" t="n">
        <v>139</v>
      </c>
      <c r="M105" s="33">
        <f>F105-E105</f>
        <v/>
      </c>
      <c r="N105" s="33">
        <f>L105-K105</f>
        <v/>
      </c>
    </row>
    <row r="106">
      <c r="A106" s="58" t="inlineStr">
        <is>
          <t>150641 Otg Management Ewr</t>
        </is>
      </c>
      <c r="B106" s="58" t="inlineStr">
        <is>
          <t>Essex</t>
        </is>
      </c>
      <c r="C106" s="58" t="inlineStr">
        <is>
          <t>Alex Rodriguez</t>
        </is>
      </c>
      <c r="D106" s="58" t="inlineStr">
        <is>
          <t>On-premise</t>
        </is>
      </c>
      <c r="E106" s="53" t="n">
        <v>150</v>
      </c>
      <c r="F106" s="53" t="n">
        <v>238</v>
      </c>
      <c r="G106" s="55" t="n">
        <v>1343.92</v>
      </c>
      <c r="H106" s="55" t="n">
        <v>2145.59</v>
      </c>
      <c r="I106" s="53" t="n">
        <v>207</v>
      </c>
      <c r="J106" s="53" t="n">
        <v>137</v>
      </c>
      <c r="K106" s="53" t="n">
        <v>150</v>
      </c>
      <c r="L106" s="53" t="n">
        <v>238</v>
      </c>
      <c r="M106" s="33">
        <f>F106-E106</f>
        <v/>
      </c>
      <c r="N106" s="33">
        <f>L106-K106</f>
        <v/>
      </c>
    </row>
    <row r="107">
      <c r="A107" s="58" t="inlineStr">
        <is>
          <t>25012 Bottle Liquor (P)</t>
        </is>
      </c>
      <c r="B107" s="58" t="inlineStr">
        <is>
          <t>Passaic</t>
        </is>
      </c>
      <c r="C107" s="58" t="inlineStr">
        <is>
          <t>Javier Melo</t>
        </is>
      </c>
      <c r="D107" s="58" t="inlineStr">
        <is>
          <t>Off-premise</t>
        </is>
      </c>
      <c r="E107" s="53" t="n">
        <v>5598</v>
      </c>
      <c r="F107" s="53" t="n">
        <v>5482</v>
      </c>
      <c r="G107" s="55" t="n">
        <v>37020.00999999999</v>
      </c>
      <c r="H107" s="55" t="n">
        <v>37599.27</v>
      </c>
      <c r="I107" s="53" t="n">
        <v>593</v>
      </c>
      <c r="J107" s="53" t="n">
        <v>568</v>
      </c>
      <c r="K107" s="53" t="n">
        <v>879</v>
      </c>
      <c r="L107" s="53" t="n">
        <v>967</v>
      </c>
      <c r="M107" s="33">
        <f>F107-E107</f>
        <v/>
      </c>
      <c r="N107" s="33">
        <f>L107-K107</f>
        <v/>
      </c>
    </row>
    <row r="108">
      <c r="A108" s="58" t="inlineStr">
        <is>
          <t>84010 Ridgewood Super Cellar</t>
        </is>
      </c>
      <c r="B108" s="58" t="inlineStr">
        <is>
          <t>Bergen</t>
        </is>
      </c>
      <c r="C108" s="58" t="inlineStr">
        <is>
          <t>Mike Ast</t>
        </is>
      </c>
      <c r="D108" s="58" t="inlineStr">
        <is>
          <t>Off-premise</t>
        </is>
      </c>
      <c r="E108" s="53" t="n">
        <v>1023</v>
      </c>
      <c r="F108" s="53" t="n">
        <v>1032</v>
      </c>
      <c r="G108" s="55" t="n">
        <v>8003.92</v>
      </c>
      <c r="H108" s="55" t="n">
        <v>8267.189999999999</v>
      </c>
      <c r="I108" s="53" t="n">
        <v>732</v>
      </c>
      <c r="J108" s="53" t="n">
        <v>802</v>
      </c>
      <c r="K108" s="53" t="n">
        <v>275</v>
      </c>
      <c r="L108" s="53" t="n">
        <v>363</v>
      </c>
      <c r="M108" s="33">
        <f>F108-E108</f>
        <v/>
      </c>
      <c r="N108" s="33">
        <f>L108-K108</f>
        <v/>
      </c>
    </row>
    <row r="109">
      <c r="A109" s="58" t="inlineStr">
        <is>
          <t>43004 Boulevard Liq.(Fairview)</t>
        </is>
      </c>
      <c r="B109" s="58" t="inlineStr">
        <is>
          <t>Bergen</t>
        </is>
      </c>
      <c r="C109" s="58" t="inlineStr">
        <is>
          <t>Dan Lagala</t>
        </is>
      </c>
      <c r="D109" s="58" t="inlineStr">
        <is>
          <t>Off-premise</t>
        </is>
      </c>
      <c r="E109" s="53" t="n">
        <v>4108</v>
      </c>
      <c r="F109" s="53" t="n">
        <v>4019</v>
      </c>
      <c r="G109" s="55" t="n">
        <v>27579.51</v>
      </c>
      <c r="H109" s="55" t="n">
        <v>26737.22</v>
      </c>
      <c r="I109" s="53" t="n">
        <v>233</v>
      </c>
      <c r="J109" s="53" t="n">
        <v>215</v>
      </c>
      <c r="K109" s="53" t="n">
        <v>342</v>
      </c>
      <c r="L109" s="53" t="n">
        <v>429</v>
      </c>
      <c r="M109" s="33">
        <f>F109-E109</f>
        <v/>
      </c>
      <c r="N109" s="33">
        <f>L109-K109</f>
        <v/>
      </c>
    </row>
    <row r="110">
      <c r="A110" s="58" t="inlineStr">
        <is>
          <t>20070 Joe's Liquor (A)</t>
        </is>
      </c>
      <c r="B110" s="58" t="inlineStr">
        <is>
          <t>Passaic</t>
        </is>
      </c>
      <c r="C110" s="58" t="inlineStr">
        <is>
          <t>Pablo Lopez</t>
        </is>
      </c>
      <c r="D110" s="58" t="inlineStr">
        <is>
          <t>Off-premise</t>
        </is>
      </c>
      <c r="E110" s="53" t="n">
        <v>1601</v>
      </c>
      <c r="F110" s="53" t="n">
        <v>2380</v>
      </c>
      <c r="G110" s="55" t="n">
        <v>10534.07</v>
      </c>
      <c r="H110" s="55" t="n">
        <v>16657.76</v>
      </c>
      <c r="I110" s="53" t="n">
        <v>163</v>
      </c>
      <c r="J110" s="53" t="n">
        <v>176</v>
      </c>
      <c r="K110" s="53" t="n">
        <v>108</v>
      </c>
      <c r="L110" s="53" t="n">
        <v>195</v>
      </c>
      <c r="M110" s="33">
        <f>F110-E110</f>
        <v/>
      </c>
      <c r="N110" s="33">
        <f>L110-K110</f>
        <v/>
      </c>
    </row>
    <row r="111">
      <c r="A111" s="58" t="inlineStr">
        <is>
          <t>26001 Luigi's Liquor (A)</t>
        </is>
      </c>
      <c r="B111" s="58" t="inlineStr">
        <is>
          <t>Passaic</t>
        </is>
      </c>
      <c r="C111" s="58" t="inlineStr">
        <is>
          <t>Matt Powierski</t>
        </is>
      </c>
      <c r="D111" s="58" t="inlineStr">
        <is>
          <t>Off-premise</t>
        </is>
      </c>
      <c r="E111" s="53" t="n">
        <v>2353</v>
      </c>
      <c r="F111" s="53" t="n">
        <v>2568</v>
      </c>
      <c r="G111" s="55" t="n">
        <v>15396.85</v>
      </c>
      <c r="H111" s="55" t="n">
        <v>17835.46</v>
      </c>
      <c r="I111" s="53" t="n">
        <v>427</v>
      </c>
      <c r="J111" s="53" t="n">
        <v>438</v>
      </c>
      <c r="K111" s="53" t="n">
        <v>367</v>
      </c>
      <c r="L111" s="53" t="n">
        <v>452</v>
      </c>
      <c r="M111" s="33">
        <f>F111-E111</f>
        <v/>
      </c>
      <c r="N111" s="33">
        <f>L111-K111</f>
        <v/>
      </c>
    </row>
    <row r="112">
      <c r="A112" s="58" t="inlineStr">
        <is>
          <t>7001 Home Wine and Liquors</t>
        </is>
      </c>
      <c r="B112" s="58" t="inlineStr">
        <is>
          <t>Morris</t>
        </is>
      </c>
      <c r="C112" s="58" t="inlineStr">
        <is>
          <t>Anthony Palmisano</t>
        </is>
      </c>
      <c r="D112" s="58" t="inlineStr">
        <is>
          <t>Off-premise</t>
        </is>
      </c>
      <c r="E112" s="53" t="n">
        <v>0</v>
      </c>
      <c r="F112" s="53" t="n">
        <v>438</v>
      </c>
      <c r="G112" s="55" t="n">
        <v>0</v>
      </c>
      <c r="H112" s="55" t="n">
        <v>3224.16</v>
      </c>
      <c r="I112" s="53" t="n">
        <v>0</v>
      </c>
      <c r="J112" s="53" t="n">
        <v>240</v>
      </c>
      <c r="K112" s="53" t="n">
        <v>0</v>
      </c>
      <c r="L112" s="53" t="n">
        <v>84</v>
      </c>
      <c r="M112" s="33">
        <f>F112-E112</f>
        <v/>
      </c>
      <c r="N112" s="33">
        <f>L112-K112</f>
        <v/>
      </c>
    </row>
    <row r="113">
      <c r="A113" s="58" t="inlineStr">
        <is>
          <t>36007 Shop Rite Of Wallington</t>
        </is>
      </c>
      <c r="B113" s="58" t="inlineStr">
        <is>
          <t>Bergen</t>
        </is>
      </c>
      <c r="C113" s="58" t="inlineStr">
        <is>
          <t>Matt Powierski</t>
        </is>
      </c>
      <c r="D113" s="58" t="inlineStr">
        <is>
          <t>Off-premise</t>
        </is>
      </c>
      <c r="E113" s="53" t="n">
        <v>3790</v>
      </c>
      <c r="F113" s="53" t="n">
        <v>3767</v>
      </c>
      <c r="G113" s="55" t="n">
        <v>26222.32</v>
      </c>
      <c r="H113" s="55" t="n">
        <v>27051.2</v>
      </c>
      <c r="I113" s="53" t="n">
        <v>1707</v>
      </c>
      <c r="J113" s="53" t="n">
        <v>1631</v>
      </c>
      <c r="K113" s="53" t="n">
        <v>722</v>
      </c>
      <c r="L113" s="53" t="n">
        <v>806</v>
      </c>
      <c r="M113" s="33">
        <f>F113-E113</f>
        <v/>
      </c>
      <c r="N113" s="33">
        <f>L113-K113</f>
        <v/>
      </c>
    </row>
    <row r="114">
      <c r="A114" s="58" t="inlineStr">
        <is>
          <t>150400 Liquor City</t>
        </is>
      </c>
      <c r="B114" s="58" t="inlineStr">
        <is>
          <t>Essex</t>
        </is>
      </c>
      <c r="C114" s="58" t="inlineStr">
        <is>
          <t>Alisa Acciardi</t>
        </is>
      </c>
      <c r="D114" s="58" t="inlineStr">
        <is>
          <t>Off-premise</t>
        </is>
      </c>
      <c r="E114" s="53" t="n">
        <v>10</v>
      </c>
      <c r="F114" s="53" t="n">
        <v>93</v>
      </c>
      <c r="G114" s="55" t="n">
        <v>69.06</v>
      </c>
      <c r="H114" s="55" t="n">
        <v>601.36</v>
      </c>
      <c r="I114" s="53" t="n">
        <v>63</v>
      </c>
      <c r="J114" s="53" t="n">
        <v>75</v>
      </c>
      <c r="K114" s="53" t="n">
        <v>10</v>
      </c>
      <c r="L114" s="53" t="n">
        <v>93</v>
      </c>
      <c r="M114" s="33">
        <f>F114-E114</f>
        <v/>
      </c>
      <c r="N114" s="33">
        <f>L114-K114</f>
        <v/>
      </c>
    </row>
    <row r="115">
      <c r="A115" s="58" t="inlineStr">
        <is>
          <t>12031 Double Ai Asian Bistro</t>
        </is>
      </c>
      <c r="B115" s="58" t="inlineStr">
        <is>
          <t>Passaic</t>
        </is>
      </c>
      <c r="C115" s="58" t="inlineStr">
        <is>
          <t>Allison Scott</t>
        </is>
      </c>
      <c r="D115" s="58" t="inlineStr">
        <is>
          <t>Unmatched</t>
        </is>
      </c>
      <c r="E115" s="53" t="n">
        <v>0</v>
      </c>
      <c r="F115" s="53" t="n">
        <v>120</v>
      </c>
      <c r="G115" s="55" t="n">
        <v>0</v>
      </c>
      <c r="H115" s="55" t="n">
        <v>1240.37</v>
      </c>
      <c r="I115" s="53" t="n">
        <v>0</v>
      </c>
      <c r="J115" s="53" t="n">
        <v>20</v>
      </c>
      <c r="K115" s="53" t="n">
        <v>0</v>
      </c>
      <c r="L115" s="53" t="n">
        <v>83</v>
      </c>
      <c r="M115" s="33">
        <f>F115-E115</f>
        <v/>
      </c>
      <c r="N115" s="33">
        <f>L115-K115</f>
        <v/>
      </c>
    </row>
    <row r="116">
      <c r="A116" s="58" t="inlineStr">
        <is>
          <t>24017 Rainbow Liquor (P)</t>
        </is>
      </c>
      <c r="B116" s="58" t="inlineStr">
        <is>
          <t>Passaic</t>
        </is>
      </c>
      <c r="C116" s="58" t="inlineStr">
        <is>
          <t>Jim Heaney</t>
        </is>
      </c>
      <c r="D116" s="58" t="inlineStr">
        <is>
          <t>Off-premise</t>
        </is>
      </c>
      <c r="E116" s="53" t="n">
        <v>4117</v>
      </c>
      <c r="F116" s="53" t="n">
        <v>4604</v>
      </c>
      <c r="G116" s="55" t="n">
        <v>27694.43</v>
      </c>
      <c r="H116" s="55" t="n">
        <v>32443.07999999999</v>
      </c>
      <c r="I116" s="53" t="n">
        <v>548</v>
      </c>
      <c r="J116" s="53" t="n">
        <v>586</v>
      </c>
      <c r="K116" s="53" t="n">
        <v>628</v>
      </c>
      <c r="L116" s="53" t="n">
        <v>711</v>
      </c>
      <c r="M116" s="33">
        <f>F116-E116</f>
        <v/>
      </c>
      <c r="N116" s="33">
        <f>L116-K116</f>
        <v/>
      </c>
    </row>
    <row r="117">
      <c r="A117" s="58" t="inlineStr">
        <is>
          <t>190208 Boonton Liquor Locker</t>
        </is>
      </c>
      <c r="B117" s="58" t="inlineStr">
        <is>
          <t>Morris</t>
        </is>
      </c>
      <c r="C117" s="58" t="inlineStr">
        <is>
          <t>Klejdi Lamo</t>
        </is>
      </c>
      <c r="D117" s="58" t="inlineStr">
        <is>
          <t>Off-premise</t>
        </is>
      </c>
      <c r="E117" s="53" t="n">
        <v>1946</v>
      </c>
      <c r="F117" s="53" t="n">
        <v>1895</v>
      </c>
      <c r="G117" s="55" t="n">
        <v>13595.81</v>
      </c>
      <c r="H117" s="55" t="n">
        <v>13665.86</v>
      </c>
      <c r="I117" s="53" t="n">
        <v>438</v>
      </c>
      <c r="J117" s="53" t="n">
        <v>475</v>
      </c>
      <c r="K117" s="53" t="n">
        <v>322</v>
      </c>
      <c r="L117" s="53" t="n">
        <v>405</v>
      </c>
      <c r="M117" s="33">
        <f>F117-E117</f>
        <v/>
      </c>
      <c r="N117" s="33">
        <f>L117-K117</f>
        <v/>
      </c>
    </row>
    <row r="118">
      <c r="A118" s="58" t="inlineStr">
        <is>
          <t>38018 THE BOTTLE SHOP</t>
        </is>
      </c>
      <c r="B118" s="58" t="inlineStr">
        <is>
          <t>Bergen</t>
        </is>
      </c>
      <c r="C118" s="58" t="inlineStr">
        <is>
          <t>Phil Ernst</t>
        </is>
      </c>
      <c r="D118" s="58" t="inlineStr">
        <is>
          <t>Unmatched</t>
        </is>
      </c>
      <c r="E118" s="53" t="n">
        <v>0</v>
      </c>
      <c r="F118" s="53" t="n">
        <v>570</v>
      </c>
      <c r="G118" s="55" t="n">
        <v>0</v>
      </c>
      <c r="H118" s="55" t="n">
        <v>5178.78</v>
      </c>
      <c r="I118" s="53" t="n">
        <v>0</v>
      </c>
      <c r="J118" s="53" t="n">
        <v>79</v>
      </c>
      <c r="K118" s="53" t="n">
        <v>0</v>
      </c>
      <c r="L118" s="53" t="n">
        <v>83</v>
      </c>
      <c r="M118" s="33">
        <f>F118-E118</f>
        <v/>
      </c>
      <c r="N118" s="33">
        <f>L118-K118</f>
        <v/>
      </c>
    </row>
    <row r="119">
      <c r="A119" s="58" t="inlineStr">
        <is>
          <t>46015 Mukeunji (Z)</t>
        </is>
      </c>
      <c r="B119" s="58" t="inlineStr">
        <is>
          <t>Bergen</t>
        </is>
      </c>
      <c r="C119" s="58" t="inlineStr">
        <is>
          <t>Dan Lagala</t>
        </is>
      </c>
      <c r="D119" s="58" t="inlineStr">
        <is>
          <t>Off-premise</t>
        </is>
      </c>
      <c r="E119" s="53" t="n">
        <v>2162</v>
      </c>
      <c r="F119" s="53" t="n">
        <v>2359</v>
      </c>
      <c r="G119" s="55" t="n">
        <v>14597.6</v>
      </c>
      <c r="H119" s="55" t="n">
        <v>16540.06</v>
      </c>
      <c r="I119" s="53" t="n">
        <v>148</v>
      </c>
      <c r="J119" s="53" t="n">
        <v>171</v>
      </c>
      <c r="K119" s="53" t="n">
        <v>173</v>
      </c>
      <c r="L119" s="53" t="n">
        <v>254</v>
      </c>
      <c r="M119" s="33">
        <f>F119-E119</f>
        <v/>
      </c>
      <c r="N119" s="33">
        <f>L119-K119</f>
        <v/>
      </c>
    </row>
    <row r="120">
      <c r="A120" s="58" t="inlineStr">
        <is>
          <t>23003 Pete's Liquors</t>
        </is>
      </c>
      <c r="B120" s="58" t="inlineStr">
        <is>
          <t>Passaic</t>
        </is>
      </c>
      <c r="C120" s="58" t="inlineStr">
        <is>
          <t>Jim Heaney</t>
        </is>
      </c>
      <c r="D120" s="58" t="inlineStr">
        <is>
          <t>Off-premise</t>
        </is>
      </c>
      <c r="E120" s="53" t="n">
        <v>1566</v>
      </c>
      <c r="F120" s="53" t="n">
        <v>1549</v>
      </c>
      <c r="G120" s="55" t="n">
        <v>10831.16</v>
      </c>
      <c r="H120" s="55" t="n">
        <v>11006.14</v>
      </c>
      <c r="I120" s="53" t="n">
        <v>241</v>
      </c>
      <c r="J120" s="53" t="n">
        <v>205</v>
      </c>
      <c r="K120" s="53" t="n">
        <v>186</v>
      </c>
      <c r="L120" s="53" t="n">
        <v>264</v>
      </c>
      <c r="M120" s="33">
        <f>F120-E120</f>
        <v/>
      </c>
      <c r="N120" s="33">
        <f>L120-K120</f>
        <v/>
      </c>
    </row>
    <row r="121">
      <c r="A121" s="58" t="inlineStr">
        <is>
          <t>49039 Acme Markets (Fort Lee)</t>
        </is>
      </c>
      <c r="B121" s="58" t="inlineStr">
        <is>
          <t>Bergen</t>
        </is>
      </c>
      <c r="C121" s="58" t="inlineStr">
        <is>
          <t>Phil Ernst</t>
        </is>
      </c>
      <c r="D121" s="58" t="inlineStr">
        <is>
          <t>Unmatched</t>
        </is>
      </c>
      <c r="E121" s="53" t="n">
        <v>1596</v>
      </c>
      <c r="F121" s="53" t="n">
        <v>1443</v>
      </c>
      <c r="G121" s="55" t="n">
        <v>13802.49</v>
      </c>
      <c r="H121" s="55" t="n">
        <v>12896.3</v>
      </c>
      <c r="I121" s="53" t="n">
        <v>489</v>
      </c>
      <c r="J121" s="53" t="n">
        <v>396</v>
      </c>
      <c r="K121" s="53" t="n">
        <v>297</v>
      </c>
      <c r="L121" s="53" t="n">
        <v>375</v>
      </c>
      <c r="M121" s="33">
        <f>F121-E121</f>
        <v/>
      </c>
      <c r="N121" s="33">
        <f>L121-K121</f>
        <v/>
      </c>
    </row>
    <row r="122">
      <c r="A122" s="58" t="inlineStr">
        <is>
          <t>27110 El Camaron Mazatleco</t>
        </is>
      </c>
      <c r="B122" s="58" t="inlineStr">
        <is>
          <t>Passaic</t>
        </is>
      </c>
      <c r="C122" s="58" t="inlineStr">
        <is>
          <t>Javier Melo</t>
        </is>
      </c>
      <c r="D122" s="58" t="inlineStr">
        <is>
          <t>Unmatched</t>
        </is>
      </c>
      <c r="E122" s="53" t="n">
        <v>0</v>
      </c>
      <c r="F122" s="53" t="n">
        <v>258</v>
      </c>
      <c r="G122" s="55" t="n">
        <v>0</v>
      </c>
      <c r="H122" s="55" t="n">
        <v>2138.49</v>
      </c>
      <c r="I122" s="53" t="n">
        <v>0</v>
      </c>
      <c r="J122" s="53" t="n">
        <v>21</v>
      </c>
      <c r="K122" s="53" t="n">
        <v>0</v>
      </c>
      <c r="L122" s="53" t="n">
        <v>77</v>
      </c>
      <c r="M122" s="33">
        <f>F122-E122</f>
        <v/>
      </c>
      <c r="N122" s="33">
        <f>L122-K122</f>
        <v/>
      </c>
    </row>
    <row r="123">
      <c r="A123" s="58" t="inlineStr">
        <is>
          <t>24014 Bottleneck Liquors</t>
        </is>
      </c>
      <c r="B123" s="58" t="inlineStr">
        <is>
          <t>Passaic</t>
        </is>
      </c>
      <c r="C123" s="58" t="inlineStr">
        <is>
          <t>Jim Heaney</t>
        </is>
      </c>
      <c r="D123" s="58" t="inlineStr">
        <is>
          <t>Off-premise</t>
        </is>
      </c>
      <c r="E123" s="53" t="n">
        <v>573</v>
      </c>
      <c r="F123" s="53" t="n">
        <v>776</v>
      </c>
      <c r="G123" s="55" t="n">
        <v>4331.419999999999</v>
      </c>
      <c r="H123" s="55" t="n">
        <v>5758.11</v>
      </c>
      <c r="I123" s="53" t="n">
        <v>132</v>
      </c>
      <c r="J123" s="53" t="n">
        <v>139</v>
      </c>
      <c r="K123" s="53" t="n">
        <v>107</v>
      </c>
      <c r="L123" s="53" t="n">
        <v>184</v>
      </c>
      <c r="M123" s="33">
        <f>F123-E123</f>
        <v/>
      </c>
      <c r="N123" s="33">
        <f>L123-K123</f>
        <v/>
      </c>
    </row>
    <row r="124">
      <c r="A124" s="58" t="inlineStr">
        <is>
          <t>27005 #1 Liqrs (P)</t>
        </is>
      </c>
      <c r="B124" s="58" t="inlineStr">
        <is>
          <t>Passaic</t>
        </is>
      </c>
      <c r="C124" s="58" t="inlineStr">
        <is>
          <t>Pablo Lopez</t>
        </is>
      </c>
      <c r="D124" s="58" t="inlineStr">
        <is>
          <t>Off-premise</t>
        </is>
      </c>
      <c r="E124" s="53" t="n">
        <v>3660</v>
      </c>
      <c r="F124" s="53" t="n">
        <v>3264</v>
      </c>
      <c r="G124" s="55" t="n">
        <v>23838.64000000001</v>
      </c>
      <c r="H124" s="55" t="n">
        <v>21947.05</v>
      </c>
      <c r="I124" s="53" t="n">
        <v>273</v>
      </c>
      <c r="J124" s="53" t="n">
        <v>365</v>
      </c>
      <c r="K124" s="53" t="n">
        <v>609</v>
      </c>
      <c r="L124" s="53" t="n">
        <v>686</v>
      </c>
      <c r="M124" s="33">
        <f>F124-E124</f>
        <v/>
      </c>
      <c r="N124" s="33">
        <f>L124-K124</f>
        <v/>
      </c>
    </row>
    <row r="125">
      <c r="A125" s="58" t="inlineStr">
        <is>
          <t>44002 Wine And Food Mart (Z)</t>
        </is>
      </c>
      <c r="B125" s="58" t="inlineStr">
        <is>
          <t>Bergen</t>
        </is>
      </c>
      <c r="C125" s="58" t="inlineStr">
        <is>
          <t>Dan Lagala</t>
        </is>
      </c>
      <c r="D125" s="58" t="inlineStr">
        <is>
          <t>Off-premise</t>
        </is>
      </c>
      <c r="E125" s="53" t="n">
        <v>880</v>
      </c>
      <c r="F125" s="53" t="n">
        <v>872</v>
      </c>
      <c r="G125" s="55" t="n">
        <v>5734.79</v>
      </c>
      <c r="H125" s="55" t="n">
        <v>5899.710000000001</v>
      </c>
      <c r="I125" s="53" t="n">
        <v>90</v>
      </c>
      <c r="J125" s="53" t="n">
        <v>85</v>
      </c>
      <c r="K125" s="53" t="n">
        <v>68</v>
      </c>
      <c r="L125" s="53" t="n">
        <v>143</v>
      </c>
      <c r="M125" s="33">
        <f>F125-E125</f>
        <v/>
      </c>
      <c r="N125" s="33">
        <f>L125-K125</f>
        <v/>
      </c>
    </row>
    <row r="126">
      <c r="A126" s="58" t="inlineStr">
        <is>
          <t>170185 Pastore's Wine &amp; Liquor</t>
        </is>
      </c>
      <c r="B126" s="58" t="inlineStr">
        <is>
          <t>Hudson</t>
        </is>
      </c>
      <c r="C126" s="58" t="inlineStr">
        <is>
          <t>Dylan Rubino</t>
        </is>
      </c>
      <c r="D126" s="58" t="inlineStr">
        <is>
          <t>Off-premise</t>
        </is>
      </c>
      <c r="E126" s="53" t="n">
        <v>43</v>
      </c>
      <c r="F126" s="53" t="n">
        <v>117</v>
      </c>
      <c r="G126" s="55" t="n">
        <v>295.88</v>
      </c>
      <c r="H126" s="55" t="n">
        <v>728.39</v>
      </c>
      <c r="I126" s="53" t="n">
        <v>101</v>
      </c>
      <c r="J126" s="53" t="n">
        <v>73</v>
      </c>
      <c r="K126" s="53" t="n">
        <v>43</v>
      </c>
      <c r="L126" s="53" t="n">
        <v>117</v>
      </c>
      <c r="M126" s="33">
        <f>F126-E126</f>
        <v/>
      </c>
      <c r="N126" s="33">
        <f>L126-K126</f>
        <v/>
      </c>
    </row>
    <row r="127">
      <c r="A127" s="58" t="inlineStr">
        <is>
          <t>19027 Goffle Road Wine and More</t>
        </is>
      </c>
      <c r="B127" s="58" t="inlineStr">
        <is>
          <t>Passaic</t>
        </is>
      </c>
      <c r="C127" s="58" t="inlineStr">
        <is>
          <t>Mike Ast</t>
        </is>
      </c>
      <c r="D127" s="58" t="inlineStr">
        <is>
          <t>Off-premise</t>
        </is>
      </c>
      <c r="E127" s="53" t="n">
        <v>2840</v>
      </c>
      <c r="F127" s="53" t="n">
        <v>2922</v>
      </c>
      <c r="G127" s="55" t="n">
        <v>19947.14</v>
      </c>
      <c r="H127" s="55" t="n">
        <v>20367.49</v>
      </c>
      <c r="I127" s="53" t="n">
        <v>719</v>
      </c>
      <c r="J127" s="53" t="n">
        <v>888</v>
      </c>
      <c r="K127" s="53" t="n">
        <v>485</v>
      </c>
      <c r="L127" s="53" t="n">
        <v>559</v>
      </c>
      <c r="M127" s="33">
        <f>F127-E127</f>
        <v/>
      </c>
      <c r="N127" s="33">
        <f>L127-K127</f>
        <v/>
      </c>
    </row>
    <row r="128">
      <c r="A128" s="58" t="inlineStr">
        <is>
          <t>27072 Passaic Discount Liquors</t>
        </is>
      </c>
      <c r="B128" s="58" t="inlineStr">
        <is>
          <t>Passaic</t>
        </is>
      </c>
      <c r="C128" s="58" t="inlineStr">
        <is>
          <t>Pablo Lopez</t>
        </is>
      </c>
      <c r="D128" s="58" t="inlineStr">
        <is>
          <t>Off-premise</t>
        </is>
      </c>
      <c r="E128" s="53" t="n">
        <v>5371</v>
      </c>
      <c r="F128" s="53" t="n">
        <v>4423</v>
      </c>
      <c r="G128" s="55" t="n">
        <v>33982.34</v>
      </c>
      <c r="H128" s="55" t="n">
        <v>29209.2</v>
      </c>
      <c r="I128" s="53" t="n">
        <v>600</v>
      </c>
      <c r="J128" s="53" t="n">
        <v>652</v>
      </c>
      <c r="K128" s="53" t="n">
        <v>907</v>
      </c>
      <c r="L128" s="53" t="n">
        <v>979</v>
      </c>
      <c r="M128" s="33">
        <f>F128-E128</f>
        <v/>
      </c>
      <c r="N128" s="33">
        <f>L128-K128</f>
        <v/>
      </c>
    </row>
    <row r="129">
      <c r="A129" s="58" t="inlineStr">
        <is>
          <t>86003 Township Liq (P)</t>
        </is>
      </c>
      <c r="B129" s="58" t="inlineStr">
        <is>
          <t>Bergen</t>
        </is>
      </c>
      <c r="C129" s="58" t="inlineStr">
        <is>
          <t>Shane Barreca</t>
        </is>
      </c>
      <c r="D129" s="58" t="inlineStr">
        <is>
          <t>Off-premise</t>
        </is>
      </c>
      <c r="E129" s="53" t="n">
        <v>2541</v>
      </c>
      <c r="F129" s="53" t="n">
        <v>2663</v>
      </c>
      <c r="G129" s="55" t="n">
        <v>16936.71</v>
      </c>
      <c r="H129" s="55" t="n">
        <v>18467.18</v>
      </c>
      <c r="I129" s="53" t="n">
        <v>722</v>
      </c>
      <c r="J129" s="53" t="n">
        <v>881</v>
      </c>
      <c r="K129" s="53" t="n">
        <v>458</v>
      </c>
      <c r="L129" s="53" t="n">
        <v>529</v>
      </c>
      <c r="M129" s="33">
        <f>F129-E129</f>
        <v/>
      </c>
      <c r="N129" s="33">
        <f>L129-K129</f>
        <v/>
      </c>
    </row>
    <row r="130">
      <c r="A130" s="58" t="inlineStr">
        <is>
          <t>57003 Joes Beer Wine &amp; Spirits</t>
        </is>
      </c>
      <c r="B130" s="58" t="inlineStr">
        <is>
          <t>Bergen</t>
        </is>
      </c>
      <c r="C130" s="58" t="inlineStr">
        <is>
          <t>Dave Ehlers</t>
        </is>
      </c>
      <c r="D130" s="58" t="inlineStr">
        <is>
          <t>Off-premise</t>
        </is>
      </c>
      <c r="E130" s="53" t="n">
        <v>1740</v>
      </c>
      <c r="F130" s="53" t="n">
        <v>1696</v>
      </c>
      <c r="G130" s="55" t="n">
        <v>12829.91</v>
      </c>
      <c r="H130" s="55" t="n">
        <v>12891.27</v>
      </c>
      <c r="I130" s="53" t="n">
        <v>607</v>
      </c>
      <c r="J130" s="53" t="n">
        <v>554</v>
      </c>
      <c r="K130" s="53" t="n">
        <v>316</v>
      </c>
      <c r="L130" s="53" t="n">
        <v>386</v>
      </c>
      <c r="M130" s="33">
        <f>F130-E130</f>
        <v/>
      </c>
      <c r="N130" s="33">
        <f>L130-K130</f>
        <v/>
      </c>
    </row>
    <row r="131">
      <c r="A131" s="58" t="inlineStr">
        <is>
          <t>15020 Angel's Wine &amp; Liquors</t>
        </is>
      </c>
      <c r="B131" s="58" t="inlineStr">
        <is>
          <t>Passaic</t>
        </is>
      </c>
      <c r="C131" s="58" t="inlineStr">
        <is>
          <t>Derrick Laws</t>
        </is>
      </c>
      <c r="D131" s="58" t="inlineStr">
        <is>
          <t>Off-premise</t>
        </is>
      </c>
      <c r="E131" s="53" t="n">
        <v>1631</v>
      </c>
      <c r="F131" s="53" t="n">
        <v>1445</v>
      </c>
      <c r="G131" s="55" t="n">
        <v>10594.28</v>
      </c>
      <c r="H131" s="55" t="n">
        <v>9522.74</v>
      </c>
      <c r="I131" s="53" t="n">
        <v>273</v>
      </c>
      <c r="J131" s="53" t="n">
        <v>240</v>
      </c>
      <c r="K131" s="53" t="n">
        <v>169</v>
      </c>
      <c r="L131" s="53" t="n">
        <v>239</v>
      </c>
      <c r="M131" s="33">
        <f>F131-E131</f>
        <v/>
      </c>
      <c r="N131" s="33">
        <f>L131-K131</f>
        <v/>
      </c>
    </row>
    <row r="132">
      <c r="A132" s="58" t="inlineStr">
        <is>
          <t>173055 Hoboken Vine</t>
        </is>
      </c>
      <c r="B132" s="58" t="inlineStr">
        <is>
          <t>Hudson</t>
        </is>
      </c>
      <c r="C132" s="58" t="inlineStr">
        <is>
          <t>Jaime Colonna</t>
        </is>
      </c>
      <c r="D132" s="58" t="inlineStr">
        <is>
          <t>Off-premise</t>
        </is>
      </c>
      <c r="E132" s="53" t="n">
        <v>0</v>
      </c>
      <c r="F132" s="53" t="n">
        <v>69</v>
      </c>
      <c r="G132" s="55" t="n">
        <v>0</v>
      </c>
      <c r="H132" s="55" t="n">
        <v>452.51</v>
      </c>
      <c r="I132" s="53" t="n">
        <v>195</v>
      </c>
      <c r="J132" s="53" t="n">
        <v>209</v>
      </c>
      <c r="K132" s="53" t="n">
        <v>0</v>
      </c>
      <c r="L132" s="53" t="n">
        <v>69</v>
      </c>
      <c r="M132" s="33">
        <f>F132-E132</f>
        <v/>
      </c>
      <c r="N132" s="33">
        <f>L132-K132</f>
        <v/>
      </c>
    </row>
    <row r="133">
      <c r="A133" s="58" t="inlineStr">
        <is>
          <t>3001 Best Cellars (Wanaque)</t>
        </is>
      </c>
      <c r="B133" s="58" t="inlineStr">
        <is>
          <t>Passaic</t>
        </is>
      </c>
      <c r="C133" s="58" t="inlineStr">
        <is>
          <t>Anthony Palmisano</t>
        </is>
      </c>
      <c r="D133" s="58" t="inlineStr">
        <is>
          <t>Off-premise</t>
        </is>
      </c>
      <c r="E133" s="53" t="n">
        <v>3630</v>
      </c>
      <c r="F133" s="53" t="n">
        <v>3702</v>
      </c>
      <c r="G133" s="55" t="n">
        <v>23911.47</v>
      </c>
      <c r="H133" s="55" t="n">
        <v>25004.55</v>
      </c>
      <c r="I133" s="53" t="n">
        <v>1334</v>
      </c>
      <c r="J133" s="53" t="n">
        <v>1492</v>
      </c>
      <c r="K133" s="53" t="n">
        <v>694</v>
      </c>
      <c r="L133" s="53" t="n">
        <v>762</v>
      </c>
      <c r="M133" s="33">
        <f>F133-E133</f>
        <v/>
      </c>
      <c r="N133" s="33">
        <f>L133-K133</f>
        <v/>
      </c>
    </row>
    <row r="134">
      <c r="A134" s="58" t="inlineStr">
        <is>
          <t>22067 Gonzalez Liq &amp; Bar(A)</t>
        </is>
      </c>
      <c r="B134" s="58" t="inlineStr">
        <is>
          <t>Passaic</t>
        </is>
      </c>
      <c r="C134" s="58" t="inlineStr">
        <is>
          <t>Derrick Laws</t>
        </is>
      </c>
      <c r="D134" s="58" t="inlineStr">
        <is>
          <t>Off-premise</t>
        </is>
      </c>
      <c r="E134" s="53" t="n">
        <v>2288</v>
      </c>
      <c r="F134" s="53" t="n">
        <v>1978</v>
      </c>
      <c r="G134" s="55" t="n">
        <v>15538.49</v>
      </c>
      <c r="H134" s="55" t="n">
        <v>14376.13</v>
      </c>
      <c r="I134" s="53" t="n">
        <v>54</v>
      </c>
      <c r="J134" s="53" t="n">
        <v>127</v>
      </c>
      <c r="K134" s="53" t="n">
        <v>62</v>
      </c>
      <c r="L134" s="53" t="n">
        <v>130</v>
      </c>
      <c r="M134" s="33">
        <f>F134-E134</f>
        <v/>
      </c>
      <c r="N134" s="33">
        <f>L134-K134</f>
        <v/>
      </c>
    </row>
    <row r="135">
      <c r="A135" s="58" t="inlineStr">
        <is>
          <t>29011 World of Wine &amp; Liquor</t>
        </is>
      </c>
      <c r="B135" s="58" t="inlineStr">
        <is>
          <t>Bergen</t>
        </is>
      </c>
      <c r="C135" s="58" t="inlineStr">
        <is>
          <t>Jim Heaney</t>
        </is>
      </c>
      <c r="D135" s="58" t="inlineStr">
        <is>
          <t>Off-premise</t>
        </is>
      </c>
      <c r="E135" s="53" t="n">
        <v>1748</v>
      </c>
      <c r="F135" s="53" t="n">
        <v>1883</v>
      </c>
      <c r="G135" s="55" t="n">
        <v>11186.61</v>
      </c>
      <c r="H135" s="55" t="n">
        <v>12279.88</v>
      </c>
      <c r="I135" s="53" t="n">
        <v>464</v>
      </c>
      <c r="J135" s="53" t="n">
        <v>595</v>
      </c>
      <c r="K135" s="53" t="n">
        <v>245</v>
      </c>
      <c r="L135" s="53" t="n">
        <v>312</v>
      </c>
      <c r="M135" s="33">
        <f>F135-E135</f>
        <v/>
      </c>
      <c r="N135" s="33">
        <f>L135-K135</f>
        <v/>
      </c>
    </row>
    <row r="136">
      <c r="A136" s="58" t="inlineStr">
        <is>
          <t>41016 Cheesecake Fact (A)Hacken</t>
        </is>
      </c>
      <c r="B136" s="58" t="inlineStr">
        <is>
          <t>Bergen</t>
        </is>
      </c>
      <c r="C136" s="58" t="inlineStr">
        <is>
          <t>Nick Melissari</t>
        </is>
      </c>
      <c r="D136" s="58" t="inlineStr">
        <is>
          <t>On-premise</t>
        </is>
      </c>
      <c r="E136" s="53" t="n">
        <v>144</v>
      </c>
      <c r="F136" s="53" t="n">
        <v>221</v>
      </c>
      <c r="G136" s="55" t="n">
        <v>1198.48</v>
      </c>
      <c r="H136" s="55" t="n">
        <v>2117.21</v>
      </c>
      <c r="I136" s="53" t="n">
        <v>46</v>
      </c>
      <c r="J136" s="53" t="n">
        <v>42</v>
      </c>
      <c r="K136" s="53" t="n">
        <v>2</v>
      </c>
      <c r="L136" s="53" t="n">
        <v>69</v>
      </c>
      <c r="M136" s="33">
        <f>F136-E136</f>
        <v/>
      </c>
      <c r="N136" s="33">
        <f>L136-K136</f>
        <v/>
      </c>
    </row>
    <row r="137">
      <c r="A137" s="58" t="inlineStr">
        <is>
          <t>21038 Freddie's Dugout</t>
        </is>
      </c>
      <c r="B137" s="58" t="inlineStr">
        <is>
          <t>Passaic</t>
        </is>
      </c>
      <c r="C137" s="58" t="inlineStr">
        <is>
          <t>Pablo Lopez</t>
        </is>
      </c>
      <c r="D137" s="58" t="inlineStr">
        <is>
          <t>On-premise</t>
        </is>
      </c>
      <c r="E137" s="53" t="n">
        <v>709</v>
      </c>
      <c r="F137" s="53" t="n">
        <v>860</v>
      </c>
      <c r="G137" s="55" t="n">
        <v>5838.33</v>
      </c>
      <c r="H137" s="55" t="n">
        <v>7233.940000000001</v>
      </c>
      <c r="I137" s="53" t="n">
        <v>15</v>
      </c>
      <c r="J137" s="53" t="n">
        <v>10</v>
      </c>
      <c r="K137" s="53" t="n">
        <v>175</v>
      </c>
      <c r="L137" s="53" t="n">
        <v>242</v>
      </c>
      <c r="M137" s="33">
        <f>F137-E137</f>
        <v/>
      </c>
      <c r="N137" s="33">
        <f>L137-K137</f>
        <v/>
      </c>
    </row>
    <row r="138">
      <c r="A138" s="58" t="inlineStr">
        <is>
          <t>191010 Liquor Factory II Jefferson</t>
        </is>
      </c>
      <c r="B138" s="58" t="inlineStr">
        <is>
          <t>Morris</t>
        </is>
      </c>
      <c r="C138" s="58" t="inlineStr">
        <is>
          <t>Jayson Romine</t>
        </is>
      </c>
      <c r="D138" s="58" t="inlineStr">
        <is>
          <t>Off-premise</t>
        </is>
      </c>
      <c r="E138" s="53" t="n">
        <v>4590</v>
      </c>
      <c r="F138" s="53" t="n">
        <v>5238</v>
      </c>
      <c r="G138" s="55" t="n">
        <v>28179.63</v>
      </c>
      <c r="H138" s="55" t="n">
        <v>31085.43</v>
      </c>
      <c r="I138" s="53" t="n">
        <v>1528</v>
      </c>
      <c r="J138" s="53" t="n">
        <v>1897</v>
      </c>
      <c r="K138" s="53" t="n">
        <v>712</v>
      </c>
      <c r="L138" s="53" t="n">
        <v>778</v>
      </c>
      <c r="M138" s="33">
        <f>F138-E138</f>
        <v/>
      </c>
      <c r="N138" s="33">
        <f>L138-K138</f>
        <v/>
      </c>
    </row>
    <row r="139">
      <c r="A139" s="58" t="inlineStr">
        <is>
          <t>46013 Boulevard Food Store</t>
        </is>
      </c>
      <c r="B139" s="58" t="inlineStr">
        <is>
          <t>Bergen</t>
        </is>
      </c>
      <c r="C139" s="58" t="inlineStr">
        <is>
          <t>Dan Lagala</t>
        </is>
      </c>
      <c r="D139" s="58" t="inlineStr">
        <is>
          <t>Off-premise</t>
        </is>
      </c>
      <c r="E139" s="53" t="n">
        <v>612</v>
      </c>
      <c r="F139" s="53" t="n">
        <v>961</v>
      </c>
      <c r="G139" s="55" t="n">
        <v>4300.98</v>
      </c>
      <c r="H139" s="55" t="n">
        <v>6910.59</v>
      </c>
      <c r="I139" s="53" t="n">
        <v>94</v>
      </c>
      <c r="J139" s="53" t="n">
        <v>97</v>
      </c>
      <c r="K139" s="53" t="n">
        <v>52</v>
      </c>
      <c r="L139" s="53" t="n">
        <v>117</v>
      </c>
      <c r="M139" s="33">
        <f>F139-E139</f>
        <v/>
      </c>
      <c r="N139" s="33">
        <f>L139-K139</f>
        <v/>
      </c>
    </row>
    <row r="140">
      <c r="A140" s="58" t="inlineStr">
        <is>
          <t>42004 Wine And People</t>
        </is>
      </c>
      <c r="B140" s="58" t="inlineStr">
        <is>
          <t>Bergen</t>
        </is>
      </c>
      <c r="C140" s="58" t="inlineStr">
        <is>
          <t>Matt Powierski</t>
        </is>
      </c>
      <c r="D140" s="58" t="inlineStr">
        <is>
          <t>Off-premise</t>
        </is>
      </c>
      <c r="E140" s="53" t="n">
        <v>1185</v>
      </c>
      <c r="F140" s="53" t="n">
        <v>1406</v>
      </c>
      <c r="G140" s="55" t="n">
        <v>7898.25</v>
      </c>
      <c r="H140" s="55" t="n">
        <v>9248.65</v>
      </c>
      <c r="I140" s="53" t="n">
        <v>142</v>
      </c>
      <c r="J140" s="53" t="n">
        <v>181</v>
      </c>
      <c r="K140" s="53" t="n">
        <v>234</v>
      </c>
      <c r="L140" s="53" t="n">
        <v>299</v>
      </c>
      <c r="M140" s="33">
        <f>F140-E140</f>
        <v/>
      </c>
      <c r="N140" s="33">
        <f>L140-K140</f>
        <v/>
      </c>
    </row>
    <row r="141">
      <c r="A141" s="58" t="inlineStr">
        <is>
          <t>191003 Chabons Ii Liq/Bar (A)</t>
        </is>
      </c>
      <c r="B141" s="58" t="inlineStr">
        <is>
          <t>Morris</t>
        </is>
      </c>
      <c r="C141" s="58" t="inlineStr">
        <is>
          <t>Brian Sengebush</t>
        </is>
      </c>
      <c r="D141" s="58" t="inlineStr">
        <is>
          <t>Off-premise</t>
        </is>
      </c>
      <c r="E141" s="53" t="n">
        <v>3325</v>
      </c>
      <c r="F141" s="53" t="n">
        <v>2857</v>
      </c>
      <c r="G141" s="55" t="n">
        <v>21736.83</v>
      </c>
      <c r="H141" s="55" t="n">
        <v>19472.69</v>
      </c>
      <c r="I141" s="53" t="n">
        <v>714</v>
      </c>
      <c r="J141" s="53" t="n">
        <v>835</v>
      </c>
      <c r="K141" s="53" t="n">
        <v>369</v>
      </c>
      <c r="L141" s="53" t="n">
        <v>433</v>
      </c>
      <c r="M141" s="33">
        <f>F141-E141</f>
        <v/>
      </c>
      <c r="N141" s="33">
        <f>L141-K141</f>
        <v/>
      </c>
    </row>
    <row r="142">
      <c r="A142" s="58" t="inlineStr">
        <is>
          <t>231707 Kent's Liquors</t>
        </is>
      </c>
      <c r="B142" s="58" t="inlineStr">
        <is>
          <t>Sussex</t>
        </is>
      </c>
      <c r="C142" s="58" t="inlineStr">
        <is>
          <t>Jayson Romine</t>
        </is>
      </c>
      <c r="D142" s="58" t="inlineStr">
        <is>
          <t>Off-premise</t>
        </is>
      </c>
      <c r="E142" s="53" t="n">
        <v>716</v>
      </c>
      <c r="F142" s="53" t="n">
        <v>840</v>
      </c>
      <c r="G142" s="55" t="n">
        <v>5210.22</v>
      </c>
      <c r="H142" s="55" t="n">
        <v>6134.04</v>
      </c>
      <c r="I142" s="53" t="n">
        <v>176</v>
      </c>
      <c r="J142" s="53" t="n">
        <v>224</v>
      </c>
      <c r="K142" s="53" t="n">
        <v>107</v>
      </c>
      <c r="L142" s="53" t="n">
        <v>171</v>
      </c>
      <c r="M142" s="33">
        <f>F142-E142</f>
        <v/>
      </c>
      <c r="N142" s="33">
        <f>L142-K142</f>
        <v/>
      </c>
    </row>
    <row r="143">
      <c r="A143" s="58" t="inlineStr">
        <is>
          <t>27063 Archies (P)</t>
        </is>
      </c>
      <c r="B143" s="58" t="inlineStr">
        <is>
          <t>Passaic</t>
        </is>
      </c>
      <c r="C143" s="58" t="inlineStr">
        <is>
          <t>Matt Powierski</t>
        </is>
      </c>
      <c r="D143" s="58" t="inlineStr">
        <is>
          <t>Off-premise</t>
        </is>
      </c>
      <c r="E143" s="53" t="n">
        <v>3561</v>
      </c>
      <c r="F143" s="53" t="n">
        <v>3353</v>
      </c>
      <c r="G143" s="55" t="n">
        <v>24408.11</v>
      </c>
      <c r="H143" s="55" t="n">
        <v>23374.43</v>
      </c>
      <c r="I143" s="53" t="n">
        <v>364</v>
      </c>
      <c r="J143" s="53" t="n">
        <v>337</v>
      </c>
      <c r="K143" s="53" t="n">
        <v>522</v>
      </c>
      <c r="L143" s="53" t="n">
        <v>586</v>
      </c>
      <c r="M143" s="33">
        <f>F143-E143</f>
        <v/>
      </c>
      <c r="N143" s="33">
        <f>L143-K143</f>
        <v/>
      </c>
    </row>
    <row r="144">
      <c r="A144" s="58" t="inlineStr">
        <is>
          <t>70001 Montvale Wine/Liq &amp; Beer</t>
        </is>
      </c>
      <c r="B144" s="58" t="inlineStr">
        <is>
          <t>Bergen</t>
        </is>
      </c>
      <c r="C144" s="58" t="inlineStr">
        <is>
          <t>Shane Barreca</t>
        </is>
      </c>
      <c r="D144" s="58" t="inlineStr">
        <is>
          <t>Off-premise</t>
        </is>
      </c>
      <c r="E144" s="53" t="n">
        <v>6880</v>
      </c>
      <c r="F144" s="53" t="n">
        <v>6843</v>
      </c>
      <c r="G144" s="55" t="n">
        <v>44396.83000000001</v>
      </c>
      <c r="H144" s="55" t="n">
        <v>44544.47</v>
      </c>
      <c r="I144" s="53" t="n">
        <v>4046</v>
      </c>
      <c r="J144" s="53" t="n">
        <v>3965</v>
      </c>
      <c r="K144" s="53" t="n">
        <v>1435</v>
      </c>
      <c r="L144" s="53" t="n">
        <v>1498</v>
      </c>
      <c r="M144" s="33">
        <f>F144-E144</f>
        <v/>
      </c>
      <c r="N144" s="33">
        <f>L144-K144</f>
        <v/>
      </c>
    </row>
    <row r="145">
      <c r="A145" s="58" t="inlineStr">
        <is>
          <t>1009 Hootch Hut (P)</t>
        </is>
      </c>
      <c r="B145" s="58" t="inlineStr">
        <is>
          <t>Passaic</t>
        </is>
      </c>
      <c r="C145" s="58" t="inlineStr">
        <is>
          <t>Anthony Palmisano</t>
        </is>
      </c>
      <c r="D145" s="58" t="inlineStr">
        <is>
          <t>Off-premise</t>
        </is>
      </c>
      <c r="E145" s="53" t="n">
        <v>647</v>
      </c>
      <c r="F145" s="53" t="n">
        <v>743</v>
      </c>
      <c r="G145" s="55" t="n">
        <v>4005.219999999999</v>
      </c>
      <c r="H145" s="55" t="n">
        <v>4733.200000000001</v>
      </c>
      <c r="I145" s="53" t="n">
        <v>157</v>
      </c>
      <c r="J145" s="53" t="n">
        <v>159</v>
      </c>
      <c r="K145" s="53" t="n">
        <v>45</v>
      </c>
      <c r="L145" s="53" t="n">
        <v>107</v>
      </c>
      <c r="M145" s="33">
        <f>F145-E145</f>
        <v/>
      </c>
      <c r="N145" s="33">
        <f>L145-K145</f>
        <v/>
      </c>
    </row>
    <row r="146">
      <c r="A146" s="58" t="inlineStr">
        <is>
          <t>44009 Metro Liquor (Cliffside Park)</t>
        </is>
      </c>
      <c r="B146" s="58" t="inlineStr">
        <is>
          <t>Bergen</t>
        </is>
      </c>
      <c r="C146" s="58" t="inlineStr">
        <is>
          <t>Dan Lagala</t>
        </is>
      </c>
      <c r="D146" s="58" t="inlineStr">
        <is>
          <t>Unmatched</t>
        </is>
      </c>
      <c r="E146" s="53" t="n">
        <v>2392</v>
      </c>
      <c r="F146" s="53" t="n">
        <v>2469</v>
      </c>
      <c r="G146" s="55" t="n">
        <v>16850.21</v>
      </c>
      <c r="H146" s="55" t="n">
        <v>17480.37</v>
      </c>
      <c r="I146" s="53" t="n">
        <v>105</v>
      </c>
      <c r="J146" s="53" t="n">
        <v>106</v>
      </c>
      <c r="K146" s="53" t="n">
        <v>138</v>
      </c>
      <c r="L146" s="53" t="n">
        <v>200</v>
      </c>
      <c r="M146" s="33">
        <f>F146-E146</f>
        <v/>
      </c>
      <c r="N146" s="33">
        <f>L146-K146</f>
        <v/>
      </c>
    </row>
    <row r="147">
      <c r="A147" s="58" t="inlineStr">
        <is>
          <t>20031 La Joya Liquors</t>
        </is>
      </c>
      <c r="B147" s="58" t="inlineStr">
        <is>
          <t>Passaic</t>
        </is>
      </c>
      <c r="C147" s="58" t="inlineStr">
        <is>
          <t>Javier Melo</t>
        </is>
      </c>
      <c r="D147" s="58" t="inlineStr">
        <is>
          <t>Off-premise</t>
        </is>
      </c>
      <c r="E147" s="53" t="n">
        <v>2023</v>
      </c>
      <c r="F147" s="53" t="n">
        <v>2444</v>
      </c>
      <c r="G147" s="55" t="n">
        <v>13218.41</v>
      </c>
      <c r="H147" s="55" t="n">
        <v>18586.34</v>
      </c>
      <c r="I147" s="53" t="n">
        <v>193</v>
      </c>
      <c r="J147" s="53" t="n">
        <v>278</v>
      </c>
      <c r="K147" s="53" t="n">
        <v>85</v>
      </c>
      <c r="L147" s="53" t="n">
        <v>147</v>
      </c>
      <c r="M147" s="33">
        <f>F147-E147</f>
        <v/>
      </c>
      <c r="N147" s="33">
        <f>L147-K147</f>
        <v/>
      </c>
    </row>
    <row r="148">
      <c r="A148" s="58" t="inlineStr">
        <is>
          <t>42012 Vinny's Disc Liq (P)</t>
        </is>
      </c>
      <c r="B148" s="58" t="inlineStr">
        <is>
          <t>Bergen</t>
        </is>
      </c>
      <c r="C148" s="58" t="inlineStr">
        <is>
          <t>Matt Powierski</t>
        </is>
      </c>
      <c r="D148" s="58" t="inlineStr">
        <is>
          <t>Off-premise</t>
        </is>
      </c>
      <c r="E148" s="53" t="n">
        <v>1620</v>
      </c>
      <c r="F148" s="53" t="n">
        <v>1646</v>
      </c>
      <c r="G148" s="55" t="n">
        <v>11582.18</v>
      </c>
      <c r="H148" s="55" t="n">
        <v>12405.24</v>
      </c>
      <c r="I148" s="53" t="n">
        <v>122</v>
      </c>
      <c r="J148" s="53" t="n">
        <v>136</v>
      </c>
      <c r="K148" s="53" t="n">
        <v>233</v>
      </c>
      <c r="L148" s="53" t="n">
        <v>295</v>
      </c>
      <c r="M148" s="33">
        <f>F148-E148</f>
        <v/>
      </c>
      <c r="N148" s="33">
        <f>L148-K148</f>
        <v/>
      </c>
    </row>
    <row r="149">
      <c r="A149" s="58" t="inlineStr">
        <is>
          <t>20042 Midtown Liquors</t>
        </is>
      </c>
      <c r="B149" s="58" t="inlineStr">
        <is>
          <t>Passaic</t>
        </is>
      </c>
      <c r="C149" s="58" t="inlineStr">
        <is>
          <t>Pablo Lopez</t>
        </is>
      </c>
      <c r="D149" s="58" t="inlineStr">
        <is>
          <t>Off-premise</t>
        </is>
      </c>
      <c r="E149" s="53" t="n">
        <v>2041</v>
      </c>
      <c r="F149" s="53" t="n">
        <v>2170</v>
      </c>
      <c r="G149" s="55" t="n">
        <v>13570.98</v>
      </c>
      <c r="H149" s="55" t="n">
        <v>14170.97</v>
      </c>
      <c r="I149" s="53" t="n">
        <v>222</v>
      </c>
      <c r="J149" s="53" t="n">
        <v>337</v>
      </c>
      <c r="K149" s="53" t="n">
        <v>117</v>
      </c>
      <c r="L149" s="53" t="n">
        <v>179</v>
      </c>
      <c r="M149" s="33">
        <f>F149-E149</f>
        <v/>
      </c>
      <c r="N149" s="33">
        <f>L149-K149</f>
        <v/>
      </c>
    </row>
    <row r="150">
      <c r="A150" s="58" t="inlineStr">
        <is>
          <t>71011 Marriott (P) Park Ridge</t>
        </is>
      </c>
      <c r="B150" s="58" t="inlineStr">
        <is>
          <t>Bergen</t>
        </is>
      </c>
      <c r="C150" s="58" t="inlineStr">
        <is>
          <t>Paul Mclaughlin</t>
        </is>
      </c>
      <c r="D150" s="58" t="inlineStr">
        <is>
          <t>On-premise</t>
        </is>
      </c>
      <c r="E150" s="53" t="n">
        <v>131</v>
      </c>
      <c r="F150" s="53" t="n">
        <v>160</v>
      </c>
      <c r="G150" s="55" t="n">
        <v>1212.49</v>
      </c>
      <c r="H150" s="55" t="n">
        <v>1388.15</v>
      </c>
      <c r="I150" s="53" t="n">
        <v>78</v>
      </c>
      <c r="J150" s="53" t="n">
        <v>62</v>
      </c>
      <c r="K150" s="53" t="n">
        <v>6</v>
      </c>
      <c r="L150" s="53" t="n">
        <v>68</v>
      </c>
      <c r="M150" s="33">
        <f>F150-E150</f>
        <v/>
      </c>
      <c r="N150" s="33">
        <f>L150-K150</f>
        <v/>
      </c>
    </row>
    <row r="151">
      <c r="A151" s="58" t="inlineStr">
        <is>
          <t>43015 Kikos Liquors Ii</t>
        </is>
      </c>
      <c r="B151" s="58" t="inlineStr">
        <is>
          <t>Bergen</t>
        </is>
      </c>
      <c r="C151" s="58" t="inlineStr">
        <is>
          <t>Dan Lagala</t>
        </is>
      </c>
      <c r="D151" s="58" t="inlineStr">
        <is>
          <t>Off-premise</t>
        </is>
      </c>
      <c r="E151" s="53" t="n">
        <v>2488</v>
      </c>
      <c r="F151" s="53" t="n">
        <v>2752</v>
      </c>
      <c r="G151" s="55" t="n">
        <v>16319.15</v>
      </c>
      <c r="H151" s="55" t="n">
        <v>17389.01</v>
      </c>
      <c r="I151" s="53" t="n">
        <v>324</v>
      </c>
      <c r="J151" s="53" t="n">
        <v>220</v>
      </c>
      <c r="K151" s="53" t="n">
        <v>157</v>
      </c>
      <c r="L151" s="53" t="n">
        <v>218</v>
      </c>
      <c r="M151" s="33">
        <f>F151-E151</f>
        <v/>
      </c>
      <c r="N151" s="33">
        <f>L151-K151</f>
        <v/>
      </c>
    </row>
    <row r="152">
      <c r="A152" s="58" t="inlineStr">
        <is>
          <t>22022 C Town (A)</t>
        </is>
      </c>
      <c r="B152" s="58" t="inlineStr">
        <is>
          <t>Passaic</t>
        </is>
      </c>
      <c r="C152" s="58" t="inlineStr">
        <is>
          <t>Derrick Laws</t>
        </is>
      </c>
      <c r="D152" s="58" t="inlineStr">
        <is>
          <t>Off-premise</t>
        </is>
      </c>
      <c r="E152" s="53" t="n">
        <v>769</v>
      </c>
      <c r="F152" s="53" t="n">
        <v>742</v>
      </c>
      <c r="G152" s="55" t="n">
        <v>5928.85</v>
      </c>
      <c r="H152" s="55" t="n">
        <v>6280.280000000001</v>
      </c>
      <c r="I152" s="53" t="n">
        <v>81</v>
      </c>
      <c r="J152" s="53" t="n">
        <v>103</v>
      </c>
      <c r="K152" s="53" t="n">
        <v>70</v>
      </c>
      <c r="L152" s="53" t="n">
        <v>131</v>
      </c>
      <c r="M152" s="33">
        <f>F152-E152</f>
        <v/>
      </c>
      <c r="N152" s="33">
        <f>L152-K152</f>
        <v/>
      </c>
    </row>
    <row r="153">
      <c r="A153" s="58" t="inlineStr">
        <is>
          <t>120079 U S 1 Buy Rite (A)</t>
        </is>
      </c>
      <c r="B153" s="58" t="inlineStr">
        <is>
          <t>Union</t>
        </is>
      </c>
      <c r="C153" s="58" t="inlineStr">
        <is>
          <t>Andrew Lundy</t>
        </is>
      </c>
      <c r="D153" s="58" t="inlineStr">
        <is>
          <t>Off-premise</t>
        </is>
      </c>
      <c r="E153" s="53" t="n">
        <v>52</v>
      </c>
      <c r="F153" s="53" t="n">
        <v>112</v>
      </c>
      <c r="G153" s="55" t="n">
        <v>371.16</v>
      </c>
      <c r="H153" s="55" t="n">
        <v>679.87</v>
      </c>
      <c r="I153" s="53" t="n">
        <v>300</v>
      </c>
      <c r="J153" s="53" t="n">
        <v>212</v>
      </c>
      <c r="K153" s="53" t="n">
        <v>52</v>
      </c>
      <c r="L153" s="53" t="n">
        <v>112</v>
      </c>
      <c r="M153" s="33">
        <f>F153-E153</f>
        <v/>
      </c>
      <c r="N153" s="33">
        <f>L153-K153</f>
        <v/>
      </c>
    </row>
    <row r="154">
      <c r="A154" s="58" t="inlineStr">
        <is>
          <t>13001 Shop Rite Liq (A)Littlefl</t>
        </is>
      </c>
      <c r="B154" s="58" t="inlineStr">
        <is>
          <t>Passaic</t>
        </is>
      </c>
      <c r="C154" s="58" t="inlineStr">
        <is>
          <t>Derrick Laws</t>
        </is>
      </c>
      <c r="D154" s="58" t="inlineStr">
        <is>
          <t>Off-premise</t>
        </is>
      </c>
      <c r="E154" s="53" t="n">
        <v>10380</v>
      </c>
      <c r="F154" s="53" t="n">
        <v>9624</v>
      </c>
      <c r="G154" s="55" t="n">
        <v>67209.63</v>
      </c>
      <c r="H154" s="55" t="n">
        <v>62005.46000000001</v>
      </c>
      <c r="I154" s="53" t="n">
        <v>3107</v>
      </c>
      <c r="J154" s="53" t="n">
        <v>3090</v>
      </c>
      <c r="K154" s="53" t="n">
        <v>1319</v>
      </c>
      <c r="L154" s="53" t="n">
        <v>1379</v>
      </c>
      <c r="M154" s="33">
        <f>F154-E154</f>
        <v/>
      </c>
      <c r="N154" s="33">
        <f>L154-K154</f>
        <v/>
      </c>
    </row>
    <row r="155">
      <c r="A155" s="58" t="inlineStr">
        <is>
          <t>230905 ShopRite Wines &amp; Spirits of Franklin</t>
        </is>
      </c>
      <c r="B155" s="58" t="inlineStr">
        <is>
          <t>Sussex</t>
        </is>
      </c>
      <c r="C155" s="58" t="inlineStr">
        <is>
          <t>Jayson Romine</t>
        </is>
      </c>
      <c r="D155" s="58" t="inlineStr">
        <is>
          <t>Off-premise</t>
        </is>
      </c>
      <c r="E155" s="53" t="n">
        <v>5613</v>
      </c>
      <c r="F155" s="53" t="n">
        <v>4863</v>
      </c>
      <c r="G155" s="55" t="n">
        <v>34521.57999999999</v>
      </c>
      <c r="H155" s="55" t="n">
        <v>30097.97</v>
      </c>
      <c r="I155" s="53" t="n">
        <v>2328</v>
      </c>
      <c r="J155" s="53" t="n">
        <v>2204</v>
      </c>
      <c r="K155" s="53" t="n">
        <v>834</v>
      </c>
      <c r="L155" s="53" t="n">
        <v>894</v>
      </c>
      <c r="M155" s="33">
        <f>F155-E155</f>
        <v/>
      </c>
      <c r="N155" s="33">
        <f>L155-K155</f>
        <v/>
      </c>
    </row>
    <row r="156">
      <c r="A156" s="58" t="inlineStr">
        <is>
          <t>40030 JINYA Ramen Bar (Hackensack)</t>
        </is>
      </c>
      <c r="B156" s="58" t="inlineStr">
        <is>
          <t>Bergen</t>
        </is>
      </c>
      <c r="C156" s="58" t="inlineStr">
        <is>
          <t>Nick Melissari</t>
        </is>
      </c>
      <c r="D156" s="58" t="inlineStr">
        <is>
          <t>Unmatched</t>
        </is>
      </c>
      <c r="E156" s="53" t="n">
        <v>0</v>
      </c>
      <c r="F156" s="53" t="n">
        <v>60</v>
      </c>
      <c r="G156" s="55" t="n">
        <v>0</v>
      </c>
      <c r="H156" s="55" t="n">
        <v>556.2099999999999</v>
      </c>
      <c r="I156" s="53" t="n">
        <v>0</v>
      </c>
      <c r="J156" s="53" t="n">
        <v>0</v>
      </c>
      <c r="K156" s="53" t="n">
        <v>0</v>
      </c>
      <c r="L156" s="53" t="n">
        <v>60</v>
      </c>
      <c r="M156" s="33">
        <f>F156-E156</f>
        <v/>
      </c>
      <c r="N156" s="33">
        <f>L156-K156</f>
        <v/>
      </c>
    </row>
    <row r="157">
      <c r="A157" s="58" t="inlineStr">
        <is>
          <t>67005 Shoprite Liq (A)Northvle</t>
        </is>
      </c>
      <c r="B157" s="58" t="inlineStr">
        <is>
          <t>Bergen</t>
        </is>
      </c>
      <c r="C157" s="58" t="inlineStr">
        <is>
          <t>Shane Barreca</t>
        </is>
      </c>
      <c r="D157" s="58" t="inlineStr">
        <is>
          <t>Off-premise</t>
        </is>
      </c>
      <c r="E157" s="53" t="n">
        <v>5904</v>
      </c>
      <c r="F157" s="53" t="n">
        <v>5963</v>
      </c>
      <c r="G157" s="55" t="n">
        <v>37134.89000000001</v>
      </c>
      <c r="H157" s="55" t="n">
        <v>38169.17000000001</v>
      </c>
      <c r="I157" s="53" t="n">
        <v>2981</v>
      </c>
      <c r="J157" s="53" t="n">
        <v>3118</v>
      </c>
      <c r="K157" s="53" t="n">
        <v>1229</v>
      </c>
      <c r="L157" s="53" t="n">
        <v>1289</v>
      </c>
      <c r="M157" s="33">
        <f>F157-E157</f>
        <v/>
      </c>
      <c r="N157" s="33">
        <f>L157-K157</f>
        <v/>
      </c>
    </row>
    <row r="158">
      <c r="A158" s="58" t="inlineStr">
        <is>
          <t>38021 Buy Rite Of Main St Lodi</t>
        </is>
      </c>
      <c r="B158" s="58" t="inlineStr">
        <is>
          <t>Bergen</t>
        </is>
      </c>
      <c r="C158" s="58" t="inlineStr">
        <is>
          <t>Chris Payton</t>
        </is>
      </c>
      <c r="D158" s="58" t="inlineStr">
        <is>
          <t>Off-premise</t>
        </is>
      </c>
      <c r="E158" s="53" t="n">
        <v>3838</v>
      </c>
      <c r="F158" s="53" t="n">
        <v>4608</v>
      </c>
      <c r="G158" s="55" t="n">
        <v>25715.4</v>
      </c>
      <c r="H158" s="55" t="n">
        <v>31693.12</v>
      </c>
      <c r="I158" s="53" t="n">
        <v>597</v>
      </c>
      <c r="J158" s="53" t="n">
        <v>607</v>
      </c>
      <c r="K158" s="53" t="n">
        <v>391</v>
      </c>
      <c r="L158" s="53" t="n">
        <v>450</v>
      </c>
      <c r="M158" s="33">
        <f>F158-E158</f>
        <v/>
      </c>
      <c r="N158" s="33">
        <f>L158-K158</f>
        <v/>
      </c>
    </row>
    <row r="159">
      <c r="A159" s="58" t="inlineStr">
        <is>
          <t>44025 Rudys (A)</t>
        </is>
      </c>
      <c r="B159" s="58" t="inlineStr">
        <is>
          <t>Bergen</t>
        </is>
      </c>
      <c r="C159" s="58" t="inlineStr">
        <is>
          <t>Dan Lagala</t>
        </is>
      </c>
      <c r="D159" s="58" t="inlineStr">
        <is>
          <t>On-premise</t>
        </is>
      </c>
      <c r="E159" s="53" t="n">
        <v>132</v>
      </c>
      <c r="F159" s="53" t="n">
        <v>279</v>
      </c>
      <c r="G159" s="55" t="n">
        <v>1478.5</v>
      </c>
      <c r="H159" s="55" t="n">
        <v>2504.06</v>
      </c>
      <c r="I159" s="53" t="n">
        <v>7</v>
      </c>
      <c r="J159" s="53" t="n">
        <v>40</v>
      </c>
      <c r="K159" s="53" t="n">
        <v>32</v>
      </c>
      <c r="L159" s="53" t="n">
        <v>91</v>
      </c>
      <c r="M159" s="33">
        <f>F159-E159</f>
        <v/>
      </c>
      <c r="N159" s="33">
        <f>L159-K159</f>
        <v/>
      </c>
    </row>
    <row r="160">
      <c r="A160" s="58" t="inlineStr">
        <is>
          <t>30005 Rutherford Wine (A)</t>
        </is>
      </c>
      <c r="B160" s="58" t="inlineStr">
        <is>
          <t>Bergen</t>
        </is>
      </c>
      <c r="C160" s="58" t="inlineStr">
        <is>
          <t>Jim Heaney</t>
        </is>
      </c>
      <c r="D160" s="58" t="inlineStr">
        <is>
          <t>Off-premise</t>
        </is>
      </c>
      <c r="E160" s="53" t="n">
        <v>834</v>
      </c>
      <c r="F160" s="53" t="n">
        <v>697</v>
      </c>
      <c r="G160" s="55" t="n">
        <v>5154.420000000001</v>
      </c>
      <c r="H160" s="55" t="n">
        <v>5120.77</v>
      </c>
      <c r="I160" s="53" t="n">
        <v>427</v>
      </c>
      <c r="J160" s="53" t="n">
        <v>417</v>
      </c>
      <c r="K160" s="53" t="n">
        <v>132</v>
      </c>
      <c r="L160" s="53" t="n">
        <v>191</v>
      </c>
      <c r="M160" s="33">
        <f>F160-E160</f>
        <v/>
      </c>
      <c r="N160" s="33">
        <f>L160-K160</f>
        <v/>
      </c>
    </row>
    <row r="161">
      <c r="A161" s="58" t="inlineStr">
        <is>
          <t>77007 Wine Land</t>
        </is>
      </c>
      <c r="B161" s="58" t="inlineStr">
        <is>
          <t>Bergen</t>
        </is>
      </c>
      <c r="C161" s="58" t="inlineStr">
        <is>
          <t>Matt Powierski</t>
        </is>
      </c>
      <c r="D161" s="58" t="inlineStr">
        <is>
          <t>Off-premise</t>
        </is>
      </c>
      <c r="E161" s="53" t="n">
        <v>1432</v>
      </c>
      <c r="F161" s="53" t="n">
        <v>1485</v>
      </c>
      <c r="G161" s="55" t="n">
        <v>9555.390000000001</v>
      </c>
      <c r="H161" s="55" t="n">
        <v>10040.07</v>
      </c>
      <c r="I161" s="53" t="n">
        <v>255</v>
      </c>
      <c r="J161" s="53" t="n">
        <v>287</v>
      </c>
      <c r="K161" s="53" t="n">
        <v>236</v>
      </c>
      <c r="L161" s="53" t="n">
        <v>295</v>
      </c>
      <c r="M161" s="33">
        <f>F161-E161</f>
        <v/>
      </c>
      <c r="N161" s="33">
        <f>L161-K161</f>
        <v/>
      </c>
    </row>
    <row r="162">
      <c r="A162" s="58" t="inlineStr">
        <is>
          <t>170299 E-Z Market &amp; Liq (P)</t>
        </is>
      </c>
      <c r="B162" s="58" t="inlineStr">
        <is>
          <t>Hudson</t>
        </is>
      </c>
      <c r="C162" s="58" t="inlineStr">
        <is>
          <t>Dylan Rubino</t>
        </is>
      </c>
      <c r="D162" s="58" t="inlineStr">
        <is>
          <t>Off-premise</t>
        </is>
      </c>
      <c r="E162" s="53" t="n">
        <v>0</v>
      </c>
      <c r="F162" s="53" t="n">
        <v>58</v>
      </c>
      <c r="G162" s="55" t="n">
        <v>0</v>
      </c>
      <c r="H162" s="55" t="n">
        <v>385.88</v>
      </c>
      <c r="I162" s="53" t="n">
        <v>0</v>
      </c>
      <c r="J162" s="53" t="n">
        <v>21</v>
      </c>
      <c r="K162" s="53" t="n">
        <v>0</v>
      </c>
      <c r="L162" s="53" t="n">
        <v>58</v>
      </c>
      <c r="M162" s="33">
        <f>F162-E162</f>
        <v/>
      </c>
      <c r="N162" s="33">
        <f>L162-K162</f>
        <v/>
      </c>
    </row>
    <row r="163">
      <c r="A163" s="58" t="inlineStr">
        <is>
          <t>27016 Marina's Wine &amp; Spirits</t>
        </is>
      </c>
      <c r="B163" s="58" t="inlineStr">
        <is>
          <t>Passaic</t>
        </is>
      </c>
      <c r="C163" s="58" t="inlineStr">
        <is>
          <t>Jim Heaney</t>
        </is>
      </c>
      <c r="D163" s="58" t="inlineStr">
        <is>
          <t>Off-premise</t>
        </is>
      </c>
      <c r="E163" s="53" t="n">
        <v>1595</v>
      </c>
      <c r="F163" s="53" t="n">
        <v>2503</v>
      </c>
      <c r="G163" s="55" t="n">
        <v>10758.17</v>
      </c>
      <c r="H163" s="55" t="n">
        <v>17020.88</v>
      </c>
      <c r="I163" s="53" t="n">
        <v>207</v>
      </c>
      <c r="J163" s="53" t="n">
        <v>211</v>
      </c>
      <c r="K163" s="53" t="n">
        <v>434</v>
      </c>
      <c r="L163" s="53" t="n">
        <v>492</v>
      </c>
      <c r="M163" s="33">
        <f>F163-E163</f>
        <v/>
      </c>
      <c r="N163" s="33">
        <f>L163-K163</f>
        <v/>
      </c>
    </row>
    <row r="164">
      <c r="A164" s="58" t="inlineStr">
        <is>
          <t>51018 Teaneck Discount Liquor</t>
        </is>
      </c>
      <c r="B164" s="58" t="inlineStr">
        <is>
          <t>Bergen</t>
        </is>
      </c>
      <c r="C164" s="58" t="inlineStr">
        <is>
          <t>Dave Ehlers</t>
        </is>
      </c>
      <c r="D164" s="58" t="inlineStr">
        <is>
          <t>Off-premise</t>
        </is>
      </c>
      <c r="E164" s="53" t="n">
        <v>1029</v>
      </c>
      <c r="F164" s="53" t="n">
        <v>1081</v>
      </c>
      <c r="G164" s="55" t="n">
        <v>7314.98</v>
      </c>
      <c r="H164" s="55" t="n">
        <v>8157.51</v>
      </c>
      <c r="I164" s="53" t="n">
        <v>159</v>
      </c>
      <c r="J164" s="53" t="n">
        <v>192</v>
      </c>
      <c r="K164" s="53" t="n">
        <v>202</v>
      </c>
      <c r="L164" s="53" t="n">
        <v>259</v>
      </c>
      <c r="M164" s="33">
        <f>F164-E164</f>
        <v/>
      </c>
      <c r="N164" s="33">
        <f>L164-K164</f>
        <v/>
      </c>
    </row>
    <row r="165">
      <c r="A165" s="58" t="inlineStr">
        <is>
          <t>230440 Brix - Wine, Spirits, Beer (Fredon)</t>
        </is>
      </c>
      <c r="B165" s="58" t="inlineStr">
        <is>
          <t>Sussex</t>
        </is>
      </c>
      <c r="C165" s="58" t="inlineStr">
        <is>
          <t>Jayson Romine</t>
        </is>
      </c>
      <c r="D165" s="58" t="inlineStr">
        <is>
          <t>Off-premise</t>
        </is>
      </c>
      <c r="E165" s="53" t="n">
        <v>1183</v>
      </c>
      <c r="F165" s="53" t="n">
        <v>1876</v>
      </c>
      <c r="G165" s="55" t="n">
        <v>7779.03</v>
      </c>
      <c r="H165" s="55" t="n">
        <v>11801.81</v>
      </c>
      <c r="I165" s="53" t="n">
        <v>448</v>
      </c>
      <c r="J165" s="53" t="n">
        <v>614</v>
      </c>
      <c r="K165" s="53" t="n">
        <v>196</v>
      </c>
      <c r="L165" s="53" t="n">
        <v>253</v>
      </c>
      <c r="M165" s="33">
        <f>F165-E165</f>
        <v/>
      </c>
      <c r="N165" s="33">
        <f>L165-K165</f>
        <v/>
      </c>
    </row>
    <row r="166">
      <c r="A166" s="58" t="inlineStr">
        <is>
          <t>231215 Mac &amp; Lindy's W &amp; S (A)</t>
        </is>
      </c>
      <c r="B166" s="58" t="inlineStr">
        <is>
          <t>Sussex</t>
        </is>
      </c>
      <c r="C166" s="58" t="inlineStr">
        <is>
          <t>Jayson Romine</t>
        </is>
      </c>
      <c r="D166" s="58" t="inlineStr">
        <is>
          <t>Off-premise</t>
        </is>
      </c>
      <c r="E166" s="53" t="n">
        <v>4841</v>
      </c>
      <c r="F166" s="53" t="n">
        <v>4412</v>
      </c>
      <c r="G166" s="55" t="n">
        <v>31375.9</v>
      </c>
      <c r="H166" s="55" t="n">
        <v>28794.19</v>
      </c>
      <c r="I166" s="53" t="n">
        <v>2205</v>
      </c>
      <c r="J166" s="53" t="n">
        <v>1876</v>
      </c>
      <c r="K166" s="53" t="n">
        <v>702</v>
      </c>
      <c r="L166" s="53" t="n">
        <v>759</v>
      </c>
      <c r="M166" s="33">
        <f>F166-E166</f>
        <v/>
      </c>
      <c r="N166" s="33">
        <f>L166-K166</f>
        <v/>
      </c>
    </row>
    <row r="167">
      <c r="A167" s="58" t="inlineStr">
        <is>
          <t>20051 Costambar Bar &amp; Liquor Corp.</t>
        </is>
      </c>
      <c r="B167" s="58" t="inlineStr">
        <is>
          <t>Passaic</t>
        </is>
      </c>
      <c r="C167" s="58" t="inlineStr">
        <is>
          <t>Pablo Lopez</t>
        </is>
      </c>
      <c r="D167" s="58" t="inlineStr">
        <is>
          <t>Off-premise</t>
        </is>
      </c>
      <c r="E167" s="53" t="n">
        <v>159</v>
      </c>
      <c r="F167" s="53" t="n">
        <v>1715</v>
      </c>
      <c r="G167" s="55" t="n">
        <v>1543.13</v>
      </c>
      <c r="H167" s="55" t="n">
        <v>12731.46</v>
      </c>
      <c r="I167" s="53" t="n">
        <v>0</v>
      </c>
      <c r="J167" s="53" t="n">
        <v>13</v>
      </c>
      <c r="K167" s="53" t="n">
        <v>8</v>
      </c>
      <c r="L167" s="53" t="n">
        <v>65</v>
      </c>
      <c r="M167" s="33">
        <f>F167-E167</f>
        <v/>
      </c>
      <c r="N167" s="33">
        <f>L167-K167</f>
        <v/>
      </c>
    </row>
    <row r="168">
      <c r="A168" s="58" t="inlineStr">
        <is>
          <t>20114 Ronny's Liqrs (Z)</t>
        </is>
      </c>
      <c r="B168" s="58" t="inlineStr">
        <is>
          <t>Passaic</t>
        </is>
      </c>
      <c r="C168" s="58" t="inlineStr">
        <is>
          <t>Pablo Lopez</t>
        </is>
      </c>
      <c r="D168" s="58" t="inlineStr">
        <is>
          <t>Off-premise</t>
        </is>
      </c>
      <c r="E168" s="53" t="n">
        <v>882</v>
      </c>
      <c r="F168" s="53" t="n">
        <v>1239</v>
      </c>
      <c r="G168" s="55" t="n">
        <v>6967.03</v>
      </c>
      <c r="H168" s="55" t="n">
        <v>9613.140000000001</v>
      </c>
      <c r="I168" s="53" t="n">
        <v>10</v>
      </c>
      <c r="J168" s="53" t="n">
        <v>56</v>
      </c>
      <c r="K168" s="53" t="n">
        <v>20</v>
      </c>
      <c r="L168" s="53" t="n">
        <v>77</v>
      </c>
      <c r="M168" s="33">
        <f>F168-E168</f>
        <v/>
      </c>
      <c r="N168" s="33">
        <f>L168-K168</f>
        <v/>
      </c>
    </row>
    <row r="169">
      <c r="A169" s="58" t="inlineStr">
        <is>
          <t>24026 Rock Bar</t>
        </is>
      </c>
      <c r="B169" s="58" t="inlineStr">
        <is>
          <t>Passaic</t>
        </is>
      </c>
      <c r="C169" s="58" t="inlineStr">
        <is>
          <t>Allison Scott</t>
        </is>
      </c>
      <c r="D169" s="58" t="inlineStr">
        <is>
          <t>On-premise</t>
        </is>
      </c>
      <c r="E169" s="53" t="n">
        <v>943</v>
      </c>
      <c r="F169" s="53" t="n">
        <v>1102</v>
      </c>
      <c r="G169" s="55" t="n">
        <v>6725.83</v>
      </c>
      <c r="H169" s="55" t="n">
        <v>8197.18</v>
      </c>
      <c r="I169" s="53" t="n">
        <v>235</v>
      </c>
      <c r="J169" s="53" t="n">
        <v>227</v>
      </c>
      <c r="K169" s="53" t="n">
        <v>58</v>
      </c>
      <c r="L169" s="53" t="n">
        <v>114</v>
      </c>
      <c r="M169" s="33">
        <f>F169-E169</f>
        <v/>
      </c>
      <c r="N169" s="33">
        <f>L169-K169</f>
        <v/>
      </c>
    </row>
    <row r="170">
      <c r="A170" s="58" t="inlineStr">
        <is>
          <t>20076 Moca Liquors Ii</t>
        </is>
      </c>
      <c r="B170" s="58" t="inlineStr">
        <is>
          <t>Passaic</t>
        </is>
      </c>
      <c r="C170" s="58" t="inlineStr">
        <is>
          <t>Derrick Laws</t>
        </is>
      </c>
      <c r="D170" s="58" t="inlineStr">
        <is>
          <t>Unmatched</t>
        </is>
      </c>
      <c r="E170" s="53" t="n">
        <v>0</v>
      </c>
      <c r="F170" s="53" t="n">
        <v>1187</v>
      </c>
      <c r="G170" s="55" t="n">
        <v>0</v>
      </c>
      <c r="H170" s="55" t="n">
        <v>8856.33</v>
      </c>
      <c r="I170" s="53" t="n">
        <v>0</v>
      </c>
      <c r="J170" s="53" t="n">
        <v>126</v>
      </c>
      <c r="K170" s="53" t="n">
        <v>0</v>
      </c>
      <c r="L170" s="53" t="n">
        <v>56</v>
      </c>
      <c r="M170" s="33">
        <f>F170-E170</f>
        <v/>
      </c>
      <c r="N170" s="33">
        <f>L170-K170</f>
        <v/>
      </c>
    </row>
    <row r="171">
      <c r="A171" s="58" t="inlineStr">
        <is>
          <t>21044 Farm Boy</t>
        </is>
      </c>
      <c r="B171" s="58" t="inlineStr">
        <is>
          <t>Passaic</t>
        </is>
      </c>
      <c r="C171" s="58" t="inlineStr">
        <is>
          <t>Javier Melo</t>
        </is>
      </c>
      <c r="D171" s="58" t="inlineStr">
        <is>
          <t>Off-premise</t>
        </is>
      </c>
      <c r="E171" s="53" t="n">
        <v>5908</v>
      </c>
      <c r="F171" s="53" t="n">
        <v>5517</v>
      </c>
      <c r="G171" s="55" t="n">
        <v>43234.93000000001</v>
      </c>
      <c r="H171" s="55" t="n">
        <v>42635.43</v>
      </c>
      <c r="I171" s="53" t="n">
        <v>414</v>
      </c>
      <c r="J171" s="53" t="n">
        <v>479</v>
      </c>
      <c r="K171" s="53" t="n">
        <v>496</v>
      </c>
      <c r="L171" s="53" t="n">
        <v>552</v>
      </c>
      <c r="M171" s="33">
        <f>F171-E171</f>
        <v/>
      </c>
      <c r="N171" s="33">
        <f>L171-K171</f>
        <v/>
      </c>
    </row>
    <row r="172">
      <c r="A172" s="58" t="inlineStr">
        <is>
          <t>62006 Murphy's Fine Wines &amp; Liquors (UNI 4H Inc.)</t>
        </is>
      </c>
      <c r="B172" s="58" t="inlineStr">
        <is>
          <t>Bergen</t>
        </is>
      </c>
      <c r="C172" s="58" t="inlineStr">
        <is>
          <t>Shane Barreca</t>
        </is>
      </c>
      <c r="D172" s="58" t="inlineStr">
        <is>
          <t>Off-premise</t>
        </is>
      </c>
      <c r="E172" s="53" t="n">
        <v>380</v>
      </c>
      <c r="F172" s="53" t="n">
        <v>482</v>
      </c>
      <c r="G172" s="55" t="n">
        <v>3178.67</v>
      </c>
      <c r="H172" s="55" t="n">
        <v>3977.42</v>
      </c>
      <c r="I172" s="53" t="n">
        <v>74</v>
      </c>
      <c r="J172" s="53" t="n">
        <v>63</v>
      </c>
      <c r="K172" s="53" t="n">
        <v>45</v>
      </c>
      <c r="L172" s="53" t="n">
        <v>101</v>
      </c>
      <c r="M172" s="33">
        <f>F172-E172</f>
        <v/>
      </c>
      <c r="N172" s="33">
        <f>L172-K172</f>
        <v/>
      </c>
    </row>
    <row r="173">
      <c r="A173" s="58" t="inlineStr">
        <is>
          <t>31033 Capri Deli&amp;Liq (P)</t>
        </is>
      </c>
      <c r="B173" s="58" t="inlineStr">
        <is>
          <t>Bergen</t>
        </is>
      </c>
      <c r="C173" s="58" t="inlineStr">
        <is>
          <t>Matt Powierski</t>
        </is>
      </c>
      <c r="D173" s="58" t="inlineStr">
        <is>
          <t>Off-premise</t>
        </is>
      </c>
      <c r="E173" s="53" t="n">
        <v>2113</v>
      </c>
      <c r="F173" s="53" t="n">
        <v>1939</v>
      </c>
      <c r="G173" s="55" t="n">
        <v>14341.88</v>
      </c>
      <c r="H173" s="55" t="n">
        <v>13651.28</v>
      </c>
      <c r="I173" s="53" t="n">
        <v>268</v>
      </c>
      <c r="J173" s="53" t="n">
        <v>279</v>
      </c>
      <c r="K173" s="53" t="n">
        <v>360</v>
      </c>
      <c r="L173" s="53" t="n">
        <v>415</v>
      </c>
      <c r="M173" s="33">
        <f>F173-E173</f>
        <v/>
      </c>
      <c r="N173" s="33">
        <f>L173-K173</f>
        <v/>
      </c>
    </row>
    <row r="174">
      <c r="A174" s="58" t="inlineStr">
        <is>
          <t>49085 Tommy's Tavern + Tap (Edgewater)</t>
        </is>
      </c>
      <c r="B174" s="58" t="inlineStr">
        <is>
          <t>Bergen</t>
        </is>
      </c>
      <c r="C174" s="58" t="inlineStr">
        <is>
          <t>Nick Melissari</t>
        </is>
      </c>
      <c r="D174" s="58" t="inlineStr">
        <is>
          <t>On-premise</t>
        </is>
      </c>
      <c r="E174" s="53" t="n">
        <v>367</v>
      </c>
      <c r="F174" s="53" t="n">
        <v>576</v>
      </c>
      <c r="G174" s="55" t="n">
        <v>2439.24</v>
      </c>
      <c r="H174" s="55" t="n">
        <v>4081.67</v>
      </c>
      <c r="I174" s="53" t="n">
        <v>122</v>
      </c>
      <c r="J174" s="53" t="n">
        <v>120</v>
      </c>
      <c r="K174" s="53" t="n">
        <v>46</v>
      </c>
      <c r="L174" s="53" t="n">
        <v>101</v>
      </c>
      <c r="M174" s="33">
        <f>F174-E174</f>
        <v/>
      </c>
      <c r="N174" s="33">
        <f>L174-K174</f>
        <v/>
      </c>
    </row>
    <row r="175">
      <c r="A175" s="58" t="inlineStr">
        <is>
          <t>1023 The New Jessies Kettle(P)</t>
        </is>
      </c>
      <c r="B175" s="58" t="inlineStr">
        <is>
          <t>Passaic</t>
        </is>
      </c>
      <c r="C175" s="58" t="inlineStr">
        <is>
          <t>Anthony Palmisano</t>
        </is>
      </c>
      <c r="D175" s="58" t="inlineStr">
        <is>
          <t>On-premise</t>
        </is>
      </c>
      <c r="E175" s="53" t="n">
        <v>602</v>
      </c>
      <c r="F175" s="53" t="n">
        <v>710</v>
      </c>
      <c r="G175" s="55" t="n">
        <v>4563.72</v>
      </c>
      <c r="H175" s="55" t="n">
        <v>5764.03</v>
      </c>
      <c r="I175" s="53" t="n">
        <v>155</v>
      </c>
      <c r="J175" s="53" t="n">
        <v>170</v>
      </c>
      <c r="K175" s="53" t="n">
        <v>24</v>
      </c>
      <c r="L175" s="53" t="n">
        <v>78</v>
      </c>
      <c r="M175" s="33">
        <f>F175-E175</f>
        <v/>
      </c>
      <c r="N175" s="33">
        <f>L175-K175</f>
        <v/>
      </c>
    </row>
    <row r="176">
      <c r="A176" s="58" t="inlineStr">
        <is>
          <t>38007 Garden Liquors (P)</t>
        </is>
      </c>
      <c r="B176" s="58" t="inlineStr">
        <is>
          <t>Bergen</t>
        </is>
      </c>
      <c r="C176" s="58" t="inlineStr">
        <is>
          <t>Chris Payton</t>
        </is>
      </c>
      <c r="D176" s="58" t="inlineStr">
        <is>
          <t>Off-premise</t>
        </is>
      </c>
      <c r="E176" s="53" t="n">
        <v>7595</v>
      </c>
      <c r="F176" s="53" t="n">
        <v>7342</v>
      </c>
      <c r="G176" s="55" t="n">
        <v>51956.03999999999</v>
      </c>
      <c r="H176" s="55" t="n">
        <v>50289.4</v>
      </c>
      <c r="I176" s="53" t="n">
        <v>489</v>
      </c>
      <c r="J176" s="53" t="n">
        <v>449</v>
      </c>
      <c r="K176" s="53" t="n">
        <v>661</v>
      </c>
      <c r="L176" s="53" t="n">
        <v>715</v>
      </c>
      <c r="M176" s="33">
        <f>F176-E176</f>
        <v/>
      </c>
      <c r="N176" s="33">
        <f>L176-K176</f>
        <v/>
      </c>
    </row>
    <row r="177">
      <c r="A177" s="58" t="inlineStr">
        <is>
          <t>21050 Quis Queya Liquor(P)</t>
        </is>
      </c>
      <c r="B177" s="58" t="inlineStr">
        <is>
          <t>Passaic</t>
        </is>
      </c>
      <c r="C177" s="58" t="inlineStr">
        <is>
          <t>Derrick Laws</t>
        </is>
      </c>
      <c r="D177" s="58" t="inlineStr">
        <is>
          <t>Off-premise</t>
        </is>
      </c>
      <c r="E177" s="53" t="n">
        <v>5429</v>
      </c>
      <c r="F177" s="53" t="n">
        <v>5379</v>
      </c>
      <c r="G177" s="55" t="n">
        <v>38489.74000000001</v>
      </c>
      <c r="H177" s="55" t="n">
        <v>38975.4</v>
      </c>
      <c r="I177" s="53" t="n">
        <v>333</v>
      </c>
      <c r="J177" s="53" t="n">
        <v>380</v>
      </c>
      <c r="K177" s="53" t="n">
        <v>318</v>
      </c>
      <c r="L177" s="53" t="n">
        <v>372</v>
      </c>
      <c r="M177" s="33">
        <f>F177-E177</f>
        <v/>
      </c>
      <c r="N177" s="33">
        <f>L177-K177</f>
        <v/>
      </c>
    </row>
    <row r="178">
      <c r="A178" s="58" t="inlineStr">
        <is>
          <t>170220 Sprove Marketplace</t>
        </is>
      </c>
      <c r="B178" s="58" t="inlineStr">
        <is>
          <t>Hudson</t>
        </is>
      </c>
      <c r="C178" s="58" t="inlineStr">
        <is>
          <t>Jaime Colonna</t>
        </is>
      </c>
      <c r="D178" s="58" t="inlineStr">
        <is>
          <t>Off-premise</t>
        </is>
      </c>
      <c r="E178" s="53" t="n">
        <v>37</v>
      </c>
      <c r="F178" s="53" t="n">
        <v>91</v>
      </c>
      <c r="G178" s="55" t="n">
        <v>274.53</v>
      </c>
      <c r="H178" s="55" t="n">
        <v>595.04</v>
      </c>
      <c r="I178" s="53" t="n">
        <v>110</v>
      </c>
      <c r="J178" s="53" t="n">
        <v>147</v>
      </c>
      <c r="K178" s="53" t="n">
        <v>37</v>
      </c>
      <c r="L178" s="53" t="n">
        <v>91</v>
      </c>
      <c r="M178" s="33">
        <f>F178-E178</f>
        <v/>
      </c>
      <c r="N178" s="33">
        <f>L178-K178</f>
        <v/>
      </c>
    </row>
    <row r="179">
      <c r="A179" s="58" t="inlineStr">
        <is>
          <t>20062 Intensity Lounge/Angie's Liquors</t>
        </is>
      </c>
      <c r="B179" s="58" t="inlineStr">
        <is>
          <t>Passaic</t>
        </is>
      </c>
      <c r="C179" s="58" t="inlineStr">
        <is>
          <t>Pablo Lopez</t>
        </is>
      </c>
      <c r="D179" s="58" t="inlineStr">
        <is>
          <t>Off-premise</t>
        </is>
      </c>
      <c r="E179" s="53" t="n">
        <v>2211</v>
      </c>
      <c r="F179" s="53" t="n">
        <v>1933</v>
      </c>
      <c r="G179" s="55" t="n">
        <v>14359.43</v>
      </c>
      <c r="H179" s="55" t="n">
        <v>12417.39</v>
      </c>
      <c r="I179" s="53" t="n">
        <v>160</v>
      </c>
      <c r="J179" s="53" t="n">
        <v>195</v>
      </c>
      <c r="K179" s="53" t="n">
        <v>174</v>
      </c>
      <c r="L179" s="53" t="n">
        <v>228</v>
      </c>
      <c r="M179" s="33">
        <f>F179-E179</f>
        <v/>
      </c>
      <c r="N179" s="33">
        <f>L179-K179</f>
        <v/>
      </c>
    </row>
    <row r="180">
      <c r="A180" s="58" t="inlineStr">
        <is>
          <t>15018 Diana's Bar (Z)</t>
        </is>
      </c>
      <c r="B180" s="58" t="inlineStr">
        <is>
          <t>Passaic</t>
        </is>
      </c>
      <c r="C180" s="58" t="inlineStr">
        <is>
          <t>Pablo Lopez</t>
        </is>
      </c>
      <c r="D180" s="58" t="inlineStr">
        <is>
          <t>On-premise</t>
        </is>
      </c>
      <c r="E180" s="53" t="n">
        <v>794</v>
      </c>
      <c r="F180" s="53" t="n">
        <v>759</v>
      </c>
      <c r="G180" s="55" t="n">
        <v>6187.37</v>
      </c>
      <c r="H180" s="55" t="n">
        <v>5968.91</v>
      </c>
      <c r="I180" s="53" t="n">
        <v>0</v>
      </c>
      <c r="J180" s="53" t="n">
        <v>-2</v>
      </c>
      <c r="K180" s="53" t="n">
        <v>142</v>
      </c>
      <c r="L180" s="53" t="n">
        <v>196</v>
      </c>
      <c r="M180" s="33">
        <f>F180-E180</f>
        <v/>
      </c>
      <c r="N180" s="33">
        <f>L180-K180</f>
        <v/>
      </c>
    </row>
    <row r="181">
      <c r="A181" s="58" t="inlineStr">
        <is>
          <t>150109 Kelly's Liquors</t>
        </is>
      </c>
      <c r="B181" s="58" t="inlineStr">
        <is>
          <t>Essex</t>
        </is>
      </c>
      <c r="C181" s="58" t="inlineStr">
        <is>
          <t>Alisa Acciardi</t>
        </is>
      </c>
      <c r="D181" s="58" t="inlineStr">
        <is>
          <t>Off-premise</t>
        </is>
      </c>
      <c r="E181" s="53" t="n">
        <v>50</v>
      </c>
      <c r="F181" s="53" t="n">
        <v>103</v>
      </c>
      <c r="G181" s="55" t="n">
        <v>290.1</v>
      </c>
      <c r="H181" s="55" t="n">
        <v>560.37</v>
      </c>
      <c r="I181" s="53" t="n">
        <v>209</v>
      </c>
      <c r="J181" s="53" t="n">
        <v>206</v>
      </c>
      <c r="K181" s="53" t="n">
        <v>50</v>
      </c>
      <c r="L181" s="53" t="n">
        <v>103</v>
      </c>
      <c r="M181" s="33">
        <f>F181-E181</f>
        <v/>
      </c>
      <c r="N181" s="33">
        <f>L181-K181</f>
        <v/>
      </c>
    </row>
    <row r="182">
      <c r="A182" s="58" t="inlineStr">
        <is>
          <t>13002 The Little Falls Tavern</t>
        </is>
      </c>
      <c r="B182" s="58" t="inlineStr">
        <is>
          <t>Passaic</t>
        </is>
      </c>
      <c r="C182" s="58" t="inlineStr">
        <is>
          <t>Allison Scott</t>
        </is>
      </c>
      <c r="D182" s="58" t="inlineStr">
        <is>
          <t>On-premise</t>
        </is>
      </c>
      <c r="E182" s="53" t="n">
        <v>0</v>
      </c>
      <c r="F182" s="53" t="n">
        <v>303</v>
      </c>
      <c r="G182" s="55" t="n">
        <v>0</v>
      </c>
      <c r="H182" s="55" t="n">
        <v>1998.07</v>
      </c>
      <c r="I182" s="53" t="n">
        <v>0</v>
      </c>
      <c r="J182" s="53" t="n">
        <v>60</v>
      </c>
      <c r="K182" s="53" t="n">
        <v>0</v>
      </c>
      <c r="L182" s="53" t="n">
        <v>53</v>
      </c>
      <c r="M182" s="33">
        <f>F182-E182</f>
        <v/>
      </c>
      <c r="N182" s="33">
        <f>L182-K182</f>
        <v/>
      </c>
    </row>
    <row r="183">
      <c r="A183" s="58" t="inlineStr">
        <is>
          <t>50016 Teaneck Quickshop(P)Conv</t>
        </is>
      </c>
      <c r="B183" s="58" t="inlineStr">
        <is>
          <t>Bergen</t>
        </is>
      </c>
      <c r="C183" s="58" t="inlineStr">
        <is>
          <t>Chris Payton</t>
        </is>
      </c>
      <c r="D183" s="58" t="inlineStr">
        <is>
          <t>Off-premise</t>
        </is>
      </c>
      <c r="E183" s="53" t="n">
        <v>2276</v>
      </c>
      <c r="F183" s="53" t="n">
        <v>2117</v>
      </c>
      <c r="G183" s="55" t="n">
        <v>15075.08</v>
      </c>
      <c r="H183" s="55" t="n">
        <v>14404.62</v>
      </c>
      <c r="I183" s="53" t="n">
        <v>418</v>
      </c>
      <c r="J183" s="53" t="n">
        <v>443</v>
      </c>
      <c r="K183" s="53" t="n">
        <v>366</v>
      </c>
      <c r="L183" s="53" t="n">
        <v>419</v>
      </c>
      <c r="M183" s="33">
        <f>F183-E183</f>
        <v/>
      </c>
      <c r="N183" s="33">
        <f>L183-K183</f>
        <v/>
      </c>
    </row>
    <row r="184">
      <c r="A184" s="58" t="inlineStr">
        <is>
          <t>80027 Ridgewood Country Club</t>
        </is>
      </c>
      <c r="B184" s="58" t="inlineStr">
        <is>
          <t>Bergen</t>
        </is>
      </c>
      <c r="C184" s="58" t="inlineStr">
        <is>
          <t>Chris Payton</t>
        </is>
      </c>
      <c r="D184" s="58" t="inlineStr">
        <is>
          <t>On-premise</t>
        </is>
      </c>
      <c r="E184" s="53" t="n">
        <v>324</v>
      </c>
      <c r="F184" s="53" t="n">
        <v>401</v>
      </c>
      <c r="G184" s="55" t="n">
        <v>2388.78</v>
      </c>
      <c r="H184" s="55" t="n">
        <v>3029.35</v>
      </c>
      <c r="I184" s="53" t="n">
        <v>100</v>
      </c>
      <c r="J184" s="53" t="n">
        <v>177</v>
      </c>
      <c r="K184" s="53" t="n">
        <v>133</v>
      </c>
      <c r="L184" s="53" t="n">
        <v>186</v>
      </c>
      <c r="M184" s="33">
        <f>F184-E184</f>
        <v/>
      </c>
      <c r="N184" s="33">
        <f>L184-K184</f>
        <v/>
      </c>
    </row>
    <row r="185">
      <c r="A185" s="58" t="inlineStr">
        <is>
          <t>51012 Teaneck Liquors</t>
        </is>
      </c>
      <c r="B185" s="58" t="inlineStr">
        <is>
          <t>Bergen</t>
        </is>
      </c>
      <c r="C185" s="58" t="inlineStr">
        <is>
          <t>Dave Ehlers</t>
        </is>
      </c>
      <c r="D185" s="58" t="inlineStr">
        <is>
          <t>Off-premise</t>
        </is>
      </c>
      <c r="E185" s="53" t="n">
        <v>2062</v>
      </c>
      <c r="F185" s="53" t="n">
        <v>1382</v>
      </c>
      <c r="G185" s="55" t="n">
        <v>15641.04</v>
      </c>
      <c r="H185" s="55" t="n">
        <v>9897.200000000001</v>
      </c>
      <c r="I185" s="53" t="n">
        <v>97</v>
      </c>
      <c r="J185" s="53" t="n">
        <v>157</v>
      </c>
      <c r="K185" s="53" t="n">
        <v>224</v>
      </c>
      <c r="L185" s="53" t="n">
        <v>277</v>
      </c>
      <c r="M185" s="33">
        <f>F185-E185</f>
        <v/>
      </c>
      <c r="N185" s="33">
        <f>L185-K185</f>
        <v/>
      </c>
    </row>
    <row r="186">
      <c r="A186" s="58" t="inlineStr">
        <is>
          <t>170091 Refined Wine and Spirits</t>
        </is>
      </c>
      <c r="B186" s="58" t="inlineStr">
        <is>
          <t>Hudson</t>
        </is>
      </c>
      <c r="C186" s="58" t="inlineStr">
        <is>
          <t>Dylan Rubino</t>
        </is>
      </c>
      <c r="D186" s="58" t="inlineStr">
        <is>
          <t>Off-premise</t>
        </is>
      </c>
      <c r="E186" s="53" t="n">
        <v>0</v>
      </c>
      <c r="F186" s="53" t="n">
        <v>53</v>
      </c>
      <c r="G186" s="55" t="n">
        <v>0</v>
      </c>
      <c r="H186" s="55" t="n">
        <v>358.57</v>
      </c>
      <c r="I186" s="53" t="n">
        <v>0</v>
      </c>
      <c r="J186" s="53" t="n">
        <v>102</v>
      </c>
      <c r="K186" s="53" t="n">
        <v>0</v>
      </c>
      <c r="L186" s="53" t="n">
        <v>53</v>
      </c>
      <c r="M186" s="33">
        <f>F186-E186</f>
        <v/>
      </c>
      <c r="N186" s="33">
        <f>L186-K186</f>
        <v/>
      </c>
    </row>
    <row r="187">
      <c r="A187" s="58" t="inlineStr">
        <is>
          <t>15059 Belmont Liqrs (P)</t>
        </is>
      </c>
      <c r="B187" s="58" t="inlineStr">
        <is>
          <t>Passaic</t>
        </is>
      </c>
      <c r="C187" s="58" t="inlineStr">
        <is>
          <t>Javier Melo</t>
        </is>
      </c>
      <c r="D187" s="58" t="inlineStr">
        <is>
          <t>Off-premise</t>
        </is>
      </c>
      <c r="E187" s="53" t="n">
        <v>1395</v>
      </c>
      <c r="F187" s="53" t="n">
        <v>1443</v>
      </c>
      <c r="G187" s="55" t="n">
        <v>9337.59</v>
      </c>
      <c r="H187" s="55" t="n">
        <v>9082.209999999999</v>
      </c>
      <c r="I187" s="53" t="n">
        <v>123</v>
      </c>
      <c r="J187" s="53" t="n">
        <v>102</v>
      </c>
      <c r="K187" s="53" t="n">
        <v>104</v>
      </c>
      <c r="L187" s="53" t="n">
        <v>157</v>
      </c>
      <c r="M187" s="33">
        <f>F187-E187</f>
        <v/>
      </c>
      <c r="N187" s="33">
        <f>L187-K187</f>
        <v/>
      </c>
    </row>
    <row r="188">
      <c r="A188" s="58" t="inlineStr">
        <is>
          <t>24012 Dante's Liquor &amp; Wine</t>
        </is>
      </c>
      <c r="B188" s="58" t="inlineStr">
        <is>
          <t>Passaic</t>
        </is>
      </c>
      <c r="C188" s="58" t="inlineStr">
        <is>
          <t>Jim Heaney</t>
        </is>
      </c>
      <c r="D188" s="58" t="inlineStr">
        <is>
          <t>Off-premise</t>
        </is>
      </c>
      <c r="E188" s="53" t="n">
        <v>1925</v>
      </c>
      <c r="F188" s="53" t="n">
        <v>1641</v>
      </c>
      <c r="G188" s="55" t="n">
        <v>11876.57</v>
      </c>
      <c r="H188" s="55" t="n">
        <v>10806.89</v>
      </c>
      <c r="I188" s="53" t="n">
        <v>242</v>
      </c>
      <c r="J188" s="53" t="n">
        <v>191</v>
      </c>
      <c r="K188" s="53" t="n">
        <v>240</v>
      </c>
      <c r="L188" s="53" t="n">
        <v>293</v>
      </c>
      <c r="M188" s="33">
        <f>F188-E188</f>
        <v/>
      </c>
      <c r="N188" s="33">
        <f>L188-K188</f>
        <v/>
      </c>
    </row>
    <row r="189">
      <c r="A189" s="58" t="inlineStr">
        <is>
          <t>150008 Total Wine &amp; More (West Orange)</t>
        </is>
      </c>
      <c r="B189" s="58" t="inlineStr">
        <is>
          <t>Essex</t>
        </is>
      </c>
      <c r="C189" s="58" t="inlineStr">
        <is>
          <t>Michael Harboy</t>
        </is>
      </c>
      <c r="D189" s="58" t="inlineStr">
        <is>
          <t>Off-premise</t>
        </is>
      </c>
      <c r="E189" s="53" t="n">
        <v>102</v>
      </c>
      <c r="F189" s="53" t="n">
        <v>155</v>
      </c>
      <c r="G189" s="55" t="n">
        <v>631</v>
      </c>
      <c r="H189" s="55" t="n">
        <v>868.1</v>
      </c>
      <c r="I189" s="53" t="n">
        <v>1662</v>
      </c>
      <c r="J189" s="53" t="n">
        <v>1721</v>
      </c>
      <c r="K189" s="53" t="n">
        <v>102</v>
      </c>
      <c r="L189" s="53" t="n">
        <v>155</v>
      </c>
      <c r="M189" s="33">
        <f>F189-E189</f>
        <v/>
      </c>
      <c r="N189" s="33">
        <f>L189-K189</f>
        <v/>
      </c>
    </row>
    <row r="190">
      <c r="A190" s="58" t="inlineStr">
        <is>
          <t>31056 H Mart Inc (Space A103)</t>
        </is>
      </c>
      <c r="B190" s="58" t="inlineStr">
        <is>
          <t>Bergen</t>
        </is>
      </c>
      <c r="C190" s="58" t="inlineStr">
        <is>
          <t>Nick Melissari</t>
        </is>
      </c>
      <c r="D190" s="58" t="inlineStr">
        <is>
          <t>On-premise</t>
        </is>
      </c>
      <c r="E190" s="53" t="n">
        <v>138</v>
      </c>
      <c r="F190" s="53" t="n">
        <v>264</v>
      </c>
      <c r="G190" s="55" t="n">
        <v>990.66</v>
      </c>
      <c r="H190" s="55" t="n">
        <v>2076.92</v>
      </c>
      <c r="I190" s="53" t="n">
        <v>142</v>
      </c>
      <c r="J190" s="53" t="n">
        <v>238</v>
      </c>
      <c r="K190" s="53" t="n">
        <v>77</v>
      </c>
      <c r="L190" s="53" t="n">
        <v>130</v>
      </c>
      <c r="M190" s="33">
        <f>F190-E190</f>
        <v/>
      </c>
      <c r="N190" s="33">
        <f>L190-K190</f>
        <v/>
      </c>
    </row>
    <row r="191">
      <c r="A191" s="58" t="inlineStr">
        <is>
          <t>170191 Wine Warehouse (P) (Union City)</t>
        </is>
      </c>
      <c r="B191" s="58" t="inlineStr">
        <is>
          <t>Hudson</t>
        </is>
      </c>
      <c r="C191" s="58" t="inlineStr">
        <is>
          <t>Dylan Rubino</t>
        </is>
      </c>
      <c r="D191" s="58" t="inlineStr">
        <is>
          <t>Off-premise</t>
        </is>
      </c>
      <c r="E191" s="53" t="n">
        <v>24</v>
      </c>
      <c r="F191" s="53" t="n">
        <v>76</v>
      </c>
      <c r="G191" s="55" t="n">
        <v>147.63</v>
      </c>
      <c r="H191" s="55" t="n">
        <v>462.61</v>
      </c>
      <c r="I191" s="53" t="n">
        <v>159</v>
      </c>
      <c r="J191" s="53" t="n">
        <v>104</v>
      </c>
      <c r="K191" s="53" t="n">
        <v>24</v>
      </c>
      <c r="L191" s="53" t="n">
        <v>76</v>
      </c>
      <c r="M191" s="33">
        <f>F191-E191</f>
        <v/>
      </c>
      <c r="N191" s="33">
        <f>L191-K191</f>
        <v/>
      </c>
    </row>
    <row r="192">
      <c r="A192" s="58" t="inlineStr">
        <is>
          <t>191702 Liquor Factory VI Byram</t>
        </is>
      </c>
      <c r="B192" s="58" t="inlineStr">
        <is>
          <t>Sussex</t>
        </is>
      </c>
      <c r="C192" s="58" t="inlineStr">
        <is>
          <t>Jayson Romine</t>
        </is>
      </c>
      <c r="D192" s="58" t="inlineStr">
        <is>
          <t>Off-premise</t>
        </is>
      </c>
      <c r="E192" s="53" t="n">
        <v>3483</v>
      </c>
      <c r="F192" s="53" t="n">
        <v>3229</v>
      </c>
      <c r="G192" s="55" t="n">
        <v>20907.07</v>
      </c>
      <c r="H192" s="55" t="n">
        <v>19546.07</v>
      </c>
      <c r="I192" s="53" t="n">
        <v>1543</v>
      </c>
      <c r="J192" s="53" t="n">
        <v>1579</v>
      </c>
      <c r="K192" s="53" t="n">
        <v>449</v>
      </c>
      <c r="L192" s="53" t="n">
        <v>501</v>
      </c>
      <c r="M192" s="33">
        <f>F192-E192</f>
        <v/>
      </c>
      <c r="N192" s="33">
        <f>L192-K192</f>
        <v/>
      </c>
    </row>
    <row r="193">
      <c r="A193" s="58" t="inlineStr">
        <is>
          <t>77016 Metro Liquor (Elmwood Park)</t>
        </is>
      </c>
      <c r="B193" s="58" t="inlineStr">
        <is>
          <t>Bergen</t>
        </is>
      </c>
      <c r="C193" s="58" t="inlineStr">
        <is>
          <t>Matt Powierski</t>
        </is>
      </c>
      <c r="D193" s="58" t="inlineStr">
        <is>
          <t>Off-premise</t>
        </is>
      </c>
      <c r="E193" s="53" t="n">
        <v>3881</v>
      </c>
      <c r="F193" s="53" t="n">
        <v>3998</v>
      </c>
      <c r="G193" s="55" t="n">
        <v>27047.83</v>
      </c>
      <c r="H193" s="55" t="n">
        <v>28817.92</v>
      </c>
      <c r="I193" s="53" t="n">
        <v>638</v>
      </c>
      <c r="J193" s="53" t="n">
        <v>617</v>
      </c>
      <c r="K193" s="53" t="n">
        <v>489</v>
      </c>
      <c r="L193" s="53" t="n">
        <v>541</v>
      </c>
      <c r="M193" s="33">
        <f>F193-E193</f>
        <v/>
      </c>
      <c r="N193" s="33">
        <f>L193-K193</f>
        <v/>
      </c>
    </row>
    <row r="194">
      <c r="A194" s="58" t="inlineStr">
        <is>
          <t>89005 Allendale Wine Shoppe</t>
        </is>
      </c>
      <c r="B194" s="58" t="inlineStr">
        <is>
          <t>Bergen</t>
        </is>
      </c>
      <c r="C194" s="58" t="inlineStr">
        <is>
          <t>Mike Ast</t>
        </is>
      </c>
      <c r="D194" s="58" t="inlineStr">
        <is>
          <t>Off-premise</t>
        </is>
      </c>
      <c r="E194" s="53" t="n">
        <v>1817</v>
      </c>
      <c r="F194" s="53" t="n">
        <v>2427</v>
      </c>
      <c r="G194" s="55" t="n">
        <v>11968.81</v>
      </c>
      <c r="H194" s="55" t="n">
        <v>14444.24</v>
      </c>
      <c r="I194" s="53" t="n">
        <v>675</v>
      </c>
      <c r="J194" s="53" t="n">
        <v>883</v>
      </c>
      <c r="K194" s="53" t="n">
        <v>294</v>
      </c>
      <c r="L194" s="53" t="n">
        <v>346</v>
      </c>
      <c r="M194" s="33">
        <f>F194-E194</f>
        <v/>
      </c>
      <c r="N194" s="33">
        <f>L194-K194</f>
        <v/>
      </c>
    </row>
    <row r="195">
      <c r="A195" s="58" t="inlineStr">
        <is>
          <t>76006 Wine Country Of Saddle Brook (A)</t>
        </is>
      </c>
      <c r="B195" s="58" t="inlineStr">
        <is>
          <t>Bergen</t>
        </is>
      </c>
      <c r="C195" s="58" t="inlineStr">
        <is>
          <t>Phil Ernst</t>
        </is>
      </c>
      <c r="D195" s="58" t="inlineStr">
        <is>
          <t>Off-premise</t>
        </is>
      </c>
      <c r="E195" s="53" t="n">
        <v>1599</v>
      </c>
      <c r="F195" s="53" t="n">
        <v>1443</v>
      </c>
      <c r="G195" s="55" t="n">
        <v>10331.58</v>
      </c>
      <c r="H195" s="55" t="n">
        <v>9860.419999999998</v>
      </c>
      <c r="I195" s="53" t="n">
        <v>325</v>
      </c>
      <c r="J195" s="53" t="n">
        <v>296</v>
      </c>
      <c r="K195" s="53" t="n">
        <v>206</v>
      </c>
      <c r="L195" s="53" t="n">
        <v>258</v>
      </c>
      <c r="M195" s="33">
        <f>F195-E195</f>
        <v/>
      </c>
      <c r="N195" s="33">
        <f>L195-K195</f>
        <v/>
      </c>
    </row>
    <row r="196">
      <c r="A196" s="58" t="inlineStr">
        <is>
          <t>37029 River Drive Bar (P)</t>
        </is>
      </c>
      <c r="B196" s="58" t="inlineStr">
        <is>
          <t>Bergen</t>
        </is>
      </c>
      <c r="C196" s="58" t="inlineStr">
        <is>
          <t>Matt Powierski</t>
        </is>
      </c>
      <c r="D196" s="58" t="inlineStr">
        <is>
          <t>Off-premise</t>
        </is>
      </c>
      <c r="E196" s="53" t="n">
        <v>1763</v>
      </c>
      <c r="F196" s="53" t="n">
        <v>1575</v>
      </c>
      <c r="G196" s="55" t="n">
        <v>11899.79</v>
      </c>
      <c r="H196" s="55" t="n">
        <v>11230.69</v>
      </c>
      <c r="I196" s="53" t="n">
        <v>456</v>
      </c>
      <c r="J196" s="53" t="n">
        <v>402</v>
      </c>
      <c r="K196" s="53" t="n">
        <v>237</v>
      </c>
      <c r="L196" s="53" t="n">
        <v>288</v>
      </c>
      <c r="M196" s="33">
        <f>F196-E196</f>
        <v/>
      </c>
      <c r="N196" s="33">
        <f>L196-K196</f>
        <v/>
      </c>
    </row>
    <row r="197">
      <c r="A197" s="58" t="inlineStr">
        <is>
          <t>12037 Maggies Town Tavern Ii</t>
        </is>
      </c>
      <c r="B197" s="58" t="inlineStr">
        <is>
          <t>Passaic</t>
        </is>
      </c>
      <c r="C197" s="58" t="inlineStr">
        <is>
          <t>Allison Scott</t>
        </is>
      </c>
      <c r="D197" s="58" t="inlineStr">
        <is>
          <t>On-premise</t>
        </is>
      </c>
      <c r="E197" s="53" t="n">
        <v>320</v>
      </c>
      <c r="F197" s="53" t="n">
        <v>320</v>
      </c>
      <c r="G197" s="55" t="n">
        <v>2281.65</v>
      </c>
      <c r="H197" s="55" t="n">
        <v>2438.44</v>
      </c>
      <c r="I197" s="53" t="n">
        <v>73</v>
      </c>
      <c r="J197" s="53" t="n">
        <v>41</v>
      </c>
      <c r="K197" s="53" t="n">
        <v>17</v>
      </c>
      <c r="L197" s="53" t="n">
        <v>67</v>
      </c>
      <c r="M197" s="33">
        <f>F197-E197</f>
        <v/>
      </c>
      <c r="N197" s="33">
        <f>L197-K197</f>
        <v/>
      </c>
    </row>
    <row r="198">
      <c r="A198" s="58" t="inlineStr">
        <is>
          <t>1022 The Cheesecake Factory</t>
        </is>
      </c>
      <c r="B198" s="58" t="inlineStr">
        <is>
          <t>Morris</t>
        </is>
      </c>
      <c r="C198" s="58" t="inlineStr">
        <is>
          <t>Brian Sengebush</t>
        </is>
      </c>
      <c r="D198" s="58" t="inlineStr">
        <is>
          <t>On-premise</t>
        </is>
      </c>
      <c r="E198" s="53" t="n">
        <v>59</v>
      </c>
      <c r="F198" s="53" t="n">
        <v>117</v>
      </c>
      <c r="G198" s="55" t="n">
        <v>622.1</v>
      </c>
      <c r="H198" s="55" t="n">
        <v>1334.28</v>
      </c>
      <c r="I198" s="53" t="n">
        <v>37</v>
      </c>
      <c r="J198" s="53" t="n">
        <v>26</v>
      </c>
      <c r="K198" s="53" t="n">
        <v>3</v>
      </c>
      <c r="L198" s="53" t="n">
        <v>53</v>
      </c>
      <c r="M198" s="33">
        <f>F198-E198</f>
        <v/>
      </c>
      <c r="N198" s="33">
        <f>L198-K198</f>
        <v/>
      </c>
    </row>
    <row r="199">
      <c r="A199" s="58" t="inlineStr">
        <is>
          <t>190901 Berkshire(P) Bot. Shop</t>
        </is>
      </c>
      <c r="B199" s="58" t="inlineStr">
        <is>
          <t>Morris</t>
        </is>
      </c>
      <c r="C199" s="58" t="inlineStr">
        <is>
          <t>Klejdi Lamo</t>
        </is>
      </c>
      <c r="D199" s="58" t="inlineStr">
        <is>
          <t>Off-premise</t>
        </is>
      </c>
      <c r="E199" s="53" t="n">
        <v>367</v>
      </c>
      <c r="F199" s="53" t="n">
        <v>492</v>
      </c>
      <c r="G199" s="55" t="n">
        <v>3016.639999999999</v>
      </c>
      <c r="H199" s="55" t="n">
        <v>4052.12</v>
      </c>
      <c r="I199" s="53" t="n">
        <v>69</v>
      </c>
      <c r="J199" s="53" t="n">
        <v>46</v>
      </c>
      <c r="K199" s="53" t="n">
        <v>37</v>
      </c>
      <c r="L199" s="53" t="n">
        <v>87</v>
      </c>
      <c r="M199" s="33">
        <f>F199-E199</f>
        <v/>
      </c>
      <c r="N199" s="33">
        <f>L199-K199</f>
        <v/>
      </c>
    </row>
    <row r="200">
      <c r="A200" s="58" t="inlineStr">
        <is>
          <t>250141 Ben Franklin Liquor</t>
        </is>
      </c>
      <c r="B200" s="58" t="inlineStr">
        <is>
          <t>Union</t>
        </is>
      </c>
      <c r="C200" s="58" t="inlineStr">
        <is>
          <t>Alex Rodriguez</t>
        </is>
      </c>
      <c r="D200" s="58" t="inlineStr">
        <is>
          <t>Off-premise</t>
        </is>
      </c>
      <c r="E200" s="53" t="n">
        <v>0</v>
      </c>
      <c r="F200" s="53" t="n">
        <v>49</v>
      </c>
      <c r="G200" s="55" t="n">
        <v>0</v>
      </c>
      <c r="H200" s="55" t="n">
        <v>328.73</v>
      </c>
      <c r="I200" s="53" t="n">
        <v>168</v>
      </c>
      <c r="J200" s="53" t="n">
        <v>191</v>
      </c>
      <c r="K200" s="53" t="n">
        <v>0</v>
      </c>
      <c r="L200" s="53" t="n">
        <v>49</v>
      </c>
      <c r="M200" s="33">
        <f>F200-E200</f>
        <v/>
      </c>
      <c r="N200" s="33">
        <f>L200-K200</f>
        <v/>
      </c>
    </row>
    <row r="201">
      <c r="A201" s="58" t="inlineStr">
        <is>
          <t>43006 Fairview Liq &amp; Groc.(A)</t>
        </is>
      </c>
      <c r="B201" s="58" t="inlineStr">
        <is>
          <t>Bergen</t>
        </is>
      </c>
      <c r="C201" s="58" t="inlineStr">
        <is>
          <t>Dan Lagala</t>
        </is>
      </c>
      <c r="D201" s="58" t="inlineStr">
        <is>
          <t>Off-premise</t>
        </is>
      </c>
      <c r="E201" s="53" t="n">
        <v>4580</v>
      </c>
      <c r="F201" s="53" t="n">
        <v>4081</v>
      </c>
      <c r="G201" s="55" t="n">
        <v>30441.94</v>
      </c>
      <c r="H201" s="55" t="n">
        <v>27542.14</v>
      </c>
      <c r="I201" s="53" t="n">
        <v>299</v>
      </c>
      <c r="J201" s="53" t="n">
        <v>246</v>
      </c>
      <c r="K201" s="53" t="n">
        <v>395</v>
      </c>
      <c r="L201" s="53" t="n">
        <v>444</v>
      </c>
      <c r="M201" s="33">
        <f>F201-E201</f>
        <v/>
      </c>
      <c r="N201" s="33">
        <f>L201-K201</f>
        <v/>
      </c>
    </row>
    <row r="202">
      <c r="A202" s="58" t="inlineStr">
        <is>
          <t>178015 Noble Discount Liquors</t>
        </is>
      </c>
      <c r="B202" s="58" t="inlineStr">
        <is>
          <t>Hudson</t>
        </is>
      </c>
      <c r="C202" s="58" t="inlineStr">
        <is>
          <t>Dylan Rubino</t>
        </is>
      </c>
      <c r="D202" s="58" t="inlineStr">
        <is>
          <t>Off-premise</t>
        </is>
      </c>
      <c r="E202" s="53" t="n">
        <v>24</v>
      </c>
      <c r="F202" s="53" t="n">
        <v>73</v>
      </c>
      <c r="G202" s="55" t="n">
        <v>152.83</v>
      </c>
      <c r="H202" s="55" t="n">
        <v>427.07</v>
      </c>
      <c r="I202" s="53" t="n">
        <v>102</v>
      </c>
      <c r="J202" s="53" t="n">
        <v>62</v>
      </c>
      <c r="K202" s="53" t="n">
        <v>24</v>
      </c>
      <c r="L202" s="53" t="n">
        <v>73</v>
      </c>
      <c r="M202" s="33">
        <f>F202-E202</f>
        <v/>
      </c>
      <c r="N202" s="33">
        <f>L202-K202</f>
        <v/>
      </c>
    </row>
    <row r="203">
      <c r="A203" s="58" t="inlineStr">
        <is>
          <t>25042 Town Liquors</t>
        </is>
      </c>
      <c r="B203" s="58" t="inlineStr">
        <is>
          <t>Passaic</t>
        </is>
      </c>
      <c r="C203" s="58" t="inlineStr">
        <is>
          <t>Jim Heaney</t>
        </is>
      </c>
      <c r="D203" s="58" t="inlineStr">
        <is>
          <t>Off-premise</t>
        </is>
      </c>
      <c r="E203" s="53" t="n">
        <v>2273</v>
      </c>
      <c r="F203" s="53" t="n">
        <v>2178</v>
      </c>
      <c r="G203" s="55" t="n">
        <v>14681.61</v>
      </c>
      <c r="H203" s="55" t="n">
        <v>14620.63</v>
      </c>
      <c r="I203" s="53" t="n">
        <v>411</v>
      </c>
      <c r="J203" s="53" t="n">
        <v>439</v>
      </c>
      <c r="K203" s="53" t="n">
        <v>328</v>
      </c>
      <c r="L203" s="53" t="n">
        <v>377</v>
      </c>
      <c r="M203" s="33">
        <f>F203-E203</f>
        <v/>
      </c>
      <c r="N203" s="33">
        <f>L203-K203</f>
        <v/>
      </c>
    </row>
    <row r="204">
      <c r="A204" s="58" t="inlineStr">
        <is>
          <t>190804 Midtown Liq</t>
        </is>
      </c>
      <c r="B204" s="58" t="inlineStr">
        <is>
          <t>Morris</t>
        </is>
      </c>
      <c r="C204" s="58" t="inlineStr">
        <is>
          <t>Klejdi Lamo</t>
        </is>
      </c>
      <c r="D204" s="58" t="inlineStr">
        <is>
          <t>Off-premise</t>
        </is>
      </c>
      <c r="E204" s="53" t="n">
        <v>2518</v>
      </c>
      <c r="F204" s="53" t="n">
        <v>2422</v>
      </c>
      <c r="G204" s="55" t="n">
        <v>15783.23</v>
      </c>
      <c r="H204" s="55" t="n">
        <v>15468.02</v>
      </c>
      <c r="I204" s="53" t="n">
        <v>1045</v>
      </c>
      <c r="J204" s="53" t="n">
        <v>844</v>
      </c>
      <c r="K204" s="53" t="n">
        <v>461</v>
      </c>
      <c r="L204" s="53" t="n">
        <v>510</v>
      </c>
      <c r="M204" s="33">
        <f>F204-E204</f>
        <v/>
      </c>
      <c r="N204" s="33">
        <f>L204-K204</f>
        <v/>
      </c>
    </row>
    <row r="205">
      <c r="A205" s="58" t="inlineStr">
        <is>
          <t>190802 Sam's Liq Wine (P)</t>
        </is>
      </c>
      <c r="B205" s="58" t="inlineStr">
        <is>
          <t>Morris</t>
        </is>
      </c>
      <c r="C205" s="58" t="inlineStr">
        <is>
          <t>Klejdi Lamo</t>
        </is>
      </c>
      <c r="D205" s="58" t="inlineStr">
        <is>
          <t>Off-premise</t>
        </is>
      </c>
      <c r="E205" s="53" t="n">
        <v>2780</v>
      </c>
      <c r="F205" s="53" t="n">
        <v>2970</v>
      </c>
      <c r="G205" s="55" t="n">
        <v>19148.06</v>
      </c>
      <c r="H205" s="55" t="n">
        <v>20532.92</v>
      </c>
      <c r="I205" s="53" t="n">
        <v>165</v>
      </c>
      <c r="J205" s="53" t="n">
        <v>183</v>
      </c>
      <c r="K205" s="53" t="n">
        <v>308</v>
      </c>
      <c r="L205" s="53" t="n">
        <v>357</v>
      </c>
      <c r="M205" s="33">
        <f>F205-E205</f>
        <v/>
      </c>
      <c r="N205" s="33">
        <f>L205-K205</f>
        <v/>
      </c>
    </row>
    <row r="206">
      <c r="A206" s="58" t="inlineStr">
        <is>
          <t>12057 YARD HOUSE 8384</t>
        </is>
      </c>
      <c r="B206" s="58" t="inlineStr">
        <is>
          <t>Passaic</t>
        </is>
      </c>
      <c r="C206" s="58" t="inlineStr">
        <is>
          <t>Allison Scott</t>
        </is>
      </c>
      <c r="D206" s="58" t="inlineStr">
        <is>
          <t>Unmatched</t>
        </is>
      </c>
      <c r="E206" s="53" t="n">
        <v>616</v>
      </c>
      <c r="F206" s="53" t="n">
        <v>781</v>
      </c>
      <c r="G206" s="55" t="n">
        <v>3983.86</v>
      </c>
      <c r="H206" s="55" t="n">
        <v>5378.489999999999</v>
      </c>
      <c r="I206" s="53" t="n">
        <v>970</v>
      </c>
      <c r="J206" s="53" t="n">
        <v>1095</v>
      </c>
      <c r="K206" s="53" t="n">
        <v>215</v>
      </c>
      <c r="L206" s="53" t="n">
        <v>263</v>
      </c>
      <c r="M206" s="33">
        <f>F206-E206</f>
        <v/>
      </c>
      <c r="N206" s="33">
        <f>L206-K206</f>
        <v/>
      </c>
    </row>
    <row r="207">
      <c r="A207" s="58" t="inlineStr">
        <is>
          <t>45004 Ridgefield Liq (Z)</t>
        </is>
      </c>
      <c r="B207" s="58" t="inlineStr">
        <is>
          <t>Bergen</t>
        </is>
      </c>
      <c r="C207" s="58" t="inlineStr">
        <is>
          <t>Dan Lagala</t>
        </is>
      </c>
      <c r="D207" s="58" t="inlineStr">
        <is>
          <t>Off-premise</t>
        </is>
      </c>
      <c r="E207" s="53" t="n">
        <v>1362</v>
      </c>
      <c r="F207" s="53" t="n">
        <v>1462</v>
      </c>
      <c r="G207" s="55" t="n">
        <v>9294.380000000001</v>
      </c>
      <c r="H207" s="55" t="n">
        <v>10601.46</v>
      </c>
      <c r="I207" s="53" t="n">
        <v>133</v>
      </c>
      <c r="J207" s="53" t="n">
        <v>146</v>
      </c>
      <c r="K207" s="53" t="n">
        <v>92</v>
      </c>
      <c r="L207" s="53" t="n">
        <v>140</v>
      </c>
      <c r="M207" s="33">
        <f>F207-E207</f>
        <v/>
      </c>
      <c r="N207" s="33">
        <f>L207-K207</f>
        <v/>
      </c>
    </row>
    <row r="208">
      <c r="A208" s="58" t="inlineStr">
        <is>
          <t>43002 Checo Supermarket</t>
        </is>
      </c>
      <c r="B208" s="58" t="inlineStr">
        <is>
          <t>Bergen</t>
        </is>
      </c>
      <c r="C208" s="58" t="inlineStr">
        <is>
          <t>Dan Lagala</t>
        </is>
      </c>
      <c r="D208" s="58" t="inlineStr">
        <is>
          <t>Off-premise</t>
        </is>
      </c>
      <c r="E208" s="53" t="n">
        <v>1636</v>
      </c>
      <c r="F208" s="53" t="n">
        <v>1755</v>
      </c>
      <c r="G208" s="55" t="n">
        <v>11241</v>
      </c>
      <c r="H208" s="55" t="n">
        <v>12007.81</v>
      </c>
      <c r="I208" s="53" t="n">
        <v>127</v>
      </c>
      <c r="J208" s="53" t="n">
        <v>92</v>
      </c>
      <c r="K208" s="53" t="n">
        <v>83</v>
      </c>
      <c r="L208" s="53" t="n">
        <v>131</v>
      </c>
      <c r="M208" s="33">
        <f>F208-E208</f>
        <v/>
      </c>
      <c r="N208" s="33">
        <f>L208-K208</f>
        <v/>
      </c>
    </row>
    <row r="209">
      <c r="A209" s="58" t="inlineStr">
        <is>
          <t>27034 Liquor Stop (Passaic)</t>
        </is>
      </c>
      <c r="B209" s="58" t="inlineStr">
        <is>
          <t>Passaic</t>
        </is>
      </c>
      <c r="C209" s="58" t="inlineStr">
        <is>
          <t>Javier Melo</t>
        </is>
      </c>
      <c r="D209" s="58" t="inlineStr">
        <is>
          <t>Off-premise</t>
        </is>
      </c>
      <c r="E209" s="53" t="n">
        <v>2723</v>
      </c>
      <c r="F209" s="53" t="n">
        <v>2805</v>
      </c>
      <c r="G209" s="55" t="n">
        <v>17395.48</v>
      </c>
      <c r="H209" s="55" t="n">
        <v>18752.35</v>
      </c>
      <c r="I209" s="53" t="n">
        <v>256</v>
      </c>
      <c r="J209" s="53" t="n">
        <v>266</v>
      </c>
      <c r="K209" s="53" t="n">
        <v>414</v>
      </c>
      <c r="L209" s="53" t="n">
        <v>462</v>
      </c>
      <c r="M209" s="33">
        <f>F209-E209</f>
        <v/>
      </c>
      <c r="N209" s="33">
        <f>L209-K209</f>
        <v/>
      </c>
    </row>
    <row r="210">
      <c r="A210" s="58" t="inlineStr">
        <is>
          <t>27055 Don Lalo Restaurant</t>
        </is>
      </c>
      <c r="B210" s="58" t="inlineStr">
        <is>
          <t>Passaic</t>
        </is>
      </c>
      <c r="C210" s="58" t="inlineStr">
        <is>
          <t>Javier Melo</t>
        </is>
      </c>
      <c r="D210" s="58" t="inlineStr">
        <is>
          <t>On-premise</t>
        </is>
      </c>
      <c r="E210" s="53" t="n">
        <v>24</v>
      </c>
      <c r="F210" s="53" t="n">
        <v>62</v>
      </c>
      <c r="G210" s="55" t="n">
        <v>208.42</v>
      </c>
      <c r="H210" s="55" t="n">
        <v>485.3</v>
      </c>
      <c r="I210" s="53" t="n">
        <v>4</v>
      </c>
      <c r="J210" s="53" t="n">
        <v>40</v>
      </c>
      <c r="K210" s="53" t="n">
        <v>14</v>
      </c>
      <c r="L210" s="53" t="n">
        <v>62</v>
      </c>
      <c r="M210" s="33">
        <f>F210-E210</f>
        <v/>
      </c>
      <c r="N210" s="33">
        <f>L210-K210</f>
        <v/>
      </c>
    </row>
    <row r="211">
      <c r="A211" s="58" t="inlineStr">
        <is>
          <t>191713 Stanhope Liquors</t>
        </is>
      </c>
      <c r="B211" s="58" t="inlineStr">
        <is>
          <t>Sussex</t>
        </is>
      </c>
      <c r="C211" s="58" t="inlineStr">
        <is>
          <t>Klejdi Lamo</t>
        </is>
      </c>
      <c r="D211" s="58" t="inlineStr">
        <is>
          <t>Off-premise</t>
        </is>
      </c>
      <c r="E211" s="53" t="n">
        <v>1207</v>
      </c>
      <c r="F211" s="53" t="n">
        <v>1304</v>
      </c>
      <c r="G211" s="55" t="n">
        <v>7931.82</v>
      </c>
      <c r="H211" s="55" t="n">
        <v>9023.440000000001</v>
      </c>
      <c r="I211" s="53" t="n">
        <v>236</v>
      </c>
      <c r="J211" s="53" t="n">
        <v>429</v>
      </c>
      <c r="K211" s="53" t="n">
        <v>156</v>
      </c>
      <c r="L211" s="53" t="n">
        <v>204</v>
      </c>
      <c r="M211" s="33">
        <f>F211-E211</f>
        <v/>
      </c>
      <c r="N211" s="33">
        <f>L211-K211</f>
        <v/>
      </c>
    </row>
    <row r="212">
      <c r="A212" s="58" t="inlineStr">
        <is>
          <t>42002 L. F. Wine Country (P)</t>
        </is>
      </c>
      <c r="B212" s="58" t="inlineStr">
        <is>
          <t>Bergen</t>
        </is>
      </c>
      <c r="C212" s="58" t="inlineStr">
        <is>
          <t>Matt Powierski</t>
        </is>
      </c>
      <c r="D212" s="58" t="inlineStr">
        <is>
          <t>Off-premise</t>
        </is>
      </c>
      <c r="E212" s="53" t="n">
        <v>1179</v>
      </c>
      <c r="F212" s="53" t="n">
        <v>1051</v>
      </c>
      <c r="G212" s="55" t="n">
        <v>8199.650000000001</v>
      </c>
      <c r="H212" s="55" t="n">
        <v>7447.17</v>
      </c>
      <c r="I212" s="53" t="n">
        <v>78</v>
      </c>
      <c r="J212" s="53" t="n">
        <v>53</v>
      </c>
      <c r="K212" s="53" t="n">
        <v>117</v>
      </c>
      <c r="L212" s="53" t="n">
        <v>165</v>
      </c>
      <c r="M212" s="33">
        <f>F212-E212</f>
        <v/>
      </c>
      <c r="N212" s="33">
        <f>L212-K212</f>
        <v/>
      </c>
    </row>
    <row r="213">
      <c r="A213" s="58" t="inlineStr">
        <is>
          <t>8002 Country Convenience Store</t>
        </is>
      </c>
      <c r="B213" s="58" t="inlineStr">
        <is>
          <t>Passaic</t>
        </is>
      </c>
      <c r="C213" s="58" t="inlineStr">
        <is>
          <t>Anthony Palmisano</t>
        </is>
      </c>
      <c r="D213" s="58" t="inlineStr">
        <is>
          <t>Off-premise</t>
        </is>
      </c>
      <c r="E213" s="53" t="n">
        <v>1674</v>
      </c>
      <c r="F213" s="53" t="n">
        <v>1675</v>
      </c>
      <c r="G213" s="55" t="n">
        <v>11542.35</v>
      </c>
      <c r="H213" s="55" t="n">
        <v>11677.28</v>
      </c>
      <c r="I213" s="53" t="n">
        <v>249</v>
      </c>
      <c r="J213" s="53" t="n">
        <v>245</v>
      </c>
      <c r="K213" s="53" t="n">
        <v>152</v>
      </c>
      <c r="L213" s="53" t="n">
        <v>199</v>
      </c>
      <c r="M213" s="33">
        <f>F213-E213</f>
        <v/>
      </c>
      <c r="N213" s="33">
        <f>L213-K213</f>
        <v/>
      </c>
    </row>
    <row r="214">
      <c r="A214" s="58" t="inlineStr">
        <is>
          <t>50020 Wineland</t>
        </is>
      </c>
      <c r="B214" s="58" t="inlineStr">
        <is>
          <t>Bergen</t>
        </is>
      </c>
      <c r="C214" s="58" t="inlineStr">
        <is>
          <t>Chris Payton</t>
        </is>
      </c>
      <c r="D214" s="58" t="inlineStr">
        <is>
          <t>Off-premise</t>
        </is>
      </c>
      <c r="E214" s="53" t="n">
        <v>6645</v>
      </c>
      <c r="F214" s="53" t="n">
        <v>6862</v>
      </c>
      <c r="G214" s="55" t="n">
        <v>44860.32</v>
      </c>
      <c r="H214" s="55" t="n">
        <v>47430.04000000002</v>
      </c>
      <c r="I214" s="53" t="n">
        <v>1616</v>
      </c>
      <c r="J214" s="53" t="n">
        <v>1612</v>
      </c>
      <c r="K214" s="53" t="n">
        <v>901</v>
      </c>
      <c r="L214" s="53" t="n">
        <v>948</v>
      </c>
      <c r="M214" s="33">
        <f>F214-E214</f>
        <v/>
      </c>
      <c r="N214" s="33">
        <f>L214-K214</f>
        <v/>
      </c>
    </row>
    <row r="215">
      <c r="A215" s="58" t="inlineStr">
        <is>
          <t>49035 Gulf Express Fort Lee</t>
        </is>
      </c>
      <c r="B215" s="58" t="inlineStr">
        <is>
          <t>Bergen</t>
        </is>
      </c>
      <c r="C215" s="58" t="inlineStr">
        <is>
          <t>Dan Lagala</t>
        </is>
      </c>
      <c r="D215" s="58" t="inlineStr">
        <is>
          <t>Off-premise</t>
        </is>
      </c>
      <c r="E215" s="53" t="n">
        <v>718</v>
      </c>
      <c r="F215" s="53" t="n">
        <v>919</v>
      </c>
      <c r="G215" s="55" t="n">
        <v>5180.53</v>
      </c>
      <c r="H215" s="55" t="n">
        <v>7364.630000000002</v>
      </c>
      <c r="I215" s="53" t="n">
        <v>62</v>
      </c>
      <c r="J215" s="53" t="n">
        <v>70</v>
      </c>
      <c r="K215" s="53" t="n">
        <v>68</v>
      </c>
      <c r="L215" s="53" t="n">
        <v>115</v>
      </c>
      <c r="M215" s="33">
        <f>F215-E215</f>
        <v/>
      </c>
      <c r="N215" s="33">
        <f>L215-K215</f>
        <v/>
      </c>
    </row>
    <row r="216">
      <c r="A216" s="58" t="inlineStr">
        <is>
          <t>171400 Newport Spirits (P)</t>
        </is>
      </c>
      <c r="B216" s="58" t="inlineStr">
        <is>
          <t>Hudson</t>
        </is>
      </c>
      <c r="C216" s="58" t="inlineStr">
        <is>
          <t>Dylan Rubino</t>
        </is>
      </c>
      <c r="D216" s="58" t="inlineStr">
        <is>
          <t>Off-premise</t>
        </is>
      </c>
      <c r="E216" s="53" t="n">
        <v>185</v>
      </c>
      <c r="F216" s="53" t="n">
        <v>232</v>
      </c>
      <c r="G216" s="55" t="n">
        <v>1178.49</v>
      </c>
      <c r="H216" s="55" t="n">
        <v>1466.57</v>
      </c>
      <c r="I216" s="53" t="n">
        <v>23</v>
      </c>
      <c r="J216" s="53" t="n">
        <v>43</v>
      </c>
      <c r="K216" s="53" t="n">
        <v>185</v>
      </c>
      <c r="L216" s="53" t="n">
        <v>232</v>
      </c>
      <c r="M216" s="33">
        <f>F216-E216</f>
        <v/>
      </c>
      <c r="N216" s="33">
        <f>L216-K216</f>
        <v/>
      </c>
    </row>
    <row r="217">
      <c r="A217" s="58" t="inlineStr">
        <is>
          <t>55001 Coasters Liquors</t>
        </is>
      </c>
      <c r="B217" s="58" t="inlineStr">
        <is>
          <t>Bergen</t>
        </is>
      </c>
      <c r="C217" s="58" t="inlineStr">
        <is>
          <t>Shane Barreca</t>
        </is>
      </c>
      <c r="D217" s="58" t="inlineStr">
        <is>
          <t>Off-premise</t>
        </is>
      </c>
      <c r="E217" s="53" t="n">
        <v>1200</v>
      </c>
      <c r="F217" s="53" t="n">
        <v>1231</v>
      </c>
      <c r="G217" s="55" t="n">
        <v>7957.079999999999</v>
      </c>
      <c r="H217" s="55" t="n">
        <v>8658.969999999999</v>
      </c>
      <c r="I217" s="53" t="n">
        <v>198</v>
      </c>
      <c r="J217" s="53" t="n">
        <v>221</v>
      </c>
      <c r="K217" s="53" t="n">
        <v>198</v>
      </c>
      <c r="L217" s="53" t="n">
        <v>245</v>
      </c>
      <c r="M217" s="33">
        <f>F217-E217</f>
        <v/>
      </c>
      <c r="N217" s="33">
        <f>L217-K217</f>
        <v/>
      </c>
    </row>
    <row r="218">
      <c r="A218" s="58" t="inlineStr">
        <is>
          <t>20127 Brothers A&amp;C Pizza (P)</t>
        </is>
      </c>
      <c r="B218" s="58" t="inlineStr">
        <is>
          <t>Passaic</t>
        </is>
      </c>
      <c r="C218" s="58" t="inlineStr">
        <is>
          <t>Derrick Laws</t>
        </is>
      </c>
      <c r="D218" s="58" t="inlineStr">
        <is>
          <t>On-premise</t>
        </is>
      </c>
      <c r="E218" s="53" t="n">
        <v>374</v>
      </c>
      <c r="F218" s="53" t="n">
        <v>406</v>
      </c>
      <c r="G218" s="55" t="n">
        <v>2960.17</v>
      </c>
      <c r="H218" s="55" t="n">
        <v>3252.71</v>
      </c>
      <c r="I218" s="53" t="n">
        <v>34</v>
      </c>
      <c r="J218" s="53" t="n">
        <v>7</v>
      </c>
      <c r="K218" s="53" t="n">
        <v>14</v>
      </c>
      <c r="L218" s="53" t="n">
        <v>60</v>
      </c>
      <c r="M218" s="33">
        <f>F218-E218</f>
        <v/>
      </c>
      <c r="N218" s="33">
        <f>L218-K218</f>
        <v/>
      </c>
    </row>
    <row r="219">
      <c r="A219" s="58" t="inlineStr">
        <is>
          <t>20040 Hiciano Liquor Store</t>
        </is>
      </c>
      <c r="B219" s="58" t="inlineStr">
        <is>
          <t>Passaic</t>
        </is>
      </c>
      <c r="C219" s="58" t="inlineStr">
        <is>
          <t>Derrick Laws</t>
        </is>
      </c>
      <c r="D219" s="58" t="inlineStr">
        <is>
          <t>Off-premise</t>
        </is>
      </c>
      <c r="E219" s="53" t="n">
        <v>2284</v>
      </c>
      <c r="F219" s="53" t="n">
        <v>2414</v>
      </c>
      <c r="G219" s="55" t="n">
        <v>15164.6</v>
      </c>
      <c r="H219" s="55" t="n">
        <v>16479.53</v>
      </c>
      <c r="I219" s="53" t="n">
        <v>184</v>
      </c>
      <c r="J219" s="53" t="n">
        <v>229</v>
      </c>
      <c r="K219" s="53" t="n">
        <v>110</v>
      </c>
      <c r="L219" s="53" t="n">
        <v>154</v>
      </c>
      <c r="M219" s="33">
        <f>F219-E219</f>
        <v/>
      </c>
      <c r="N219" s="33">
        <f>L219-K219</f>
        <v/>
      </c>
    </row>
    <row r="220">
      <c r="A220" s="58" t="inlineStr">
        <is>
          <t>54006 Tenafly Fine Wine &amp; Spirits</t>
        </is>
      </c>
      <c r="B220" s="58" t="inlineStr">
        <is>
          <t>Bergen</t>
        </is>
      </c>
      <c r="C220" s="58" t="inlineStr">
        <is>
          <t>Dan Lagala</t>
        </is>
      </c>
      <c r="D220" s="58" t="inlineStr">
        <is>
          <t>Off-premise</t>
        </is>
      </c>
      <c r="E220" s="53" t="n">
        <v>2378</v>
      </c>
      <c r="F220" s="53" t="n">
        <v>2082</v>
      </c>
      <c r="G220" s="55" t="n">
        <v>17229.8</v>
      </c>
      <c r="H220" s="55" t="n">
        <v>15136.13</v>
      </c>
      <c r="I220" s="53" t="n">
        <v>386</v>
      </c>
      <c r="J220" s="53" t="n">
        <v>271</v>
      </c>
      <c r="K220" s="53" t="n">
        <v>359</v>
      </c>
      <c r="L220" s="53" t="n">
        <v>402</v>
      </c>
      <c r="M220" s="33">
        <f>F220-E220</f>
        <v/>
      </c>
      <c r="N220" s="33">
        <f>L220-K220</f>
        <v/>
      </c>
    </row>
    <row r="221">
      <c r="A221" s="58" t="inlineStr">
        <is>
          <t>49032 Fairway Mkt &amp; Gift(A)</t>
        </is>
      </c>
      <c r="B221" s="58" t="inlineStr">
        <is>
          <t>Bergen</t>
        </is>
      </c>
      <c r="C221" s="58" t="inlineStr">
        <is>
          <t>Dan Lagala</t>
        </is>
      </c>
      <c r="D221" s="58" t="inlineStr">
        <is>
          <t>Off-premise</t>
        </is>
      </c>
      <c r="E221" s="53" t="n">
        <v>233</v>
      </c>
      <c r="F221" s="53" t="n">
        <v>261</v>
      </c>
      <c r="G221" s="55" t="n">
        <v>1709.28</v>
      </c>
      <c r="H221" s="55" t="n">
        <v>2103.25</v>
      </c>
      <c r="I221" s="53" t="n">
        <v>129</v>
      </c>
      <c r="J221" s="53" t="n">
        <v>134</v>
      </c>
      <c r="K221" s="53" t="n">
        <v>24</v>
      </c>
      <c r="L221" s="53" t="n">
        <v>67</v>
      </c>
      <c r="M221" s="33">
        <f>F221-E221</f>
        <v/>
      </c>
      <c r="N221" s="33">
        <f>L221-K221</f>
        <v/>
      </c>
    </row>
    <row r="222">
      <c r="A222" s="58" t="inlineStr">
        <is>
          <t>51004 Fill Er Up Kosher Wine(P)</t>
        </is>
      </c>
      <c r="B222" s="58" t="inlineStr">
        <is>
          <t>Bergen</t>
        </is>
      </c>
      <c r="C222" s="58" t="inlineStr">
        <is>
          <t>Dave Ehlers</t>
        </is>
      </c>
      <c r="D222" s="58" t="inlineStr">
        <is>
          <t>Off-premise</t>
        </is>
      </c>
      <c r="E222" s="53" t="n">
        <v>225</v>
      </c>
      <c r="F222" s="53" t="n">
        <v>313</v>
      </c>
      <c r="G222" s="55" t="n">
        <v>2161.45</v>
      </c>
      <c r="H222" s="55" t="n">
        <v>2951.11</v>
      </c>
      <c r="I222" s="53" t="n">
        <v>29</v>
      </c>
      <c r="J222" s="53" t="n">
        <v>58</v>
      </c>
      <c r="K222" s="53" t="n">
        <v>15</v>
      </c>
      <c r="L222" s="53" t="n">
        <v>58</v>
      </c>
      <c r="M222" s="33">
        <f>F222-E222</f>
        <v/>
      </c>
      <c r="N222" s="33">
        <f>L222-K222</f>
        <v/>
      </c>
    </row>
    <row r="223">
      <c r="A223" s="58" t="inlineStr">
        <is>
          <t>231316 Patricks Wine Barn</t>
        </is>
      </c>
      <c r="B223" s="58" t="inlineStr">
        <is>
          <t>Sussex</t>
        </is>
      </c>
      <c r="C223" s="58" t="inlineStr">
        <is>
          <t>Jayson Romine</t>
        </is>
      </c>
      <c r="D223" s="58" t="inlineStr">
        <is>
          <t>Off-premise</t>
        </is>
      </c>
      <c r="E223" s="53" t="n">
        <v>7572</v>
      </c>
      <c r="F223" s="53" t="n">
        <v>7176</v>
      </c>
      <c r="G223" s="55" t="n">
        <v>43943.84</v>
      </c>
      <c r="H223" s="55" t="n">
        <v>41658.4</v>
      </c>
      <c r="I223" s="53" t="n">
        <v>3070</v>
      </c>
      <c r="J223" s="53" t="n">
        <v>3389</v>
      </c>
      <c r="K223" s="53" t="n">
        <v>1109</v>
      </c>
      <c r="L223" s="53" t="n">
        <v>1152</v>
      </c>
      <c r="M223" s="33">
        <f>F223-E223</f>
        <v/>
      </c>
      <c r="N223" s="33">
        <f>L223-K223</f>
        <v/>
      </c>
    </row>
    <row r="224">
      <c r="A224" s="58" t="inlineStr">
        <is>
          <t>19016 Jiggle's</t>
        </is>
      </c>
      <c r="B224" s="58" t="inlineStr">
        <is>
          <t>Passaic</t>
        </is>
      </c>
      <c r="C224" s="58" t="inlineStr">
        <is>
          <t>Allison Scott</t>
        </is>
      </c>
      <c r="D224" s="58" t="inlineStr">
        <is>
          <t>On-premise</t>
        </is>
      </c>
      <c r="E224" s="53" t="n">
        <v>129</v>
      </c>
      <c r="F224" s="53" t="n">
        <v>160</v>
      </c>
      <c r="G224" s="55" t="n">
        <v>995.5600000000001</v>
      </c>
      <c r="H224" s="55" t="n">
        <v>1376.72</v>
      </c>
      <c r="I224" s="53" t="n">
        <v>15</v>
      </c>
      <c r="J224" s="53" t="n">
        <v>22</v>
      </c>
      <c r="K224" s="53" t="n">
        <v>5</v>
      </c>
      <c r="L224" s="53" t="n">
        <v>47</v>
      </c>
      <c r="M224" s="33">
        <f>F224-E224</f>
        <v/>
      </c>
      <c r="N224" s="33">
        <f>L224-K224</f>
        <v/>
      </c>
    </row>
    <row r="225">
      <c r="A225" s="58" t="inlineStr">
        <is>
          <t>4002 Bloomingdale Discount Liq</t>
        </is>
      </c>
      <c r="B225" s="58" t="inlineStr">
        <is>
          <t>Passaic</t>
        </is>
      </c>
      <c r="C225" s="58" t="inlineStr">
        <is>
          <t>Anthony Palmisano</t>
        </is>
      </c>
      <c r="D225" s="58" t="inlineStr">
        <is>
          <t>Off-premise</t>
        </is>
      </c>
      <c r="E225" s="53" t="n">
        <v>1127</v>
      </c>
      <c r="F225" s="53" t="n">
        <v>1145</v>
      </c>
      <c r="G225" s="55" t="n">
        <v>7965.61</v>
      </c>
      <c r="H225" s="55" t="n">
        <v>8409.709999999999</v>
      </c>
      <c r="I225" s="53" t="n">
        <v>182</v>
      </c>
      <c r="J225" s="53" t="n">
        <v>190</v>
      </c>
      <c r="K225" s="53" t="n">
        <v>164</v>
      </c>
      <c r="L225" s="53" t="n">
        <v>206</v>
      </c>
      <c r="M225" s="33">
        <f>F225-E225</f>
        <v/>
      </c>
      <c r="N225" s="33">
        <f>L225-K225</f>
        <v/>
      </c>
    </row>
    <row r="226">
      <c r="A226" s="58" t="inlineStr">
        <is>
          <t>191007 Charley's Tavern</t>
        </is>
      </c>
      <c r="B226" s="58" t="inlineStr">
        <is>
          <t>Morris</t>
        </is>
      </c>
      <c r="C226" s="58" t="inlineStr">
        <is>
          <t>Brian Sengebush</t>
        </is>
      </c>
      <c r="D226" s="58" t="inlineStr">
        <is>
          <t>On-premise</t>
        </is>
      </c>
      <c r="E226" s="53" t="n">
        <v>1114</v>
      </c>
      <c r="F226" s="53" t="n">
        <v>747</v>
      </c>
      <c r="G226" s="55" t="n">
        <v>8476.800000000001</v>
      </c>
      <c r="H226" s="55" t="n">
        <v>5915.75</v>
      </c>
      <c r="I226" s="53" t="n">
        <v>354</v>
      </c>
      <c r="J226" s="53" t="n">
        <v>244</v>
      </c>
      <c r="K226" s="53" t="n">
        <v>11</v>
      </c>
      <c r="L226" s="53" t="n">
        <v>53</v>
      </c>
      <c r="M226" s="33">
        <f>F226-E226</f>
        <v/>
      </c>
      <c r="N226" s="33">
        <f>L226-K226</f>
        <v/>
      </c>
    </row>
    <row r="227">
      <c r="A227" s="58" t="inlineStr">
        <is>
          <t>21048 Ferraro's Liquor</t>
        </is>
      </c>
      <c r="B227" s="58" t="inlineStr">
        <is>
          <t>Passaic</t>
        </is>
      </c>
      <c r="C227" s="58" t="inlineStr">
        <is>
          <t>Derrick Laws</t>
        </is>
      </c>
      <c r="D227" s="58" t="inlineStr">
        <is>
          <t>Off-premise</t>
        </is>
      </c>
      <c r="E227" s="53" t="n">
        <v>4519</v>
      </c>
      <c r="F227" s="53" t="n">
        <v>4486</v>
      </c>
      <c r="G227" s="55" t="n">
        <v>31634.7</v>
      </c>
      <c r="H227" s="55" t="n">
        <v>31452.43</v>
      </c>
      <c r="I227" s="53" t="n">
        <v>483</v>
      </c>
      <c r="J227" s="53" t="n">
        <v>317</v>
      </c>
      <c r="K227" s="53" t="n">
        <v>441</v>
      </c>
      <c r="L227" s="53" t="n">
        <v>483</v>
      </c>
      <c r="M227" s="33">
        <f>F227-E227</f>
        <v/>
      </c>
      <c r="N227" s="33">
        <f>L227-K227</f>
        <v/>
      </c>
    </row>
    <row r="228">
      <c r="A228" s="58" t="inlineStr">
        <is>
          <t>170208 Benny's Liq &amp; Deli</t>
        </is>
      </c>
      <c r="B228" s="58" t="inlineStr">
        <is>
          <t>Hudson</t>
        </is>
      </c>
      <c r="C228" s="58" t="inlineStr">
        <is>
          <t>Dylan Rubino</t>
        </is>
      </c>
      <c r="D228" s="58" t="inlineStr">
        <is>
          <t>Off-premise</t>
        </is>
      </c>
      <c r="E228" s="53" t="n">
        <v>15</v>
      </c>
      <c r="F228" s="53" t="n">
        <v>57</v>
      </c>
      <c r="G228" s="55" t="n">
        <v>136.43</v>
      </c>
      <c r="H228" s="55" t="n">
        <v>371.79</v>
      </c>
      <c r="I228" s="53" t="n">
        <v>129</v>
      </c>
      <c r="J228" s="53" t="n">
        <v>121</v>
      </c>
      <c r="K228" s="53" t="n">
        <v>15</v>
      </c>
      <c r="L228" s="53" t="n">
        <v>57</v>
      </c>
      <c r="M228" s="33">
        <f>F228-E228</f>
        <v/>
      </c>
      <c r="N228" s="33">
        <f>L228-K228</f>
        <v/>
      </c>
    </row>
    <row r="229">
      <c r="A229" s="58" t="inlineStr">
        <is>
          <t>21026 C Town Supermarket(P)</t>
        </is>
      </c>
      <c r="B229" s="58" t="inlineStr">
        <is>
          <t>Passaic</t>
        </is>
      </c>
      <c r="C229" s="58" t="inlineStr">
        <is>
          <t>Javier Melo</t>
        </is>
      </c>
      <c r="D229" s="58" t="inlineStr">
        <is>
          <t>Off-premise</t>
        </is>
      </c>
      <c r="E229" s="53" t="n">
        <v>2609</v>
      </c>
      <c r="F229" s="53" t="n">
        <v>2813</v>
      </c>
      <c r="G229" s="55" t="n">
        <v>17626.24</v>
      </c>
      <c r="H229" s="55" t="n">
        <v>19690.41999999999</v>
      </c>
      <c r="I229" s="53" t="n">
        <v>271</v>
      </c>
      <c r="J229" s="53" t="n">
        <v>208</v>
      </c>
      <c r="K229" s="53" t="n">
        <v>231</v>
      </c>
      <c r="L229" s="53" t="n">
        <v>273</v>
      </c>
      <c r="M229" s="33">
        <f>F229-E229</f>
        <v/>
      </c>
      <c r="N229" s="33">
        <f>L229-K229</f>
        <v/>
      </c>
    </row>
    <row r="230">
      <c r="A230" s="58" t="inlineStr">
        <is>
          <t>191812 Patel Liqr &amp; Gro(P)</t>
        </is>
      </c>
      <c r="B230" s="58" t="inlineStr">
        <is>
          <t>Morris</t>
        </is>
      </c>
      <c r="C230" s="58" t="inlineStr">
        <is>
          <t>Klejdi Lamo</t>
        </is>
      </c>
      <c r="D230" s="58" t="inlineStr">
        <is>
          <t>Off-premise</t>
        </is>
      </c>
      <c r="E230" s="53" t="n">
        <v>1595</v>
      </c>
      <c r="F230" s="53" t="n">
        <v>1369</v>
      </c>
      <c r="G230" s="55" t="n">
        <v>10612.75</v>
      </c>
      <c r="H230" s="55" t="n">
        <v>9573.74</v>
      </c>
      <c r="I230" s="53" t="n">
        <v>329</v>
      </c>
      <c r="J230" s="53" t="n">
        <v>249</v>
      </c>
      <c r="K230" s="53" t="n">
        <v>172</v>
      </c>
      <c r="L230" s="53" t="n">
        <v>214</v>
      </c>
      <c r="M230" s="33">
        <f>F230-E230</f>
        <v/>
      </c>
      <c r="N230" s="33">
        <f>L230-K230</f>
        <v/>
      </c>
    </row>
    <row r="231">
      <c r="A231" s="58" t="inlineStr">
        <is>
          <t>96001 Wyckoff Tavern Kitchen and Bar</t>
        </is>
      </c>
      <c r="B231" s="58" t="inlineStr">
        <is>
          <t>Bergen</t>
        </is>
      </c>
      <c r="C231" s="58" t="inlineStr">
        <is>
          <t>Nick Melissari</t>
        </is>
      </c>
      <c r="D231" s="58" t="inlineStr">
        <is>
          <t>Unmatched</t>
        </is>
      </c>
      <c r="E231" s="53" t="n">
        <v>50</v>
      </c>
      <c r="F231" s="53" t="n">
        <v>185</v>
      </c>
      <c r="G231" s="55" t="n">
        <v>377.71</v>
      </c>
      <c r="H231" s="55" t="n">
        <v>1388.86</v>
      </c>
      <c r="I231" s="53" t="n">
        <v>20</v>
      </c>
      <c r="J231" s="53" t="n">
        <v>15</v>
      </c>
      <c r="K231" s="53" t="n">
        <v>14</v>
      </c>
      <c r="L231" s="53" t="n">
        <v>56</v>
      </c>
      <c r="M231" s="33">
        <f>F231-E231</f>
        <v/>
      </c>
      <c r="N231" s="33">
        <f>L231-K231</f>
        <v/>
      </c>
    </row>
    <row r="232">
      <c r="A232" s="58" t="inlineStr">
        <is>
          <t>12041 Cheesecake Fact (A)Wayne</t>
        </is>
      </c>
      <c r="B232" s="58" t="inlineStr">
        <is>
          <t>Passaic</t>
        </is>
      </c>
      <c r="C232" s="58" t="inlineStr">
        <is>
          <t>Allison Scott</t>
        </is>
      </c>
      <c r="D232" s="58" t="inlineStr">
        <is>
          <t>On-premise</t>
        </is>
      </c>
      <c r="E232" s="53" t="n">
        <v>97</v>
      </c>
      <c r="F232" s="53" t="n">
        <v>146</v>
      </c>
      <c r="G232" s="55" t="n">
        <v>1011.56</v>
      </c>
      <c r="H232" s="55" t="n">
        <v>1595.79</v>
      </c>
      <c r="I232" s="53" t="n">
        <v>25</v>
      </c>
      <c r="J232" s="53" t="n">
        <v>32</v>
      </c>
      <c r="K232" s="53" t="n">
        <v>24</v>
      </c>
      <c r="L232" s="53" t="n">
        <v>65</v>
      </c>
      <c r="M232" s="33">
        <f>F232-E232</f>
        <v/>
      </c>
      <c r="N232" s="33">
        <f>L232-K232</f>
        <v/>
      </c>
    </row>
    <row r="233">
      <c r="A233" s="58" t="inlineStr">
        <is>
          <t>190220 Reservoir Tavern(A)</t>
        </is>
      </c>
      <c r="B233" s="58" t="inlineStr">
        <is>
          <t>Morris</t>
        </is>
      </c>
      <c r="C233" s="58" t="inlineStr">
        <is>
          <t>Brian Sengebush</t>
        </is>
      </c>
      <c r="D233" s="58" t="inlineStr">
        <is>
          <t>On-premise</t>
        </is>
      </c>
      <c r="E233" s="53" t="n">
        <v>130</v>
      </c>
      <c r="F233" s="53" t="n">
        <v>157</v>
      </c>
      <c r="G233" s="55" t="n">
        <v>935.5100000000001</v>
      </c>
      <c r="H233" s="55" t="n">
        <v>1215.26</v>
      </c>
      <c r="I233" s="53" t="n">
        <v>28</v>
      </c>
      <c r="J233" s="53" t="n">
        <v>41</v>
      </c>
      <c r="K233" s="53" t="n">
        <v>7</v>
      </c>
      <c r="L233" s="53" t="n">
        <v>48</v>
      </c>
      <c r="M233" s="33">
        <f>F233-E233</f>
        <v/>
      </c>
      <c r="N233" s="33">
        <f>L233-K233</f>
        <v/>
      </c>
    </row>
    <row r="234">
      <c r="A234" s="58" t="inlineStr">
        <is>
          <t>44017 Frankie's Gastro</t>
        </is>
      </c>
      <c r="B234" s="58" t="inlineStr">
        <is>
          <t>Bergen</t>
        </is>
      </c>
      <c r="C234" s="58" t="inlineStr">
        <is>
          <t>Dan Lagala</t>
        </is>
      </c>
      <c r="D234" s="58" t="inlineStr">
        <is>
          <t>On-premise</t>
        </is>
      </c>
      <c r="E234" s="53" t="n">
        <v>672</v>
      </c>
      <c r="F234" s="53" t="n">
        <v>811</v>
      </c>
      <c r="G234" s="55" t="n">
        <v>5653.71</v>
      </c>
      <c r="H234" s="55" t="n">
        <v>7245.349999999999</v>
      </c>
      <c r="I234" s="53" t="n">
        <v>35</v>
      </c>
      <c r="J234" s="53" t="n">
        <v>51</v>
      </c>
      <c r="K234" s="53" t="n">
        <v>5</v>
      </c>
      <c r="L234" s="53" t="n">
        <v>46</v>
      </c>
      <c r="M234" s="33">
        <f>F234-E234</f>
        <v/>
      </c>
      <c r="N234" s="33">
        <f>L234-K234</f>
        <v/>
      </c>
    </row>
    <row r="235">
      <c r="A235" s="58" t="inlineStr">
        <is>
          <t>51013 G &amp; G Liquors &amp; Bar</t>
        </is>
      </c>
      <c r="B235" s="58" t="inlineStr">
        <is>
          <t>Bergen</t>
        </is>
      </c>
      <c r="C235" s="58" t="inlineStr">
        <is>
          <t>Dave Ehlers</t>
        </is>
      </c>
      <c r="D235" s="58" t="inlineStr">
        <is>
          <t>Off-premise</t>
        </is>
      </c>
      <c r="E235" s="53" t="n">
        <v>1757</v>
      </c>
      <c r="F235" s="53" t="n">
        <v>1838</v>
      </c>
      <c r="G235" s="55" t="n">
        <v>12338.68</v>
      </c>
      <c r="H235" s="55" t="n">
        <v>13779.71</v>
      </c>
      <c r="I235" s="53" t="n">
        <v>154</v>
      </c>
      <c r="J235" s="53" t="n">
        <v>203</v>
      </c>
      <c r="K235" s="53" t="n">
        <v>181</v>
      </c>
      <c r="L235" s="53" t="n">
        <v>222</v>
      </c>
      <c r="M235" s="33">
        <f>F235-E235</f>
        <v/>
      </c>
      <c r="N235" s="33">
        <f>L235-K235</f>
        <v/>
      </c>
    </row>
    <row r="236">
      <c r="A236" s="58" t="inlineStr">
        <is>
          <t>170169 Buy Rite North Bergen</t>
        </is>
      </c>
      <c r="B236" s="58" t="inlineStr">
        <is>
          <t>Hudson</t>
        </is>
      </c>
      <c r="C236" s="58" t="inlineStr">
        <is>
          <t>Dylan Rubino</t>
        </is>
      </c>
      <c r="D236" s="58" t="inlineStr">
        <is>
          <t>Off-premise</t>
        </is>
      </c>
      <c r="E236" s="53" t="n">
        <v>59</v>
      </c>
      <c r="F236" s="53" t="n">
        <v>100</v>
      </c>
      <c r="G236" s="55" t="n">
        <v>351.24</v>
      </c>
      <c r="H236" s="55" t="n">
        <v>599.51</v>
      </c>
      <c r="I236" s="53" t="n">
        <v>172</v>
      </c>
      <c r="J236" s="53" t="n">
        <v>171</v>
      </c>
      <c r="K236" s="53" t="n">
        <v>59</v>
      </c>
      <c r="L236" s="53" t="n">
        <v>100</v>
      </c>
      <c r="M236" s="33">
        <f>F236-E236</f>
        <v/>
      </c>
      <c r="N236" s="33">
        <f>L236-K236</f>
        <v/>
      </c>
    </row>
    <row r="237">
      <c r="A237" s="58" t="inlineStr">
        <is>
          <t>21034 Schulman's (P) Deli</t>
        </is>
      </c>
      <c r="B237" s="58" t="inlineStr">
        <is>
          <t>Passaic</t>
        </is>
      </c>
      <c r="C237" s="58" t="inlineStr">
        <is>
          <t>Pablo Lopez</t>
        </is>
      </c>
      <c r="D237" s="58" t="inlineStr">
        <is>
          <t>Off-premise</t>
        </is>
      </c>
      <c r="E237" s="53" t="n">
        <v>1889</v>
      </c>
      <c r="F237" s="53" t="n">
        <v>1867</v>
      </c>
      <c r="G237" s="55" t="n">
        <v>13057.23</v>
      </c>
      <c r="H237" s="55" t="n">
        <v>13598.76</v>
      </c>
      <c r="I237" s="53" t="n">
        <v>236</v>
      </c>
      <c r="J237" s="53" t="n">
        <v>248</v>
      </c>
      <c r="K237" s="53" t="n">
        <v>189</v>
      </c>
      <c r="L237" s="53" t="n">
        <v>230</v>
      </c>
      <c r="M237" s="33">
        <f>F237-E237</f>
        <v/>
      </c>
      <c r="N237" s="33">
        <f>L237-K237</f>
        <v/>
      </c>
    </row>
    <row r="238">
      <c r="A238" s="58" t="inlineStr">
        <is>
          <t>74004 P J Finnegan's</t>
        </is>
      </c>
      <c r="B238" s="58" t="inlineStr">
        <is>
          <t>Bergen</t>
        </is>
      </c>
      <c r="C238" s="58" t="inlineStr">
        <is>
          <t>Paul Mclaughlin</t>
        </is>
      </c>
      <c r="D238" s="58" t="inlineStr">
        <is>
          <t>On-premise</t>
        </is>
      </c>
      <c r="E238" s="53" t="n">
        <v>95</v>
      </c>
      <c r="F238" s="53" t="n">
        <v>117</v>
      </c>
      <c r="G238" s="55" t="n">
        <v>660.21</v>
      </c>
      <c r="H238" s="55" t="n">
        <v>876.27</v>
      </c>
      <c r="I238" s="53" t="n">
        <v>46</v>
      </c>
      <c r="J238" s="53" t="n">
        <v>35</v>
      </c>
      <c r="K238" s="53" t="n">
        <v>0</v>
      </c>
      <c r="L238" s="53" t="n">
        <v>41</v>
      </c>
      <c r="M238" s="33">
        <f>F238-E238</f>
        <v/>
      </c>
      <c r="N238" s="33">
        <f>L238-K238</f>
        <v/>
      </c>
    </row>
    <row r="239">
      <c r="A239" s="58" t="inlineStr">
        <is>
          <t>78008 Shop Rite Liq(A) Roch Pk</t>
        </is>
      </c>
      <c r="B239" s="58" t="inlineStr">
        <is>
          <t>Bergen</t>
        </is>
      </c>
      <c r="C239" s="58" t="inlineStr">
        <is>
          <t>Phil Ernst</t>
        </is>
      </c>
      <c r="D239" s="58" t="inlineStr">
        <is>
          <t>Off-premise</t>
        </is>
      </c>
      <c r="E239" s="53" t="n">
        <v>6084</v>
      </c>
      <c r="F239" s="53" t="n">
        <v>6308</v>
      </c>
      <c r="G239" s="55" t="n">
        <v>39980.02999999999</v>
      </c>
      <c r="H239" s="55" t="n">
        <v>42877.81</v>
      </c>
      <c r="I239" s="53" t="n">
        <v>2388</v>
      </c>
      <c r="J239" s="53" t="n">
        <v>2292</v>
      </c>
      <c r="K239" s="53" t="n">
        <v>836</v>
      </c>
      <c r="L239" s="53" t="n">
        <v>877</v>
      </c>
      <c r="M239" s="33">
        <f>F239-E239</f>
        <v/>
      </c>
      <c r="N239" s="33">
        <f>L239-K239</f>
        <v/>
      </c>
    </row>
    <row r="240">
      <c r="A240" s="58" t="inlineStr">
        <is>
          <t>20014 Bombolon Liquor &amp; Grocery</t>
        </is>
      </c>
      <c r="B240" s="58" t="inlineStr">
        <is>
          <t>Passaic</t>
        </is>
      </c>
      <c r="C240" s="58" t="inlineStr">
        <is>
          <t>Pablo Lopez</t>
        </is>
      </c>
      <c r="D240" s="58" t="inlineStr">
        <is>
          <t>Off-premise</t>
        </is>
      </c>
      <c r="E240" s="53" t="n">
        <v>4042</v>
      </c>
      <c r="F240" s="53" t="n">
        <v>4035</v>
      </c>
      <c r="G240" s="55" t="n">
        <v>27733.24</v>
      </c>
      <c r="H240" s="55" t="n">
        <v>28356.92</v>
      </c>
      <c r="I240" s="53" t="n">
        <v>191</v>
      </c>
      <c r="J240" s="53" t="n">
        <v>82</v>
      </c>
      <c r="K240" s="53" t="n">
        <v>221</v>
      </c>
      <c r="L240" s="53" t="n">
        <v>261</v>
      </c>
      <c r="M240" s="33">
        <f>F240-E240</f>
        <v/>
      </c>
      <c r="N240" s="33">
        <f>L240-K240</f>
        <v/>
      </c>
    </row>
    <row r="241">
      <c r="A241" s="58" t="inlineStr">
        <is>
          <t>231717 Culver Liquor and Bar</t>
        </is>
      </c>
      <c r="B241" s="58" t="inlineStr">
        <is>
          <t>Sussex</t>
        </is>
      </c>
      <c r="C241" s="58" t="inlineStr">
        <is>
          <t>Brian Sengebush</t>
        </is>
      </c>
      <c r="D241" s="58" t="inlineStr">
        <is>
          <t>Off-premise</t>
        </is>
      </c>
      <c r="E241" s="53" t="n">
        <v>2907</v>
      </c>
      <c r="F241" s="53" t="n">
        <v>2663</v>
      </c>
      <c r="G241" s="55" t="n">
        <v>17352.52</v>
      </c>
      <c r="H241" s="55" t="n">
        <v>16905.83</v>
      </c>
      <c r="I241" s="53" t="n">
        <v>751</v>
      </c>
      <c r="J241" s="53" t="n">
        <v>782</v>
      </c>
      <c r="K241" s="53" t="n">
        <v>293</v>
      </c>
      <c r="L241" s="53" t="n">
        <v>332</v>
      </c>
      <c r="M241" s="33">
        <f>F241-E241</f>
        <v/>
      </c>
      <c r="N241" s="33">
        <f>L241-K241</f>
        <v/>
      </c>
    </row>
    <row r="242">
      <c r="A242" s="58" t="inlineStr">
        <is>
          <t>46012 Jay Cee (P) Deli &amp; Liq.</t>
        </is>
      </c>
      <c r="B242" s="58" t="inlineStr">
        <is>
          <t>Bergen</t>
        </is>
      </c>
      <c r="C242" s="58" t="inlineStr">
        <is>
          <t>Dan Lagala</t>
        </is>
      </c>
      <c r="D242" s="58" t="inlineStr">
        <is>
          <t>Off-premise</t>
        </is>
      </c>
      <c r="E242" s="53" t="n">
        <v>2677</v>
      </c>
      <c r="F242" s="53" t="n">
        <v>2444</v>
      </c>
      <c r="G242" s="55" t="n">
        <v>18758.65</v>
      </c>
      <c r="H242" s="55" t="n">
        <v>16709.12</v>
      </c>
      <c r="I242" s="53" t="n">
        <v>261</v>
      </c>
      <c r="J242" s="53" t="n">
        <v>184</v>
      </c>
      <c r="K242" s="53" t="n">
        <v>214</v>
      </c>
      <c r="L242" s="53" t="n">
        <v>253</v>
      </c>
      <c r="M242" s="33">
        <f>F242-E242</f>
        <v/>
      </c>
      <c r="N242" s="33">
        <f>L242-K242</f>
        <v/>
      </c>
    </row>
    <row r="243">
      <c r="A243" s="58" t="inlineStr">
        <is>
          <t>24003 Paulison Liquors (P)</t>
        </is>
      </c>
      <c r="B243" s="58" t="inlineStr">
        <is>
          <t>Passaic</t>
        </is>
      </c>
      <c r="C243" s="58" t="inlineStr">
        <is>
          <t>Javier Melo</t>
        </is>
      </c>
      <c r="D243" s="58" t="inlineStr">
        <is>
          <t>Off-premise</t>
        </is>
      </c>
      <c r="E243" s="53" t="n">
        <v>3141</v>
      </c>
      <c r="F243" s="53" t="n">
        <v>3035</v>
      </c>
      <c r="G243" s="55" t="n">
        <v>21023.72</v>
      </c>
      <c r="H243" s="55" t="n">
        <v>21133.24</v>
      </c>
      <c r="I243" s="53" t="n">
        <v>264</v>
      </c>
      <c r="J243" s="53" t="n">
        <v>220</v>
      </c>
      <c r="K243" s="53" t="n">
        <v>560</v>
      </c>
      <c r="L243" s="53" t="n">
        <v>599</v>
      </c>
      <c r="M243" s="33">
        <f>F243-E243</f>
        <v/>
      </c>
      <c r="N243" s="33">
        <f>L243-K243</f>
        <v/>
      </c>
    </row>
    <row r="244">
      <c r="A244" s="58" t="inlineStr">
        <is>
          <t>78017 El Asadero Mexican Grill (Rochelle Park)</t>
        </is>
      </c>
      <c r="B244" s="58" t="inlineStr">
        <is>
          <t>Bergen</t>
        </is>
      </c>
      <c r="C244" s="58" t="inlineStr">
        <is>
          <t>Nick Melissari</t>
        </is>
      </c>
      <c r="D244" s="58" t="inlineStr">
        <is>
          <t>On-premise</t>
        </is>
      </c>
      <c r="E244" s="53" t="n">
        <v>460</v>
      </c>
      <c r="F244" s="53" t="n">
        <v>569</v>
      </c>
      <c r="G244" s="55" t="n">
        <v>3760.45</v>
      </c>
      <c r="H244" s="55" t="n">
        <v>4703.29</v>
      </c>
      <c r="I244" s="53" t="n">
        <v>115</v>
      </c>
      <c r="J244" s="53" t="n">
        <v>183</v>
      </c>
      <c r="K244" s="53" t="n">
        <v>83</v>
      </c>
      <c r="L244" s="53" t="n">
        <v>122</v>
      </c>
      <c r="M244" s="33">
        <f>F244-E244</f>
        <v/>
      </c>
      <c r="N244" s="33">
        <f>L244-K244</f>
        <v/>
      </c>
    </row>
    <row r="245">
      <c r="A245" s="58" t="inlineStr">
        <is>
          <t>24019 Sharky's Wings(P)</t>
        </is>
      </c>
      <c r="B245" s="58" t="inlineStr">
        <is>
          <t>Passaic</t>
        </is>
      </c>
      <c r="C245" s="58" t="inlineStr">
        <is>
          <t>Allison Scott</t>
        </is>
      </c>
      <c r="D245" s="58" t="inlineStr">
        <is>
          <t>On-premise</t>
        </is>
      </c>
      <c r="E245" s="53" t="n">
        <v>839</v>
      </c>
      <c r="F245" s="53" t="n">
        <v>915</v>
      </c>
      <c r="G245" s="55" t="n">
        <v>5224.85</v>
      </c>
      <c r="H245" s="55" t="n">
        <v>5738.210000000001</v>
      </c>
      <c r="I245" s="53" t="n">
        <v>354</v>
      </c>
      <c r="J245" s="53" t="n">
        <v>264</v>
      </c>
      <c r="K245" s="53" t="n">
        <v>89</v>
      </c>
      <c r="L245" s="53" t="n">
        <v>127</v>
      </c>
      <c r="M245" s="33">
        <f>F245-E245</f>
        <v/>
      </c>
      <c r="N245" s="33">
        <f>L245-K245</f>
        <v/>
      </c>
    </row>
    <row r="246">
      <c r="A246" s="58" t="inlineStr">
        <is>
          <t>10001 cherry's</t>
        </is>
      </c>
      <c r="B246" s="58" t="inlineStr">
        <is>
          <t>Morris</t>
        </is>
      </c>
      <c r="C246" s="58" t="inlineStr">
        <is>
          <t>Allison Scott</t>
        </is>
      </c>
      <c r="D246" s="58" t="inlineStr">
        <is>
          <t>On-premise</t>
        </is>
      </c>
      <c r="E246" s="53" t="n">
        <v>10</v>
      </c>
      <c r="F246" s="53" t="n">
        <v>108</v>
      </c>
      <c r="G246" s="55" t="n">
        <v>93.67000000000002</v>
      </c>
      <c r="H246" s="55" t="n">
        <v>910.5199999999999</v>
      </c>
      <c r="I246" s="53" t="n">
        <v>10</v>
      </c>
      <c r="J246" s="53" t="n">
        <v>58</v>
      </c>
      <c r="K246" s="53" t="n">
        <v>1</v>
      </c>
      <c r="L246" s="53" t="n">
        <v>39</v>
      </c>
      <c r="M246" s="33">
        <f>F246-E246</f>
        <v/>
      </c>
      <c r="N246" s="33">
        <f>L246-K246</f>
        <v/>
      </c>
    </row>
    <row r="247">
      <c r="A247" s="58" t="inlineStr">
        <is>
          <t>7005 Chili's (Riverdale)</t>
        </is>
      </c>
      <c r="B247" s="58" t="inlineStr">
        <is>
          <t>Morris</t>
        </is>
      </c>
      <c r="C247" s="58" t="inlineStr">
        <is>
          <t>Allison Scott</t>
        </is>
      </c>
      <c r="D247" s="58" t="inlineStr">
        <is>
          <t>On-premise</t>
        </is>
      </c>
      <c r="E247" s="53" t="n">
        <v>199</v>
      </c>
      <c r="F247" s="53" t="n">
        <v>251</v>
      </c>
      <c r="G247" s="55" t="n">
        <v>1169.59</v>
      </c>
      <c r="H247" s="55" t="n">
        <v>1778.41</v>
      </c>
      <c r="I247" s="53" t="n">
        <v>47</v>
      </c>
      <c r="J247" s="53" t="n">
        <v>32</v>
      </c>
      <c r="K247" s="53" t="n">
        <v>3</v>
      </c>
      <c r="L247" s="53" t="n">
        <v>41</v>
      </c>
      <c r="M247" s="33">
        <f>F247-E247</f>
        <v/>
      </c>
      <c r="N247" s="33">
        <f>L247-K247</f>
        <v/>
      </c>
    </row>
    <row r="248">
      <c r="A248" s="58" t="inlineStr">
        <is>
          <t>8007 Krauszer's Liquor Wine and Spirits</t>
        </is>
      </c>
      <c r="B248" s="58" t="inlineStr">
        <is>
          <t>Passaic</t>
        </is>
      </c>
      <c r="C248" s="58" t="inlineStr">
        <is>
          <t>Anthony Palmisano</t>
        </is>
      </c>
      <c r="D248" s="58" t="inlineStr">
        <is>
          <t>Off-premise</t>
        </is>
      </c>
      <c r="E248" s="53" t="n">
        <v>2842</v>
      </c>
      <c r="F248" s="53" t="n">
        <v>2686</v>
      </c>
      <c r="G248" s="55" t="n">
        <v>19270.37</v>
      </c>
      <c r="H248" s="55" t="n">
        <v>18608.57</v>
      </c>
      <c r="I248" s="53" t="n">
        <v>547</v>
      </c>
      <c r="J248" s="53" t="n">
        <v>764</v>
      </c>
      <c r="K248" s="53" t="n">
        <v>477</v>
      </c>
      <c r="L248" s="53" t="n">
        <v>515</v>
      </c>
      <c r="M248" s="33">
        <f>F248-E248</f>
        <v/>
      </c>
      <c r="N248" s="33">
        <f>L248-K248</f>
        <v/>
      </c>
    </row>
    <row r="249">
      <c r="A249" s="58" t="inlineStr">
        <is>
          <t>44049 Rome Liquor (Cliffside Park)</t>
        </is>
      </c>
      <c r="B249" s="58" t="inlineStr">
        <is>
          <t>Bergen</t>
        </is>
      </c>
      <c r="C249" s="58" t="inlineStr">
        <is>
          <t>Dan Lagala</t>
        </is>
      </c>
      <c r="D249" s="58" t="inlineStr">
        <is>
          <t>Off-premise</t>
        </is>
      </c>
      <c r="E249" s="53" t="n">
        <v>1524</v>
      </c>
      <c r="F249" s="53" t="n">
        <v>1593</v>
      </c>
      <c r="G249" s="55" t="n">
        <v>10529.1</v>
      </c>
      <c r="H249" s="55" t="n">
        <v>10470.22</v>
      </c>
      <c r="I249" s="53" t="n">
        <v>152</v>
      </c>
      <c r="J249" s="53" t="n">
        <v>128</v>
      </c>
      <c r="K249" s="53" t="n">
        <v>220</v>
      </c>
      <c r="L249" s="53" t="n">
        <v>258</v>
      </c>
      <c r="M249" s="33">
        <f>F249-E249</f>
        <v/>
      </c>
      <c r="N249" s="33">
        <f>L249-K249</f>
        <v/>
      </c>
    </row>
    <row r="250">
      <c r="A250" s="58" t="inlineStr">
        <is>
          <t>58002 River Edge Wine &amp; Liquor</t>
        </is>
      </c>
      <c r="B250" s="58" t="inlineStr">
        <is>
          <t>Bergen</t>
        </is>
      </c>
      <c r="C250" s="58" t="inlineStr">
        <is>
          <t>Dave Ehlers</t>
        </is>
      </c>
      <c r="D250" s="58" t="inlineStr">
        <is>
          <t>Off-premise</t>
        </is>
      </c>
      <c r="E250" s="53" t="n">
        <v>907</v>
      </c>
      <c r="F250" s="53" t="n">
        <v>1046</v>
      </c>
      <c r="G250" s="55" t="n">
        <v>6290.75</v>
      </c>
      <c r="H250" s="55" t="n">
        <v>7443.709999999999</v>
      </c>
      <c r="I250" s="53" t="n">
        <v>219</v>
      </c>
      <c r="J250" s="53" t="n">
        <v>233</v>
      </c>
      <c r="K250" s="53" t="n">
        <v>118</v>
      </c>
      <c r="L250" s="53" t="n">
        <v>156</v>
      </c>
      <c r="M250" s="33">
        <f>F250-E250</f>
        <v/>
      </c>
      <c r="N250" s="33">
        <f>L250-K250</f>
        <v/>
      </c>
    </row>
    <row r="251">
      <c r="A251" s="58" t="inlineStr">
        <is>
          <t>21023 Luna Liquors</t>
        </is>
      </c>
      <c r="B251" s="58" t="inlineStr">
        <is>
          <t>Passaic</t>
        </is>
      </c>
      <c r="C251" s="58" t="inlineStr">
        <is>
          <t>Javier Melo</t>
        </is>
      </c>
      <c r="D251" s="58" t="inlineStr">
        <is>
          <t>Off-premise</t>
        </is>
      </c>
      <c r="E251" s="53" t="n">
        <v>4325</v>
      </c>
      <c r="F251" s="53" t="n">
        <v>4292</v>
      </c>
      <c r="G251" s="55" t="n">
        <v>32313.25</v>
      </c>
      <c r="H251" s="55" t="n">
        <v>32397.81</v>
      </c>
      <c r="I251" s="53" t="n">
        <v>243</v>
      </c>
      <c r="J251" s="53" t="n">
        <v>221</v>
      </c>
      <c r="K251" s="53" t="n">
        <v>221</v>
      </c>
      <c r="L251" s="53" t="n">
        <v>259</v>
      </c>
      <c r="M251" s="33">
        <f>F251-E251</f>
        <v/>
      </c>
      <c r="N251" s="33">
        <f>L251-K251</f>
        <v/>
      </c>
    </row>
    <row r="252">
      <c r="A252" s="58" t="inlineStr">
        <is>
          <t>37025 All Nations Liq</t>
        </is>
      </c>
      <c r="B252" s="58" t="inlineStr">
        <is>
          <t>Bergen</t>
        </is>
      </c>
      <c r="C252" s="58" t="inlineStr">
        <is>
          <t>Matt Powierski</t>
        </is>
      </c>
      <c r="D252" s="58" t="inlineStr">
        <is>
          <t>Off-premise</t>
        </is>
      </c>
      <c r="E252" s="53" t="n">
        <v>0</v>
      </c>
      <c r="F252" s="53" t="n">
        <v>340</v>
      </c>
      <c r="G252" s="55" t="n">
        <v>0</v>
      </c>
      <c r="H252" s="55" t="n">
        <v>2442.38</v>
      </c>
      <c r="I252" s="53" t="n">
        <v>0</v>
      </c>
      <c r="J252" s="53" t="n">
        <v>20</v>
      </c>
      <c r="K252" s="53" t="n">
        <v>0</v>
      </c>
      <c r="L252" s="53" t="n">
        <v>38</v>
      </c>
      <c r="M252" s="33">
        <f>F252-E252</f>
        <v/>
      </c>
      <c r="N252" s="33">
        <f>L252-K252</f>
        <v/>
      </c>
    </row>
    <row r="253">
      <c r="A253" s="58" t="inlineStr">
        <is>
          <t>84022 Park West Tavern</t>
        </is>
      </c>
      <c r="B253" s="58" t="inlineStr">
        <is>
          <t>Bergen</t>
        </is>
      </c>
      <c r="C253" s="58" t="inlineStr">
        <is>
          <t>Mike Ast</t>
        </is>
      </c>
      <c r="D253" s="58" t="inlineStr">
        <is>
          <t>On-premise</t>
        </is>
      </c>
      <c r="E253" s="53" t="n">
        <v>218</v>
      </c>
      <c r="F253" s="53" t="n">
        <v>236</v>
      </c>
      <c r="G253" s="55" t="n">
        <v>2127.01</v>
      </c>
      <c r="H253" s="55" t="n">
        <v>2273.49</v>
      </c>
      <c r="I253" s="53" t="n">
        <v>206</v>
      </c>
      <c r="J253" s="53" t="n">
        <v>245</v>
      </c>
      <c r="K253" s="53" t="n">
        <v>73</v>
      </c>
      <c r="L253" s="53" t="n">
        <v>111</v>
      </c>
      <c r="M253" s="33">
        <f>F253-E253</f>
        <v/>
      </c>
      <c r="N253" s="33">
        <f>L253-K253</f>
        <v/>
      </c>
    </row>
    <row r="254">
      <c r="A254" s="58" t="inlineStr">
        <is>
          <t>31028 The Union Bar &amp; Provisions</t>
        </is>
      </c>
      <c r="B254" s="58" t="inlineStr">
        <is>
          <t>Bergen</t>
        </is>
      </c>
      <c r="C254" s="58" t="inlineStr">
        <is>
          <t>Nick Melissari</t>
        </is>
      </c>
      <c r="D254" s="58" t="inlineStr">
        <is>
          <t>On-premise</t>
        </is>
      </c>
      <c r="E254" s="53" t="n">
        <v>129</v>
      </c>
      <c r="F254" s="53" t="n">
        <v>143</v>
      </c>
      <c r="G254" s="55" t="n">
        <v>1011.73</v>
      </c>
      <c r="H254" s="55" t="n">
        <v>1382.81</v>
      </c>
      <c r="I254" s="53" t="n">
        <v>21</v>
      </c>
      <c r="J254" s="53" t="n">
        <v>39</v>
      </c>
      <c r="K254" s="53" t="n">
        <v>3</v>
      </c>
      <c r="L254" s="53" t="n">
        <v>41</v>
      </c>
      <c r="M254" s="33">
        <f>F254-E254</f>
        <v/>
      </c>
      <c r="N254" s="33">
        <f>L254-K254</f>
        <v/>
      </c>
    </row>
    <row r="255">
      <c r="A255" s="58" t="inlineStr">
        <is>
          <t>49022 El asadero Mexican Grill (Fort Lee)</t>
        </is>
      </c>
      <c r="B255" s="58" t="inlineStr">
        <is>
          <t>Bergen</t>
        </is>
      </c>
      <c r="C255" s="58" t="inlineStr">
        <is>
          <t>Nick Melissari</t>
        </is>
      </c>
      <c r="D255" s="58" t="inlineStr">
        <is>
          <t>On-premise</t>
        </is>
      </c>
      <c r="E255" s="53" t="n">
        <v>51</v>
      </c>
      <c r="F255" s="53" t="n">
        <v>199</v>
      </c>
      <c r="G255" s="55" t="n">
        <v>471.34</v>
      </c>
      <c r="H255" s="55" t="n">
        <v>1868.57</v>
      </c>
      <c r="I255" s="53" t="n">
        <v>29</v>
      </c>
      <c r="J255" s="53" t="n">
        <v>61</v>
      </c>
      <c r="K255" s="53" t="n">
        <v>24</v>
      </c>
      <c r="L255" s="53" t="n">
        <v>62</v>
      </c>
      <c r="M255" s="33">
        <f>F255-E255</f>
        <v/>
      </c>
      <c r="N255" s="33">
        <f>L255-K255</f>
        <v/>
      </c>
    </row>
    <row r="256">
      <c r="A256" s="58" t="inlineStr">
        <is>
          <t>38040 Buy Rite Discount Liquor</t>
        </is>
      </c>
      <c r="B256" s="58" t="inlineStr">
        <is>
          <t>Bergen</t>
        </is>
      </c>
      <c r="C256" s="58" t="inlineStr">
        <is>
          <t>Chris Payton</t>
        </is>
      </c>
      <c r="D256" s="58" t="inlineStr">
        <is>
          <t>Off-premise</t>
        </is>
      </c>
      <c r="E256" s="53" t="n">
        <v>3526</v>
      </c>
      <c r="F256" s="53" t="n">
        <v>3517</v>
      </c>
      <c r="G256" s="55" t="n">
        <v>24198.25</v>
      </c>
      <c r="H256" s="55" t="n">
        <v>24711.82</v>
      </c>
      <c r="I256" s="53" t="n">
        <v>843</v>
      </c>
      <c r="J256" s="53" t="n">
        <v>642</v>
      </c>
      <c r="K256" s="53" t="n">
        <v>387</v>
      </c>
      <c r="L256" s="53" t="n">
        <v>424</v>
      </c>
      <c r="M256" s="33">
        <f>F256-E256</f>
        <v/>
      </c>
      <c r="N256" s="33">
        <f>L256-K256</f>
        <v/>
      </c>
    </row>
    <row r="257">
      <c r="A257" s="58" t="inlineStr">
        <is>
          <t>80035 Arcola Country C.</t>
        </is>
      </c>
      <c r="B257" s="58" t="inlineStr">
        <is>
          <t>Bergen</t>
        </is>
      </c>
      <c r="C257" s="58" t="inlineStr">
        <is>
          <t>Chris Payton</t>
        </is>
      </c>
      <c r="D257" s="58" t="inlineStr">
        <is>
          <t>On-premise</t>
        </is>
      </c>
      <c r="E257" s="53" t="n">
        <v>290</v>
      </c>
      <c r="F257" s="53" t="n">
        <v>315</v>
      </c>
      <c r="G257" s="55" t="n">
        <v>1758.63</v>
      </c>
      <c r="H257" s="55" t="n">
        <v>1601.54</v>
      </c>
      <c r="I257" s="53" t="n">
        <v>85</v>
      </c>
      <c r="J257" s="53" t="n">
        <v>72</v>
      </c>
      <c r="K257" s="53" t="n">
        <v>8</v>
      </c>
      <c r="L257" s="53" t="n">
        <v>45</v>
      </c>
      <c r="M257" s="33">
        <f>F257-E257</f>
        <v/>
      </c>
      <c r="N257" s="33">
        <f>L257-K257</f>
        <v/>
      </c>
    </row>
    <row r="258">
      <c r="A258" s="58" t="inlineStr">
        <is>
          <t>52040 Burgundy Convenience Store</t>
        </is>
      </c>
      <c r="B258" s="58" t="inlineStr">
        <is>
          <t>Bergen</t>
        </is>
      </c>
      <c r="C258" s="58" t="inlineStr">
        <is>
          <t>Dave Ehlers</t>
        </is>
      </c>
      <c r="D258" s="58" t="inlineStr">
        <is>
          <t>Unmatched</t>
        </is>
      </c>
      <c r="E258" s="53" t="n">
        <v>330</v>
      </c>
      <c r="F258" s="53" t="n">
        <v>1098</v>
      </c>
      <c r="G258" s="55" t="n">
        <v>2700.23</v>
      </c>
      <c r="H258" s="55" t="n">
        <v>9241.049999999999</v>
      </c>
      <c r="I258" s="53" t="n">
        <v>78</v>
      </c>
      <c r="J258" s="53" t="n">
        <v>82</v>
      </c>
      <c r="K258" s="53" t="n">
        <v>50</v>
      </c>
      <c r="L258" s="53" t="n">
        <v>87</v>
      </c>
      <c r="M258" s="33">
        <f>F258-E258</f>
        <v/>
      </c>
      <c r="N258" s="33">
        <f>L258-K258</f>
        <v/>
      </c>
    </row>
    <row r="259">
      <c r="A259" s="58" t="inlineStr">
        <is>
          <t>190111 Bottle King Morris Plains</t>
        </is>
      </c>
      <c r="B259" s="58" t="inlineStr">
        <is>
          <t>Morris</t>
        </is>
      </c>
      <c r="C259" s="58" t="inlineStr">
        <is>
          <t>John O'Donoghue</t>
        </is>
      </c>
      <c r="D259" s="58" t="inlineStr">
        <is>
          <t>Unmatched</t>
        </is>
      </c>
      <c r="E259" s="53" t="n">
        <v>25</v>
      </c>
      <c r="F259" s="53" t="n">
        <v>61</v>
      </c>
      <c r="G259" s="55" t="n">
        <v>234.35</v>
      </c>
      <c r="H259" s="55" t="n">
        <v>448.51</v>
      </c>
      <c r="I259" s="53" t="n">
        <v>512</v>
      </c>
      <c r="J259" s="53" t="n">
        <v>504</v>
      </c>
      <c r="K259" s="53" t="n">
        <v>25</v>
      </c>
      <c r="L259" s="53" t="n">
        <v>61</v>
      </c>
      <c r="M259" s="33">
        <f>F259-E259</f>
        <v/>
      </c>
      <c r="N259" s="33">
        <f>L259-K259</f>
        <v/>
      </c>
    </row>
    <row r="260">
      <c r="A260" s="58" t="inlineStr">
        <is>
          <t>42014 Segovia Steak House(A)</t>
        </is>
      </c>
      <c r="B260" s="58" t="inlineStr">
        <is>
          <t>Bergen</t>
        </is>
      </c>
      <c r="C260" s="58" t="inlineStr">
        <is>
          <t>Matt Powierski</t>
        </is>
      </c>
      <c r="D260" s="58" t="inlineStr">
        <is>
          <t>On-premise</t>
        </is>
      </c>
      <c r="E260" s="53" t="n">
        <v>89</v>
      </c>
      <c r="F260" s="53" t="n">
        <v>110</v>
      </c>
      <c r="G260" s="55" t="n">
        <v>965.5999999999999</v>
      </c>
      <c r="H260" s="55" t="n">
        <v>1092.82</v>
      </c>
      <c r="I260" s="53" t="n">
        <v>50</v>
      </c>
      <c r="J260" s="53" t="n">
        <v>38</v>
      </c>
      <c r="K260" s="53" t="n">
        <v>11</v>
      </c>
      <c r="L260" s="53" t="n">
        <v>47</v>
      </c>
      <c r="M260" s="33">
        <f>F260-E260</f>
        <v/>
      </c>
      <c r="N260" s="33">
        <f>L260-K260</f>
        <v/>
      </c>
    </row>
    <row r="261">
      <c r="A261" s="58" t="inlineStr">
        <is>
          <t>95001 Pazza</t>
        </is>
      </c>
      <c r="B261" s="58" t="inlineStr">
        <is>
          <t>Bergen</t>
        </is>
      </c>
      <c r="C261" s="58" t="inlineStr">
        <is>
          <t>Mike Ast</t>
        </is>
      </c>
      <c r="D261" s="58" t="inlineStr">
        <is>
          <t>On-premise</t>
        </is>
      </c>
      <c r="E261" s="53" t="n">
        <v>16</v>
      </c>
      <c r="F261" s="53" t="n">
        <v>90</v>
      </c>
      <c r="G261" s="55" t="n">
        <v>148.31</v>
      </c>
      <c r="H261" s="55" t="n">
        <v>910.9699999999999</v>
      </c>
      <c r="I261" s="53" t="n">
        <v>9</v>
      </c>
      <c r="J261" s="53" t="n">
        <v>33</v>
      </c>
      <c r="K261" s="53" t="n">
        <v>10</v>
      </c>
      <c r="L261" s="53" t="n">
        <v>46</v>
      </c>
      <c r="M261" s="33">
        <f>F261-E261</f>
        <v/>
      </c>
      <c r="N261" s="33">
        <f>L261-K261</f>
        <v/>
      </c>
    </row>
    <row r="262">
      <c r="A262" s="58" t="inlineStr">
        <is>
          <t>31058 Dream 360</t>
        </is>
      </c>
      <c r="B262" s="58" t="inlineStr">
        <is>
          <t>Bergen</t>
        </is>
      </c>
      <c r="C262" s="58" t="inlineStr">
        <is>
          <t>Nick Melissari</t>
        </is>
      </c>
      <c r="D262" s="58" t="inlineStr">
        <is>
          <t>On-premise</t>
        </is>
      </c>
      <c r="E262" s="53" t="n">
        <v>82</v>
      </c>
      <c r="F262" s="53" t="n">
        <v>191</v>
      </c>
      <c r="G262" s="55" t="n">
        <v>698.6</v>
      </c>
      <c r="H262" s="55" t="n">
        <v>1419.29</v>
      </c>
      <c r="I262" s="53" t="n">
        <v>121</v>
      </c>
      <c r="J262" s="53" t="n">
        <v>80</v>
      </c>
      <c r="K262" s="53" t="n">
        <v>38</v>
      </c>
      <c r="L262" s="53" t="n">
        <v>74</v>
      </c>
      <c r="M262" s="33">
        <f>F262-E262</f>
        <v/>
      </c>
      <c r="N262" s="33">
        <f>L262-K262</f>
        <v/>
      </c>
    </row>
    <row r="263">
      <c r="A263" s="58" t="inlineStr">
        <is>
          <t>52030 Sofia</t>
        </is>
      </c>
      <c r="B263" s="58" t="inlineStr">
        <is>
          <t>Bergen</t>
        </is>
      </c>
      <c r="C263" s="58" t="inlineStr">
        <is>
          <t>Paul Mclaughlin</t>
        </is>
      </c>
      <c r="D263" s="58" t="inlineStr">
        <is>
          <t>On-premise</t>
        </is>
      </c>
      <c r="E263" s="53" t="n">
        <v>69</v>
      </c>
      <c r="F263" s="53" t="n">
        <v>102</v>
      </c>
      <c r="G263" s="55" t="n">
        <v>650.84</v>
      </c>
      <c r="H263" s="55" t="n">
        <v>1120</v>
      </c>
      <c r="I263" s="53" t="n">
        <v>6</v>
      </c>
      <c r="J263" s="53" t="n">
        <v>28</v>
      </c>
      <c r="K263" s="53" t="n">
        <v>43</v>
      </c>
      <c r="L263" s="53" t="n">
        <v>79</v>
      </c>
      <c r="M263" s="33">
        <f>F263-E263</f>
        <v/>
      </c>
      <c r="N263" s="33">
        <f>L263-K263</f>
        <v/>
      </c>
    </row>
    <row r="264">
      <c r="A264" s="58" t="inlineStr">
        <is>
          <t>74009 Westwood Wine and Liquors</t>
        </is>
      </c>
      <c r="B264" s="58" t="inlineStr">
        <is>
          <t>Bergen</t>
        </is>
      </c>
      <c r="C264" s="58" t="inlineStr">
        <is>
          <t>Shane Barreca</t>
        </is>
      </c>
      <c r="D264" s="58" t="inlineStr">
        <is>
          <t>Off-premise</t>
        </is>
      </c>
      <c r="E264" s="53" t="n">
        <v>1334</v>
      </c>
      <c r="F264" s="53" t="n">
        <v>1581</v>
      </c>
      <c r="G264" s="55" t="n">
        <v>9363.609999999999</v>
      </c>
      <c r="H264" s="55" t="n">
        <v>11367.1</v>
      </c>
      <c r="I264" s="53" t="n">
        <v>857</v>
      </c>
      <c r="J264" s="53" t="n">
        <v>1055</v>
      </c>
      <c r="K264" s="53" t="n">
        <v>383</v>
      </c>
      <c r="L264" s="53" t="n">
        <v>419</v>
      </c>
      <c r="M264" s="33">
        <f>F264-E264</f>
        <v/>
      </c>
      <c r="N264" s="33">
        <f>L264-K264</f>
        <v/>
      </c>
    </row>
    <row r="265">
      <c r="A265" s="58" t="inlineStr">
        <is>
          <t>57006 New Milford Liquors</t>
        </is>
      </c>
      <c r="B265" s="58" t="inlineStr">
        <is>
          <t>Bergen</t>
        </is>
      </c>
      <c r="C265" s="58" t="inlineStr">
        <is>
          <t>Dave Ehlers</t>
        </is>
      </c>
      <c r="D265" s="58" t="inlineStr">
        <is>
          <t>Off-premise</t>
        </is>
      </c>
      <c r="E265" s="53" t="n">
        <v>1384</v>
      </c>
      <c r="F265" s="53" t="n">
        <v>1311</v>
      </c>
      <c r="G265" s="55" t="n">
        <v>9998.369999999999</v>
      </c>
      <c r="H265" s="55" t="n">
        <v>9581.159999999998</v>
      </c>
      <c r="I265" s="53" t="n">
        <v>242</v>
      </c>
      <c r="J265" s="53" t="n">
        <v>223</v>
      </c>
      <c r="K265" s="53" t="n">
        <v>111</v>
      </c>
      <c r="L265" s="53" t="n">
        <v>146</v>
      </c>
      <c r="M265" s="33">
        <f>F265-E265</f>
        <v/>
      </c>
      <c r="N265" s="33">
        <f>L265-K265</f>
        <v/>
      </c>
    </row>
    <row r="266">
      <c r="A266" s="58" t="inlineStr">
        <is>
          <t>15037 Liquor Gallery (Paterson)</t>
        </is>
      </c>
      <c r="B266" s="58" t="inlineStr">
        <is>
          <t>Passaic</t>
        </is>
      </c>
      <c r="C266" s="58" t="inlineStr">
        <is>
          <t>Derrick Laws</t>
        </is>
      </c>
      <c r="D266" s="58" t="inlineStr">
        <is>
          <t>Off-premise</t>
        </is>
      </c>
      <c r="E266" s="53" t="n">
        <v>3094</v>
      </c>
      <c r="F266" s="53" t="n">
        <v>3171</v>
      </c>
      <c r="G266" s="55" t="n">
        <v>21551.36</v>
      </c>
      <c r="H266" s="55" t="n">
        <v>22448.73999999999</v>
      </c>
      <c r="I266" s="53" t="n">
        <v>289</v>
      </c>
      <c r="J266" s="53" t="n">
        <v>225</v>
      </c>
      <c r="K266" s="53" t="n">
        <v>444</v>
      </c>
      <c r="L266" s="53" t="n">
        <v>479</v>
      </c>
      <c r="M266" s="33">
        <f>F266-E266</f>
        <v/>
      </c>
      <c r="N266" s="33">
        <f>L266-K266</f>
        <v/>
      </c>
    </row>
    <row r="267">
      <c r="A267" s="58" t="inlineStr">
        <is>
          <t>20056 East Side Bar Liquors</t>
        </is>
      </c>
      <c r="B267" s="58" t="inlineStr">
        <is>
          <t>Passaic</t>
        </is>
      </c>
      <c r="C267" s="58" t="inlineStr">
        <is>
          <t>Javier Melo</t>
        </is>
      </c>
      <c r="D267" s="58" t="inlineStr">
        <is>
          <t>Off-premise</t>
        </is>
      </c>
      <c r="E267" s="53" t="n">
        <v>3756</v>
      </c>
      <c r="F267" s="53" t="n">
        <v>3944</v>
      </c>
      <c r="G267" s="55" t="n">
        <v>27444.31</v>
      </c>
      <c r="H267" s="55" t="n">
        <v>30429.37</v>
      </c>
      <c r="I267" s="53" t="n">
        <v>68</v>
      </c>
      <c r="J267" s="53" t="n">
        <v>99</v>
      </c>
      <c r="K267" s="53" t="n">
        <v>229</v>
      </c>
      <c r="L267" s="53" t="n">
        <v>264</v>
      </c>
      <c r="M267" s="33">
        <f>F267-E267</f>
        <v/>
      </c>
      <c r="N267" s="33">
        <f>L267-K267</f>
        <v/>
      </c>
    </row>
    <row r="268">
      <c r="A268" s="58" t="inlineStr">
        <is>
          <t>30006 Forest Dairy (A)</t>
        </is>
      </c>
      <c r="B268" s="58" t="inlineStr">
        <is>
          <t>Bergen</t>
        </is>
      </c>
      <c r="C268" s="58" t="inlineStr">
        <is>
          <t>Jim Heaney</t>
        </is>
      </c>
      <c r="D268" s="58" t="inlineStr">
        <is>
          <t>Off-premise</t>
        </is>
      </c>
      <c r="E268" s="53" t="n">
        <v>753</v>
      </c>
      <c r="F268" s="53" t="n">
        <v>678</v>
      </c>
      <c r="G268" s="55" t="n">
        <v>5243.389999999999</v>
      </c>
      <c r="H268" s="55" t="n">
        <v>4977.280000000001</v>
      </c>
      <c r="I268" s="53" t="n">
        <v>123</v>
      </c>
      <c r="J268" s="53" t="n">
        <v>100</v>
      </c>
      <c r="K268" s="53" t="n">
        <v>126</v>
      </c>
      <c r="L268" s="53" t="n">
        <v>161</v>
      </c>
      <c r="M268" s="33">
        <f>F268-E268</f>
        <v/>
      </c>
      <c r="N268" s="33">
        <f>L268-K268</f>
        <v/>
      </c>
    </row>
    <row r="269">
      <c r="A269" s="58" t="inlineStr">
        <is>
          <t>190302 Basket Of Cheer Ii (Lake Hiawatha)</t>
        </is>
      </c>
      <c r="B269" s="58" t="inlineStr">
        <is>
          <t>Morris</t>
        </is>
      </c>
      <c r="C269" s="58" t="inlineStr">
        <is>
          <t>Klejdi Lamo</t>
        </is>
      </c>
      <c r="D269" s="58" t="inlineStr">
        <is>
          <t>Off-premise</t>
        </is>
      </c>
      <c r="E269" s="53" t="n">
        <v>2111</v>
      </c>
      <c r="F269" s="53" t="n">
        <v>1848</v>
      </c>
      <c r="G269" s="55" t="n">
        <v>15658.55</v>
      </c>
      <c r="H269" s="55" t="n">
        <v>13914.49</v>
      </c>
      <c r="I269" s="53" t="n">
        <v>250</v>
      </c>
      <c r="J269" s="53" t="n">
        <v>357</v>
      </c>
      <c r="K269" s="53" t="n">
        <v>256</v>
      </c>
      <c r="L269" s="53" t="n">
        <v>291</v>
      </c>
      <c r="M269" s="33">
        <f>F269-E269</f>
        <v/>
      </c>
      <c r="N269" s="33">
        <f>L269-K269</f>
        <v/>
      </c>
    </row>
    <row r="270">
      <c r="A270" s="58" t="inlineStr">
        <is>
          <t>37013 Joe's Liquors</t>
        </is>
      </c>
      <c r="B270" s="58" t="inlineStr">
        <is>
          <t>Bergen</t>
        </is>
      </c>
      <c r="C270" s="58" t="inlineStr">
        <is>
          <t>Matt Powierski</t>
        </is>
      </c>
      <c r="D270" s="58" t="inlineStr">
        <is>
          <t>Off-premise</t>
        </is>
      </c>
      <c r="E270" s="53" t="n">
        <v>641</v>
      </c>
      <c r="F270" s="53" t="n">
        <v>636</v>
      </c>
      <c r="G270" s="55" t="n">
        <v>3834.6</v>
      </c>
      <c r="H270" s="55" t="n">
        <v>4159.92</v>
      </c>
      <c r="I270" s="53" t="n">
        <v>109</v>
      </c>
      <c r="J270" s="53" t="n">
        <v>69</v>
      </c>
      <c r="K270" s="53" t="n">
        <v>44</v>
      </c>
      <c r="L270" s="53" t="n">
        <v>79</v>
      </c>
      <c r="M270" s="33">
        <f>F270-E270</f>
        <v/>
      </c>
      <c r="N270" s="33">
        <f>L270-K270</f>
        <v/>
      </c>
    </row>
    <row r="271">
      <c r="A271" s="58" t="inlineStr">
        <is>
          <t>87001 Uncorked Wine &amp; Spirits (Hohokus)</t>
        </is>
      </c>
      <c r="B271" s="58" t="inlineStr">
        <is>
          <t>Bergen</t>
        </is>
      </c>
      <c r="C271" s="58" t="inlineStr">
        <is>
          <t>Mike Ast</t>
        </is>
      </c>
      <c r="D271" s="58" t="inlineStr">
        <is>
          <t>Off-premise</t>
        </is>
      </c>
      <c r="E271" s="53" t="n">
        <v>632</v>
      </c>
      <c r="F271" s="53" t="n">
        <v>708</v>
      </c>
      <c r="G271" s="55" t="n">
        <v>4591.52</v>
      </c>
      <c r="H271" s="55" t="n">
        <v>5268.47</v>
      </c>
      <c r="I271" s="53" t="n">
        <v>410</v>
      </c>
      <c r="J271" s="53" t="n">
        <v>482</v>
      </c>
      <c r="K271" s="53" t="n">
        <v>142</v>
      </c>
      <c r="L271" s="53" t="n">
        <v>177</v>
      </c>
      <c r="M271" s="33">
        <f>F271-E271</f>
        <v/>
      </c>
      <c r="N271" s="33">
        <f>L271-K271</f>
        <v/>
      </c>
    </row>
    <row r="272">
      <c r="A272" s="58" t="inlineStr">
        <is>
          <t>50029 La Tequilera Restaurant</t>
        </is>
      </c>
      <c r="B272" s="58" t="inlineStr">
        <is>
          <t>Bergen</t>
        </is>
      </c>
      <c r="C272" s="58" t="inlineStr">
        <is>
          <t>Paul Mclaughlin</t>
        </is>
      </c>
      <c r="D272" s="58" t="inlineStr">
        <is>
          <t>On-premise</t>
        </is>
      </c>
      <c r="E272" s="53" t="n">
        <v>0</v>
      </c>
      <c r="F272" s="53" t="n">
        <v>604</v>
      </c>
      <c r="G272" s="55" t="n">
        <v>0</v>
      </c>
      <c r="H272" s="55" t="n">
        <v>4096.33</v>
      </c>
      <c r="I272" s="53" t="n">
        <v>0</v>
      </c>
      <c r="J272" s="53" t="n">
        <v>16</v>
      </c>
      <c r="K272" s="53" t="n">
        <v>0</v>
      </c>
      <c r="L272" s="53" t="n">
        <v>35</v>
      </c>
      <c r="M272" s="33">
        <f>F272-E272</f>
        <v/>
      </c>
      <c r="N272" s="33">
        <f>L272-K272</f>
        <v/>
      </c>
    </row>
    <row r="273">
      <c r="A273" s="58" t="inlineStr">
        <is>
          <t>5008 Celtic Crossings</t>
        </is>
      </c>
      <c r="B273" s="58" t="inlineStr">
        <is>
          <t>Morris</t>
        </is>
      </c>
      <c r="C273" s="58" t="inlineStr">
        <is>
          <t>Allison Scott</t>
        </is>
      </c>
      <c r="D273" s="58" t="inlineStr">
        <is>
          <t>On-premise</t>
        </is>
      </c>
      <c r="E273" s="53" t="n">
        <v>72</v>
      </c>
      <c r="F273" s="53" t="n">
        <v>461</v>
      </c>
      <c r="G273" s="55" t="n">
        <v>337.75</v>
      </c>
      <c r="H273" s="55" t="n">
        <v>3324.31</v>
      </c>
      <c r="I273" s="53" t="n">
        <v>16</v>
      </c>
      <c r="J273" s="53" t="n">
        <v>183</v>
      </c>
      <c r="K273" s="53" t="n">
        <v>2</v>
      </c>
      <c r="L273" s="53" t="n">
        <v>36</v>
      </c>
      <c r="M273" s="33">
        <f>F273-E273</f>
        <v/>
      </c>
      <c r="N273" s="33">
        <f>L273-K273</f>
        <v/>
      </c>
    </row>
    <row r="274">
      <c r="A274" s="58" t="inlineStr">
        <is>
          <t>41015 99 Ranch Market</t>
        </is>
      </c>
      <c r="B274" s="58" t="inlineStr">
        <is>
          <t>Bergen</t>
        </is>
      </c>
      <c r="C274" s="58" t="inlineStr">
        <is>
          <t>Dave Ehlers</t>
        </is>
      </c>
      <c r="D274" s="58" t="inlineStr">
        <is>
          <t>Off-premise</t>
        </is>
      </c>
      <c r="E274" s="53" t="n">
        <v>298</v>
      </c>
      <c r="F274" s="53" t="n">
        <v>272</v>
      </c>
      <c r="G274" s="55" t="n">
        <v>2361.39</v>
      </c>
      <c r="H274" s="55" t="n">
        <v>1939.6</v>
      </c>
      <c r="I274" s="53" t="n">
        <v>133</v>
      </c>
      <c r="J274" s="53" t="n">
        <v>117</v>
      </c>
      <c r="K274" s="53" t="n">
        <v>155</v>
      </c>
      <c r="L274" s="53" t="n">
        <v>189</v>
      </c>
      <c r="M274" s="33">
        <f>F274-E274</f>
        <v/>
      </c>
      <c r="N274" s="33">
        <f>L274-K274</f>
        <v/>
      </c>
    </row>
    <row r="275">
      <c r="A275" s="58" t="inlineStr">
        <is>
          <t>150011 Kingdom Liquors (A)</t>
        </is>
      </c>
      <c r="B275" s="58" t="inlineStr">
        <is>
          <t>Essex</t>
        </is>
      </c>
      <c r="C275" s="58" t="inlineStr">
        <is>
          <t>Hakan Sadik</t>
        </is>
      </c>
      <c r="D275" s="58" t="inlineStr">
        <is>
          <t>Off-premise</t>
        </is>
      </c>
      <c r="E275" s="53" t="n">
        <v>49</v>
      </c>
      <c r="F275" s="53" t="n">
        <v>83</v>
      </c>
      <c r="G275" s="55" t="n">
        <v>288.33</v>
      </c>
      <c r="H275" s="55" t="n">
        <v>519.6799999999999</v>
      </c>
      <c r="I275" s="53" t="n">
        <v>180</v>
      </c>
      <c r="J275" s="53" t="n">
        <v>124</v>
      </c>
      <c r="K275" s="53" t="n">
        <v>49</v>
      </c>
      <c r="L275" s="53" t="n">
        <v>83</v>
      </c>
      <c r="M275" s="33">
        <f>F275-E275</f>
        <v/>
      </c>
      <c r="N275" s="33">
        <f>L275-K275</f>
        <v/>
      </c>
    </row>
    <row r="276">
      <c r="A276" s="58" t="inlineStr">
        <is>
          <t>52036 Vida Garden</t>
        </is>
      </c>
      <c r="B276" s="58" t="inlineStr">
        <is>
          <t>Bergen</t>
        </is>
      </c>
      <c r="C276" s="58" t="inlineStr">
        <is>
          <t>Paul Mclaughlin</t>
        </is>
      </c>
      <c r="D276" s="58" t="inlineStr">
        <is>
          <t>On-premise</t>
        </is>
      </c>
      <c r="E276" s="53" t="n">
        <v>0</v>
      </c>
      <c r="F276" s="53" t="n">
        <v>382</v>
      </c>
      <c r="G276" s="55" t="n">
        <v>0</v>
      </c>
      <c r="H276" s="55" t="n">
        <v>3436.420000000001</v>
      </c>
      <c r="I276" s="53" t="n">
        <v>0</v>
      </c>
      <c r="J276" s="53" t="n">
        <v>89</v>
      </c>
      <c r="K276" s="53" t="n">
        <v>0</v>
      </c>
      <c r="L276" s="53" t="n">
        <v>34</v>
      </c>
      <c r="M276" s="33">
        <f>F276-E276</f>
        <v/>
      </c>
      <c r="N276" s="33">
        <f>L276-K276</f>
        <v/>
      </c>
    </row>
    <row r="277">
      <c r="A277" s="58" t="inlineStr">
        <is>
          <t>190905 Elevengreen</t>
        </is>
      </c>
      <c r="B277" s="58" t="inlineStr">
        <is>
          <t>Morris</t>
        </is>
      </c>
      <c r="C277" s="58" t="inlineStr">
        <is>
          <t>Brian Sengebush</t>
        </is>
      </c>
      <c r="D277" s="58" t="inlineStr">
        <is>
          <t>On-premise</t>
        </is>
      </c>
      <c r="E277" s="53" t="n">
        <v>347</v>
      </c>
      <c r="F277" s="53" t="n">
        <v>285</v>
      </c>
      <c r="G277" s="55" t="n">
        <v>2342.01</v>
      </c>
      <c r="H277" s="55" t="n">
        <v>2240.78</v>
      </c>
      <c r="I277" s="53" t="n">
        <v>106</v>
      </c>
      <c r="J277" s="53" t="n">
        <v>98</v>
      </c>
      <c r="K277" s="53" t="n">
        <v>2</v>
      </c>
      <c r="L277" s="53" t="n">
        <v>35</v>
      </c>
      <c r="M277" s="33">
        <f>F277-E277</f>
        <v/>
      </c>
      <c r="N277" s="33">
        <f>L277-K277</f>
        <v/>
      </c>
    </row>
    <row r="278">
      <c r="A278" s="58" t="inlineStr">
        <is>
          <t>79007 Maywood Market(A)</t>
        </is>
      </c>
      <c r="B278" s="58" t="inlineStr">
        <is>
          <t>Bergen</t>
        </is>
      </c>
      <c r="C278" s="58" t="inlineStr">
        <is>
          <t>Chris Payton</t>
        </is>
      </c>
      <c r="D278" s="58" t="inlineStr">
        <is>
          <t>Off-premise</t>
        </is>
      </c>
      <c r="E278" s="53" t="n">
        <v>357</v>
      </c>
      <c r="F278" s="53" t="n">
        <v>401</v>
      </c>
      <c r="G278" s="55" t="n">
        <v>3039.65</v>
      </c>
      <c r="H278" s="55" t="n">
        <v>3485.81</v>
      </c>
      <c r="I278" s="53" t="n">
        <v>206</v>
      </c>
      <c r="J278" s="53" t="n">
        <v>228</v>
      </c>
      <c r="K278" s="53" t="n">
        <v>81</v>
      </c>
      <c r="L278" s="53" t="n">
        <v>114</v>
      </c>
      <c r="M278" s="33">
        <f>F278-E278</f>
        <v/>
      </c>
      <c r="N278" s="33">
        <f>L278-K278</f>
        <v/>
      </c>
    </row>
    <row r="279">
      <c r="A279" s="58" t="inlineStr">
        <is>
          <t>230105 ShopRite Wines &amp; Spirits of Sparta</t>
        </is>
      </c>
      <c r="B279" s="58" t="inlineStr">
        <is>
          <t>Sussex</t>
        </is>
      </c>
      <c r="C279" s="58" t="inlineStr">
        <is>
          <t>Jayson Romine</t>
        </is>
      </c>
      <c r="D279" s="58" t="inlineStr">
        <is>
          <t>Off-premise</t>
        </is>
      </c>
      <c r="E279" s="53" t="n">
        <v>7404</v>
      </c>
      <c r="F279" s="53" t="n">
        <v>6525</v>
      </c>
      <c r="G279" s="55" t="n">
        <v>45240.38999999999</v>
      </c>
      <c r="H279" s="55" t="n">
        <v>40332.03999999999</v>
      </c>
      <c r="I279" s="53" t="n">
        <v>3192</v>
      </c>
      <c r="J279" s="53" t="n">
        <v>3388</v>
      </c>
      <c r="K279" s="53" t="n">
        <v>1255</v>
      </c>
      <c r="L279" s="53" t="n">
        <v>1288</v>
      </c>
      <c r="M279" s="33">
        <f>F279-E279</f>
        <v/>
      </c>
      <c r="N279" s="33">
        <f>L279-K279</f>
        <v/>
      </c>
    </row>
    <row r="280">
      <c r="A280" s="58" t="inlineStr">
        <is>
          <t>32017 Wine Grand (Carlstadt)</t>
        </is>
      </c>
      <c r="B280" s="58" t="inlineStr">
        <is>
          <t>Bergen</t>
        </is>
      </c>
      <c r="C280" s="58" t="inlineStr">
        <is>
          <t>Matt Powierski</t>
        </is>
      </c>
      <c r="D280" s="58" t="inlineStr">
        <is>
          <t>Off-premise</t>
        </is>
      </c>
      <c r="E280" s="53" t="n">
        <v>1981</v>
      </c>
      <c r="F280" s="53" t="n">
        <v>1659</v>
      </c>
      <c r="G280" s="55" t="n">
        <v>13728.6</v>
      </c>
      <c r="H280" s="55" t="n">
        <v>11474.16</v>
      </c>
      <c r="I280" s="53" t="n">
        <v>478</v>
      </c>
      <c r="J280" s="53" t="n">
        <v>512</v>
      </c>
      <c r="K280" s="53" t="n">
        <v>285</v>
      </c>
      <c r="L280" s="53" t="n">
        <v>318</v>
      </c>
      <c r="M280" s="33">
        <f>F280-E280</f>
        <v/>
      </c>
      <c r="N280" s="33">
        <f>L280-K280</f>
        <v/>
      </c>
    </row>
    <row r="281">
      <c r="A281" s="58" t="inlineStr">
        <is>
          <t>27050 Grand Rodeo Night Club(Z)</t>
        </is>
      </c>
      <c r="B281" s="58" t="inlineStr">
        <is>
          <t>Passaic</t>
        </is>
      </c>
      <c r="C281" s="58" t="inlineStr">
        <is>
          <t>Pablo Lopez</t>
        </is>
      </c>
      <c r="D281" s="58" t="inlineStr">
        <is>
          <t>On-premise</t>
        </is>
      </c>
      <c r="E281" s="53" t="n">
        <v>376</v>
      </c>
      <c r="F281" s="53" t="n">
        <v>311</v>
      </c>
      <c r="G281" s="55" t="n">
        <v>2626.78</v>
      </c>
      <c r="H281" s="55" t="n">
        <v>2240.06</v>
      </c>
      <c r="I281" s="53" t="n">
        <v>21</v>
      </c>
      <c r="J281" s="53" t="n">
        <v>1</v>
      </c>
      <c r="K281" s="53" t="n">
        <v>20</v>
      </c>
      <c r="L281" s="53" t="n">
        <v>53</v>
      </c>
      <c r="M281" s="33">
        <f>F281-E281</f>
        <v/>
      </c>
      <c r="N281" s="33">
        <f>L281-K281</f>
        <v/>
      </c>
    </row>
    <row r="282">
      <c r="A282" s="58" t="inlineStr">
        <is>
          <t>230302 Perona Farms</t>
        </is>
      </c>
      <c r="B282" s="58" t="inlineStr">
        <is>
          <t>Sussex</t>
        </is>
      </c>
      <c r="C282" s="58" t="inlineStr">
        <is>
          <t>Robin Feldman</t>
        </is>
      </c>
      <c r="D282" s="58" t="inlineStr">
        <is>
          <t>On-premise</t>
        </is>
      </c>
      <c r="E282" s="53" t="n">
        <v>128</v>
      </c>
      <c r="F282" s="53" t="n">
        <v>163</v>
      </c>
      <c r="G282" s="55" t="n">
        <v>998.0599999999999</v>
      </c>
      <c r="H282" s="55" t="n">
        <v>1383.44</v>
      </c>
      <c r="I282" s="53" t="n">
        <v>2</v>
      </c>
      <c r="J282" s="53" t="n">
        <v>14</v>
      </c>
      <c r="K282" s="53" t="n">
        <v>79</v>
      </c>
      <c r="L282" s="53" t="n">
        <v>112</v>
      </c>
      <c r="M282" s="33">
        <f>F282-E282</f>
        <v/>
      </c>
      <c r="N282" s="33">
        <f>L282-K282</f>
        <v/>
      </c>
    </row>
    <row r="283">
      <c r="A283" s="58" t="inlineStr">
        <is>
          <t>62009 Gary's Wine &amp; Marketplace (Closter)</t>
        </is>
      </c>
      <c r="B283" s="58" t="inlineStr">
        <is>
          <t>Bergen</t>
        </is>
      </c>
      <c r="C283" s="58" t="inlineStr">
        <is>
          <t>Shane Barreca</t>
        </is>
      </c>
      <c r="D283" s="58" t="inlineStr">
        <is>
          <t>Off-premise</t>
        </is>
      </c>
      <c r="E283" s="53" t="n">
        <v>2341</v>
      </c>
      <c r="F283" s="53" t="n">
        <v>2169</v>
      </c>
      <c r="G283" s="55" t="n">
        <v>16384.92</v>
      </c>
      <c r="H283" s="55" t="n">
        <v>15795.06</v>
      </c>
      <c r="I283" s="53" t="n">
        <v>1126</v>
      </c>
      <c r="J283" s="53" t="n">
        <v>1159</v>
      </c>
      <c r="K283" s="53" t="n">
        <v>596</v>
      </c>
      <c r="L283" s="53" t="n">
        <v>629</v>
      </c>
      <c r="M283" s="33">
        <f>F283-E283</f>
        <v/>
      </c>
      <c r="N283" s="33">
        <f>L283-K283</f>
        <v/>
      </c>
    </row>
    <row r="284">
      <c r="A284" s="58" t="inlineStr">
        <is>
          <t>24031 Tommy's Tavern &amp; Tap (Clifton)</t>
        </is>
      </c>
      <c r="B284" s="58" t="inlineStr">
        <is>
          <t>Passaic</t>
        </is>
      </c>
      <c r="C284" s="58" t="inlineStr">
        <is>
          <t>Allison Scott</t>
        </is>
      </c>
      <c r="D284" s="58" t="inlineStr">
        <is>
          <t>On-premise</t>
        </is>
      </c>
      <c r="E284" s="53" t="n">
        <v>753</v>
      </c>
      <c r="F284" s="53" t="n">
        <v>839</v>
      </c>
      <c r="G284" s="55" t="n">
        <v>5706.25</v>
      </c>
      <c r="H284" s="55" t="n">
        <v>6688.49</v>
      </c>
      <c r="I284" s="53" t="n">
        <v>207</v>
      </c>
      <c r="J284" s="53" t="n">
        <v>163</v>
      </c>
      <c r="K284" s="53" t="n">
        <v>146</v>
      </c>
      <c r="L284" s="53" t="n">
        <v>178</v>
      </c>
      <c r="M284" s="33">
        <f>F284-E284</f>
        <v/>
      </c>
      <c r="N284" s="33">
        <f>L284-K284</f>
        <v/>
      </c>
    </row>
    <row r="285">
      <c r="A285" s="58" t="inlineStr">
        <is>
          <t>231315 Woody's Liq Shop (A)</t>
        </is>
      </c>
      <c r="B285" s="58" t="inlineStr">
        <is>
          <t>Sussex</t>
        </is>
      </c>
      <c r="C285" s="58" t="inlineStr">
        <is>
          <t>Jayson Romine</t>
        </is>
      </c>
      <c r="D285" s="58" t="inlineStr">
        <is>
          <t>Off-premise</t>
        </is>
      </c>
      <c r="E285" s="53" t="n">
        <v>1355</v>
      </c>
      <c r="F285" s="53" t="n">
        <v>1591</v>
      </c>
      <c r="G285" s="55" t="n">
        <v>8048.8</v>
      </c>
      <c r="H285" s="55" t="n">
        <v>9183.42</v>
      </c>
      <c r="I285" s="53" t="n">
        <v>219</v>
      </c>
      <c r="J285" s="53" t="n">
        <v>320</v>
      </c>
      <c r="K285" s="53" t="n">
        <v>126</v>
      </c>
      <c r="L285" s="53" t="n">
        <v>158</v>
      </c>
      <c r="M285" s="33">
        <f>F285-E285</f>
        <v/>
      </c>
      <c r="N285" s="33">
        <f>L285-K285</f>
        <v/>
      </c>
    </row>
    <row r="286">
      <c r="A286" s="58" t="inlineStr">
        <is>
          <t>37044 Riverview Liquors &amp; Bar</t>
        </is>
      </c>
      <c r="B286" s="58" t="inlineStr">
        <is>
          <t>Bergen</t>
        </is>
      </c>
      <c r="C286" s="58" t="inlineStr">
        <is>
          <t>Matt Powierski</t>
        </is>
      </c>
      <c r="D286" s="58" t="inlineStr">
        <is>
          <t>Unmatched</t>
        </is>
      </c>
      <c r="E286" s="53" t="n">
        <v>761</v>
      </c>
      <c r="F286" s="53" t="n">
        <v>779</v>
      </c>
      <c r="G286" s="55" t="n">
        <v>6935.509999999999</v>
      </c>
      <c r="H286" s="55" t="n">
        <v>6778.81</v>
      </c>
      <c r="I286" s="53" t="n">
        <v>669</v>
      </c>
      <c r="J286" s="53" t="n">
        <v>272</v>
      </c>
      <c r="K286" s="53" t="n">
        <v>110</v>
      </c>
      <c r="L286" s="53" t="n">
        <v>142</v>
      </c>
      <c r="M286" s="33">
        <f>F286-E286</f>
        <v/>
      </c>
      <c r="N286" s="33">
        <f>L286-K286</f>
        <v/>
      </c>
    </row>
    <row r="287">
      <c r="A287" s="58" t="inlineStr">
        <is>
          <t>92006 Chili's Ramsey (A)</t>
        </is>
      </c>
      <c r="B287" s="58" t="inlineStr">
        <is>
          <t>Bergen</t>
        </is>
      </c>
      <c r="C287" s="58" t="inlineStr">
        <is>
          <t>Nick Melissari</t>
        </is>
      </c>
      <c r="D287" s="58" t="inlineStr">
        <is>
          <t>On-premise</t>
        </is>
      </c>
      <c r="E287" s="53" t="n">
        <v>194</v>
      </c>
      <c r="F287" s="53" t="n">
        <v>200</v>
      </c>
      <c r="G287" s="55" t="n">
        <v>1631.64</v>
      </c>
      <c r="H287" s="55" t="n">
        <v>1551.11</v>
      </c>
      <c r="I287" s="53" t="n">
        <v>61</v>
      </c>
      <c r="J287" s="53" t="n">
        <v>30</v>
      </c>
      <c r="K287" s="53" t="n">
        <v>15</v>
      </c>
      <c r="L287" s="53" t="n">
        <v>47</v>
      </c>
      <c r="M287" s="33">
        <f>F287-E287</f>
        <v/>
      </c>
      <c r="N287" s="33">
        <f>L287-K287</f>
        <v/>
      </c>
    </row>
    <row r="288">
      <c r="A288" s="58" t="inlineStr">
        <is>
          <t>15040 Legacy Bar &amp; Liquor</t>
        </is>
      </c>
      <c r="B288" s="58" t="inlineStr">
        <is>
          <t>Passaic</t>
        </is>
      </c>
      <c r="C288" s="58" t="inlineStr">
        <is>
          <t>Pablo Lopez</t>
        </is>
      </c>
      <c r="D288" s="58" t="inlineStr">
        <is>
          <t>Off-premise</t>
        </is>
      </c>
      <c r="E288" s="53" t="n">
        <v>621</v>
      </c>
      <c r="F288" s="53" t="n">
        <v>639</v>
      </c>
      <c r="G288" s="55" t="n">
        <v>4448.06</v>
      </c>
      <c r="H288" s="55" t="n">
        <v>5082.269999999999</v>
      </c>
      <c r="I288" s="53" t="n">
        <v>72</v>
      </c>
      <c r="J288" s="53" t="n">
        <v>57</v>
      </c>
      <c r="K288" s="53" t="n">
        <v>16</v>
      </c>
      <c r="L288" s="53" t="n">
        <v>48</v>
      </c>
      <c r="M288" s="33">
        <f>F288-E288</f>
        <v/>
      </c>
      <c r="N288" s="33">
        <f>L288-K288</f>
        <v/>
      </c>
    </row>
    <row r="289">
      <c r="A289" s="58" t="inlineStr">
        <is>
          <t>171016 Wine Warehouse (P) (Bayonne)</t>
        </is>
      </c>
      <c r="B289" s="58" t="inlineStr">
        <is>
          <t>Hudson</t>
        </is>
      </c>
      <c r="C289" s="58" t="inlineStr">
        <is>
          <t>Alisa Acciardi</t>
        </is>
      </c>
      <c r="D289" s="58" t="inlineStr">
        <is>
          <t>Off-premise</t>
        </is>
      </c>
      <c r="E289" s="53" t="n">
        <v>20</v>
      </c>
      <c r="F289" s="53" t="n">
        <v>51</v>
      </c>
      <c r="G289" s="55" t="n">
        <v>140.07</v>
      </c>
      <c r="H289" s="55" t="n">
        <v>366.22</v>
      </c>
      <c r="I289" s="53" t="n">
        <v>305</v>
      </c>
      <c r="J289" s="53" t="n">
        <v>264</v>
      </c>
      <c r="K289" s="53" t="n">
        <v>20</v>
      </c>
      <c r="L289" s="53" t="n">
        <v>51</v>
      </c>
      <c r="M289" s="33">
        <f>F289-E289</f>
        <v/>
      </c>
      <c r="N289" s="33">
        <f>L289-K289</f>
        <v/>
      </c>
    </row>
    <row r="290">
      <c r="A290" s="58" t="inlineStr">
        <is>
          <t>13018 Chili's Little Falls</t>
        </is>
      </c>
      <c r="B290" s="58" t="inlineStr">
        <is>
          <t>Passaic</t>
        </is>
      </c>
      <c r="C290" s="58" t="inlineStr">
        <is>
          <t>Allison Scott</t>
        </is>
      </c>
      <c r="D290" s="58" t="inlineStr">
        <is>
          <t>On-premise</t>
        </is>
      </c>
      <c r="E290" s="53" t="n">
        <v>139</v>
      </c>
      <c r="F290" s="53" t="n">
        <v>205</v>
      </c>
      <c r="G290" s="55" t="n">
        <v>1226.54</v>
      </c>
      <c r="H290" s="55" t="n">
        <v>1712.4</v>
      </c>
      <c r="I290" s="53" t="n">
        <v>40</v>
      </c>
      <c r="J290" s="53" t="n">
        <v>20</v>
      </c>
      <c r="K290" s="53" t="n">
        <v>3</v>
      </c>
      <c r="L290" s="53" t="n">
        <v>34</v>
      </c>
      <c r="M290" s="33">
        <f>F290-E290</f>
        <v/>
      </c>
      <c r="N290" s="33">
        <f>L290-K290</f>
        <v/>
      </c>
    </row>
    <row r="291">
      <c r="A291" s="58" t="inlineStr">
        <is>
          <t>48006 Andres Wine &amp; Spirits</t>
        </is>
      </c>
      <c r="B291" s="58" t="inlineStr">
        <is>
          <t>Bergen</t>
        </is>
      </c>
      <c r="C291" s="58" t="inlineStr">
        <is>
          <t>Dan Lagala</t>
        </is>
      </c>
      <c r="D291" s="58" t="inlineStr">
        <is>
          <t>Off-premise</t>
        </is>
      </c>
      <c r="E291" s="53" t="n">
        <v>616</v>
      </c>
      <c r="F291" s="53" t="n">
        <v>738</v>
      </c>
      <c r="G291" s="55" t="n">
        <v>4327.849999999999</v>
      </c>
      <c r="H291" s="55" t="n">
        <v>5717.360000000001</v>
      </c>
      <c r="I291" s="53" t="n">
        <v>96</v>
      </c>
      <c r="J291" s="53" t="n">
        <v>106</v>
      </c>
      <c r="K291" s="53" t="n">
        <v>104</v>
      </c>
      <c r="L291" s="53" t="n">
        <v>135</v>
      </c>
      <c r="M291" s="33">
        <f>F291-E291</f>
        <v/>
      </c>
      <c r="N291" s="33">
        <f>L291-K291</f>
        <v/>
      </c>
    </row>
    <row r="292">
      <c r="A292" s="58" t="inlineStr">
        <is>
          <t>171322 Twin City Liquors</t>
        </is>
      </c>
      <c r="B292" s="58" t="inlineStr">
        <is>
          <t>Hudson</t>
        </is>
      </c>
      <c r="C292" s="58" t="inlineStr">
        <is>
          <t>Dylan Rubino</t>
        </is>
      </c>
      <c r="D292" s="58" t="inlineStr">
        <is>
          <t>Off-premise</t>
        </is>
      </c>
      <c r="E292" s="53" t="n">
        <v>87</v>
      </c>
      <c r="F292" s="53" t="n">
        <v>118</v>
      </c>
      <c r="G292" s="55" t="n">
        <v>610.79</v>
      </c>
      <c r="H292" s="55" t="n">
        <v>700.2</v>
      </c>
      <c r="I292" s="53" t="n">
        <v>244</v>
      </c>
      <c r="J292" s="53" t="n">
        <v>100</v>
      </c>
      <c r="K292" s="53" t="n">
        <v>87</v>
      </c>
      <c r="L292" s="53" t="n">
        <v>118</v>
      </c>
      <c r="M292" s="33">
        <f>F292-E292</f>
        <v/>
      </c>
      <c r="N292" s="33">
        <f>L292-K292</f>
        <v/>
      </c>
    </row>
    <row r="293">
      <c r="A293" s="58" t="inlineStr">
        <is>
          <t>60010 D &amp; L Dumont Liquors</t>
        </is>
      </c>
      <c r="B293" s="58" t="inlineStr">
        <is>
          <t>Bergen</t>
        </is>
      </c>
      <c r="C293" s="58" t="inlineStr">
        <is>
          <t>Shane Barreca</t>
        </is>
      </c>
      <c r="D293" s="58" t="inlineStr">
        <is>
          <t>Off-premise</t>
        </is>
      </c>
      <c r="E293" s="53" t="n">
        <v>748</v>
      </c>
      <c r="F293" s="53" t="n">
        <v>713</v>
      </c>
      <c r="G293" s="55" t="n">
        <v>5570.79</v>
      </c>
      <c r="H293" s="55" t="n">
        <v>5223.59</v>
      </c>
      <c r="I293" s="53" t="n">
        <v>147</v>
      </c>
      <c r="J293" s="53" t="n">
        <v>75</v>
      </c>
      <c r="K293" s="53" t="n">
        <v>79</v>
      </c>
      <c r="L293" s="53" t="n">
        <v>110</v>
      </c>
      <c r="M293" s="33">
        <f>F293-E293</f>
        <v/>
      </c>
      <c r="N293" s="33">
        <f>L293-K293</f>
        <v/>
      </c>
    </row>
    <row r="294">
      <c r="A294" s="58" t="inlineStr">
        <is>
          <t>190707 The Exchange</t>
        </is>
      </c>
      <c r="B294" s="58" t="inlineStr">
        <is>
          <t>Morris</t>
        </is>
      </c>
      <c r="C294" s="58" t="inlineStr">
        <is>
          <t>Brian Sengebush</t>
        </is>
      </c>
      <c r="D294" s="58" t="inlineStr">
        <is>
          <t>On-premise</t>
        </is>
      </c>
      <c r="E294" s="53" t="n">
        <v>324</v>
      </c>
      <c r="F294" s="53" t="n">
        <v>373</v>
      </c>
      <c r="G294" s="55" t="n">
        <v>1741.4</v>
      </c>
      <c r="H294" s="55" t="n">
        <v>2170.84</v>
      </c>
      <c r="I294" s="53" t="n">
        <v>52</v>
      </c>
      <c r="J294" s="53" t="n">
        <v>49</v>
      </c>
      <c r="K294" s="53" t="n">
        <v>8</v>
      </c>
      <c r="L294" s="53" t="n">
        <v>38</v>
      </c>
      <c r="M294" s="33">
        <f>F294-E294</f>
        <v/>
      </c>
      <c r="N294" s="33">
        <f>L294-K294</f>
        <v/>
      </c>
    </row>
    <row r="295">
      <c r="A295" s="58" t="inlineStr">
        <is>
          <t>79005 Maywood Wine&amp;Liq (A)</t>
        </is>
      </c>
      <c r="B295" s="58" t="inlineStr">
        <is>
          <t>Bergen</t>
        </is>
      </c>
      <c r="C295" s="58" t="inlineStr">
        <is>
          <t>Chris Payton</t>
        </is>
      </c>
      <c r="D295" s="58" t="inlineStr">
        <is>
          <t>Off-premise</t>
        </is>
      </c>
      <c r="E295" s="53" t="n">
        <v>1393</v>
      </c>
      <c r="F295" s="53" t="n">
        <v>1375</v>
      </c>
      <c r="G295" s="55" t="n">
        <v>9840.76</v>
      </c>
      <c r="H295" s="55" t="n">
        <v>10109.38</v>
      </c>
      <c r="I295" s="53" t="n">
        <v>173</v>
      </c>
      <c r="J295" s="53" t="n">
        <v>91</v>
      </c>
      <c r="K295" s="53" t="n">
        <v>170</v>
      </c>
      <c r="L295" s="53" t="n">
        <v>200</v>
      </c>
      <c r="M295" s="33">
        <f>F295-E295</f>
        <v/>
      </c>
      <c r="N295" s="33">
        <f>L295-K295</f>
        <v/>
      </c>
    </row>
    <row r="296">
      <c r="A296" s="58" t="inlineStr">
        <is>
          <t>50013 Wine &amp; More (P)</t>
        </is>
      </c>
      <c r="B296" s="58" t="inlineStr">
        <is>
          <t>Bergen</t>
        </is>
      </c>
      <c r="C296" s="58" t="inlineStr">
        <is>
          <t>Dave Ehlers</t>
        </is>
      </c>
      <c r="D296" s="58" t="inlineStr">
        <is>
          <t>Off-premise</t>
        </is>
      </c>
      <c r="E296" s="53" t="n">
        <v>684</v>
      </c>
      <c r="F296" s="53" t="n">
        <v>666</v>
      </c>
      <c r="G296" s="55" t="n">
        <v>5525.280000000001</v>
      </c>
      <c r="H296" s="55" t="n">
        <v>5466.24</v>
      </c>
      <c r="I296" s="53" t="n">
        <v>133</v>
      </c>
      <c r="J296" s="53" t="n">
        <v>160</v>
      </c>
      <c r="K296" s="53" t="n">
        <v>92</v>
      </c>
      <c r="L296" s="53" t="n">
        <v>122</v>
      </c>
      <c r="M296" s="33">
        <f>F296-E296</f>
        <v/>
      </c>
      <c r="N296" s="33">
        <f>L296-K296</f>
        <v/>
      </c>
    </row>
    <row r="297">
      <c r="A297" s="58" t="inlineStr">
        <is>
          <t>20058 Krystal Bar(P) &amp; Liqs.</t>
        </is>
      </c>
      <c r="B297" s="58" t="inlineStr">
        <is>
          <t>Passaic</t>
        </is>
      </c>
      <c r="C297" s="58" t="inlineStr">
        <is>
          <t>Derrick Laws</t>
        </is>
      </c>
      <c r="D297" s="58" t="inlineStr">
        <is>
          <t>On-premise</t>
        </is>
      </c>
      <c r="E297" s="53" t="n">
        <v>2342</v>
      </c>
      <c r="F297" s="53" t="n">
        <v>2223</v>
      </c>
      <c r="G297" s="55" t="n">
        <v>16343.17</v>
      </c>
      <c r="H297" s="55" t="n">
        <v>15924.64</v>
      </c>
      <c r="I297" s="53" t="n">
        <v>75</v>
      </c>
      <c r="J297" s="53" t="n">
        <v>72</v>
      </c>
      <c r="K297" s="53" t="n">
        <v>147</v>
      </c>
      <c r="L297" s="53" t="n">
        <v>177</v>
      </c>
      <c r="M297" s="33">
        <f>F297-E297</f>
        <v/>
      </c>
      <c r="N297" s="33">
        <f>L297-K297</f>
        <v/>
      </c>
    </row>
    <row r="298">
      <c r="A298" s="58" t="inlineStr">
        <is>
          <t>170312 J B Liquors</t>
        </is>
      </c>
      <c r="B298" s="58" t="inlineStr">
        <is>
          <t>Hudson</t>
        </is>
      </c>
      <c r="C298" s="58" t="inlineStr">
        <is>
          <t>Dylan Rubino</t>
        </is>
      </c>
      <c r="D298" s="58" t="inlineStr">
        <is>
          <t>Off-premise</t>
        </is>
      </c>
      <c r="E298" s="53" t="n">
        <v>28</v>
      </c>
      <c r="F298" s="53" t="n">
        <v>58</v>
      </c>
      <c r="G298" s="55" t="n">
        <v>262.05</v>
      </c>
      <c r="H298" s="55" t="n">
        <v>407.48</v>
      </c>
      <c r="I298" s="53" t="n">
        <v>29</v>
      </c>
      <c r="J298" s="53" t="n">
        <v>22</v>
      </c>
      <c r="K298" s="53" t="n">
        <v>28</v>
      </c>
      <c r="L298" s="53" t="n">
        <v>58</v>
      </c>
      <c r="M298" s="33">
        <f>F298-E298</f>
        <v/>
      </c>
      <c r="N298" s="33">
        <f>L298-K298</f>
        <v/>
      </c>
    </row>
    <row r="299">
      <c r="A299" s="58" t="inlineStr">
        <is>
          <t>32011 La Fortaleza (Carlstadt)</t>
        </is>
      </c>
      <c r="B299" s="58" t="inlineStr">
        <is>
          <t>Bergen</t>
        </is>
      </c>
      <c r="C299" s="58" t="inlineStr">
        <is>
          <t>Javier Melo</t>
        </is>
      </c>
      <c r="D299" s="58" t="inlineStr">
        <is>
          <t>Unmatched</t>
        </is>
      </c>
      <c r="E299" s="53" t="n">
        <v>401</v>
      </c>
      <c r="F299" s="53" t="n">
        <v>646</v>
      </c>
      <c r="G299" s="55" t="n">
        <v>3356.26</v>
      </c>
      <c r="H299" s="55" t="n">
        <v>5320.26</v>
      </c>
      <c r="I299" s="53" t="n">
        <v>56</v>
      </c>
      <c r="J299" s="53" t="n">
        <v>128</v>
      </c>
      <c r="K299" s="53" t="n">
        <v>50</v>
      </c>
      <c r="L299" s="53" t="n">
        <v>80</v>
      </c>
      <c r="M299" s="33">
        <f>F299-E299</f>
        <v/>
      </c>
      <c r="N299" s="33">
        <f>L299-K299</f>
        <v/>
      </c>
    </row>
    <row r="300">
      <c r="A300" s="58" t="inlineStr">
        <is>
          <t>29009 Quick Buy</t>
        </is>
      </c>
      <c r="B300" s="58" t="inlineStr">
        <is>
          <t>Bergen</t>
        </is>
      </c>
      <c r="C300" s="58" t="inlineStr">
        <is>
          <t>Jim Heaney</t>
        </is>
      </c>
      <c r="D300" s="58" t="inlineStr">
        <is>
          <t>Off-premise</t>
        </is>
      </c>
      <c r="E300" s="53" t="n">
        <v>810</v>
      </c>
      <c r="F300" s="53" t="n">
        <v>858</v>
      </c>
      <c r="G300" s="55" t="n">
        <v>5984.89</v>
      </c>
      <c r="H300" s="55" t="n">
        <v>6439.799999999999</v>
      </c>
      <c r="I300" s="53" t="n">
        <v>163</v>
      </c>
      <c r="J300" s="53" t="n">
        <v>110</v>
      </c>
      <c r="K300" s="53" t="n">
        <v>140</v>
      </c>
      <c r="L300" s="53" t="n">
        <v>170</v>
      </c>
      <c r="M300" s="33">
        <f>F300-E300</f>
        <v/>
      </c>
      <c r="N300" s="33">
        <f>L300-K300</f>
        <v/>
      </c>
    </row>
    <row r="301">
      <c r="A301" s="58" t="inlineStr">
        <is>
          <t>36043 Sports Bar &amp; Liquors</t>
        </is>
      </c>
      <c r="B301" s="58" t="inlineStr">
        <is>
          <t>Bergen</t>
        </is>
      </c>
      <c r="C301" s="58" t="inlineStr">
        <is>
          <t>Matt Powierski</t>
        </is>
      </c>
      <c r="D301" s="58" t="inlineStr">
        <is>
          <t>On-premise</t>
        </is>
      </c>
      <c r="E301" s="53" t="n">
        <v>43</v>
      </c>
      <c r="F301" s="53" t="n">
        <v>136</v>
      </c>
      <c r="G301" s="55" t="n">
        <v>477.61</v>
      </c>
      <c r="H301" s="55" t="n">
        <v>1232.16</v>
      </c>
      <c r="I301" s="53" t="n">
        <v>2</v>
      </c>
      <c r="J301" s="53" t="n">
        <v>32</v>
      </c>
      <c r="K301" s="53" t="n">
        <v>12</v>
      </c>
      <c r="L301" s="53" t="n">
        <v>42</v>
      </c>
      <c r="M301" s="33">
        <f>F301-E301</f>
        <v/>
      </c>
      <c r="N301" s="33">
        <f>L301-K301</f>
        <v/>
      </c>
    </row>
    <row r="302">
      <c r="A302" s="58" t="inlineStr">
        <is>
          <t>201048 ShopRite of West Caldwell</t>
        </is>
      </c>
      <c r="B302" s="58" t="inlineStr">
        <is>
          <t>Essex</t>
        </is>
      </c>
      <c r="C302" s="58" t="inlineStr">
        <is>
          <t>Michael Harboy</t>
        </is>
      </c>
      <c r="D302" s="58" t="inlineStr">
        <is>
          <t>Off-premise</t>
        </is>
      </c>
      <c r="E302" s="53" t="n">
        <v>0</v>
      </c>
      <c r="F302" s="53" t="n">
        <v>30</v>
      </c>
      <c r="G302" s="55" t="n">
        <v>0</v>
      </c>
      <c r="H302" s="55" t="n">
        <v>211.16</v>
      </c>
      <c r="I302" s="53" t="n">
        <v>0</v>
      </c>
      <c r="J302" s="53" t="n">
        <v>430</v>
      </c>
      <c r="K302" s="53" t="n">
        <v>0</v>
      </c>
      <c r="L302" s="53" t="n">
        <v>30</v>
      </c>
      <c r="M302" s="33">
        <f>F302-E302</f>
        <v/>
      </c>
      <c r="N302" s="33">
        <f>L302-K302</f>
        <v/>
      </c>
    </row>
    <row r="303">
      <c r="A303" s="58" t="inlineStr">
        <is>
          <t>83003 Beekman's Wines and Liquors</t>
        </is>
      </c>
      <c r="B303" s="58" t="inlineStr">
        <is>
          <t>Bergen</t>
        </is>
      </c>
      <c r="C303" s="58" t="inlineStr">
        <is>
          <t>Mike Ast</t>
        </is>
      </c>
      <c r="D303" s="58" t="inlineStr">
        <is>
          <t>Off-premise</t>
        </is>
      </c>
      <c r="E303" s="53" t="n">
        <v>437</v>
      </c>
      <c r="F303" s="53" t="n">
        <v>590</v>
      </c>
      <c r="G303" s="55" t="n">
        <v>3267.54</v>
      </c>
      <c r="H303" s="55" t="n">
        <v>4513.000000000002</v>
      </c>
      <c r="I303" s="53" t="n">
        <v>265</v>
      </c>
      <c r="J303" s="53" t="n">
        <v>235</v>
      </c>
      <c r="K303" s="53" t="n">
        <v>141</v>
      </c>
      <c r="L303" s="53" t="n">
        <v>171</v>
      </c>
      <c r="M303" s="33">
        <f>F303-E303</f>
        <v/>
      </c>
      <c r="N303" s="33">
        <f>L303-K303</f>
        <v/>
      </c>
    </row>
    <row r="304">
      <c r="A304" s="58" t="inlineStr">
        <is>
          <t>250023 Bottle King Springfield</t>
        </is>
      </c>
      <c r="B304" s="58" t="inlineStr">
        <is>
          <t>Union</t>
        </is>
      </c>
      <c r="C304" s="58" t="inlineStr">
        <is>
          <t>Andrew Lundy</t>
        </is>
      </c>
      <c r="D304" s="58" t="inlineStr">
        <is>
          <t>Off-premise</t>
        </is>
      </c>
      <c r="E304" s="53" t="n">
        <v>0</v>
      </c>
      <c r="F304" s="53" t="n">
        <v>29</v>
      </c>
      <c r="G304" s="55" t="n">
        <v>0</v>
      </c>
      <c r="H304" s="55" t="n">
        <v>269.12</v>
      </c>
      <c r="I304" s="53" t="n">
        <v>0</v>
      </c>
      <c r="J304" s="53" t="n">
        <v>193</v>
      </c>
      <c r="K304" s="53" t="n">
        <v>0</v>
      </c>
      <c r="L304" s="53" t="n">
        <v>29</v>
      </c>
      <c r="M304" s="33">
        <f>F304-E304</f>
        <v/>
      </c>
      <c r="N304" s="33">
        <f>L304-K304</f>
        <v/>
      </c>
    </row>
    <row r="305">
      <c r="A305" s="58" t="inlineStr">
        <is>
          <t>250048 Park Beverage</t>
        </is>
      </c>
      <c r="B305" s="58" t="inlineStr">
        <is>
          <t>Union</t>
        </is>
      </c>
      <c r="C305" s="58" t="inlineStr">
        <is>
          <t>Andrew Lundy</t>
        </is>
      </c>
      <c r="D305" s="58" t="inlineStr">
        <is>
          <t>Off-premise</t>
        </is>
      </c>
      <c r="E305" s="53" t="n">
        <v>20</v>
      </c>
      <c r="F305" s="53" t="n">
        <v>49</v>
      </c>
      <c r="G305" s="55" t="n">
        <v>138.4</v>
      </c>
      <c r="H305" s="55" t="n">
        <v>310.95</v>
      </c>
      <c r="I305" s="53" t="n">
        <v>560</v>
      </c>
      <c r="J305" s="53" t="n">
        <v>442</v>
      </c>
      <c r="K305" s="53" t="n">
        <v>20</v>
      </c>
      <c r="L305" s="53" t="n">
        <v>49</v>
      </c>
      <c r="M305" s="33">
        <f>F305-E305</f>
        <v/>
      </c>
      <c r="N305" s="33">
        <f>L305-K305</f>
        <v/>
      </c>
    </row>
    <row r="306">
      <c r="A306" s="58" t="inlineStr">
        <is>
          <t>3006 Wine 2 Spirits (P)</t>
        </is>
      </c>
      <c r="B306" s="58" t="inlineStr">
        <is>
          <t>Passaic</t>
        </is>
      </c>
      <c r="C306" s="58" t="inlineStr">
        <is>
          <t>Anthony Palmisano</t>
        </is>
      </c>
      <c r="D306" s="58" t="inlineStr">
        <is>
          <t>Off-premise</t>
        </is>
      </c>
      <c r="E306" s="53" t="n">
        <v>1527</v>
      </c>
      <c r="F306" s="53" t="n">
        <v>1798</v>
      </c>
      <c r="G306" s="55" t="n">
        <v>10029.1</v>
      </c>
      <c r="H306" s="55" t="n">
        <v>12292.13</v>
      </c>
      <c r="I306" s="53" t="n">
        <v>381</v>
      </c>
      <c r="J306" s="53" t="n">
        <v>388</v>
      </c>
      <c r="K306" s="53" t="n">
        <v>292</v>
      </c>
      <c r="L306" s="53" t="n">
        <v>321</v>
      </c>
      <c r="M306" s="33">
        <f>F306-E306</f>
        <v/>
      </c>
      <c r="N306" s="33">
        <f>L306-K306</f>
        <v/>
      </c>
    </row>
    <row r="307">
      <c r="A307" s="58" t="inlineStr">
        <is>
          <t>1017 Millers Ale House Rockawa</t>
        </is>
      </c>
      <c r="B307" s="58" t="inlineStr">
        <is>
          <t>Morris</t>
        </is>
      </c>
      <c r="C307" s="58" t="inlineStr">
        <is>
          <t>Brian Sengebush</t>
        </is>
      </c>
      <c r="D307" s="58" t="inlineStr">
        <is>
          <t>On-premise</t>
        </is>
      </c>
      <c r="E307" s="53" t="n">
        <v>722</v>
      </c>
      <c r="F307" s="53" t="n">
        <v>834</v>
      </c>
      <c r="G307" s="55" t="n">
        <v>4444.059999999999</v>
      </c>
      <c r="H307" s="55" t="n">
        <v>5179.710000000001</v>
      </c>
      <c r="I307" s="53" t="n">
        <v>169</v>
      </c>
      <c r="J307" s="53" t="n">
        <v>226</v>
      </c>
      <c r="K307" s="53" t="n">
        <v>118</v>
      </c>
      <c r="L307" s="53" t="n">
        <v>147</v>
      </c>
      <c r="M307" s="33">
        <f>F307-E307</f>
        <v/>
      </c>
      <c r="N307" s="33">
        <f>L307-K307</f>
        <v/>
      </c>
    </row>
    <row r="308">
      <c r="A308" s="58" t="inlineStr">
        <is>
          <t>28006 J B Liquors_2</t>
        </is>
      </c>
      <c r="B308" s="58" t="inlineStr">
        <is>
          <t>Bergen</t>
        </is>
      </c>
      <c r="C308" s="58" t="inlineStr">
        <is>
          <t>Dylan Rubino</t>
        </is>
      </c>
      <c r="D308" s="58" t="inlineStr">
        <is>
          <t>Off-premise</t>
        </is>
      </c>
      <c r="E308" s="53" t="n">
        <v>524</v>
      </c>
      <c r="F308" s="53" t="n">
        <v>555</v>
      </c>
      <c r="G308" s="55" t="n">
        <v>3823.95</v>
      </c>
      <c r="H308" s="55" t="n">
        <v>4232.130000000001</v>
      </c>
      <c r="I308" s="53" t="n">
        <v>96</v>
      </c>
      <c r="J308" s="53" t="n">
        <v>102</v>
      </c>
      <c r="K308" s="53" t="n">
        <v>47</v>
      </c>
      <c r="L308" s="53" t="n">
        <v>76</v>
      </c>
      <c r="M308" s="33">
        <f>F308-E308</f>
        <v/>
      </c>
      <c r="N308" s="33">
        <f>L308-K308</f>
        <v/>
      </c>
    </row>
    <row r="309">
      <c r="A309" s="58" t="inlineStr">
        <is>
          <t>179014 Krauszers (Secaucus)</t>
        </is>
      </c>
      <c r="B309" s="58" t="inlineStr">
        <is>
          <t>Hudson</t>
        </is>
      </c>
      <c r="C309" s="58" t="inlineStr">
        <is>
          <t>Dylan Rubino</t>
        </is>
      </c>
      <c r="D309" s="58" t="inlineStr">
        <is>
          <t>Off-premise</t>
        </is>
      </c>
      <c r="E309" s="53" t="n">
        <v>34</v>
      </c>
      <c r="F309" s="53" t="n">
        <v>63</v>
      </c>
      <c r="G309" s="55" t="n">
        <v>251.66</v>
      </c>
      <c r="H309" s="55" t="n">
        <v>459.03</v>
      </c>
      <c r="I309" s="53" t="n">
        <v>77</v>
      </c>
      <c r="J309" s="53" t="n">
        <v>82</v>
      </c>
      <c r="K309" s="53" t="n">
        <v>34</v>
      </c>
      <c r="L309" s="53" t="n">
        <v>63</v>
      </c>
      <c r="M309" s="33">
        <f>F309-E309</f>
        <v/>
      </c>
      <c r="N309" s="33">
        <f>L309-K309</f>
        <v/>
      </c>
    </row>
    <row r="310">
      <c r="A310" s="58" t="inlineStr">
        <is>
          <t>37006 Garfield Discount Liquors</t>
        </is>
      </c>
      <c r="B310" s="58" t="inlineStr">
        <is>
          <t>Bergen</t>
        </is>
      </c>
      <c r="C310" s="58" t="inlineStr">
        <is>
          <t>Matt Powierski</t>
        </is>
      </c>
      <c r="D310" s="58" t="inlineStr">
        <is>
          <t>Off-premise</t>
        </is>
      </c>
      <c r="E310" s="53" t="n">
        <v>938</v>
      </c>
      <c r="F310" s="53" t="n">
        <v>1304</v>
      </c>
      <c r="G310" s="55" t="n">
        <v>6410.33</v>
      </c>
      <c r="H310" s="55" t="n">
        <v>9236.349999999999</v>
      </c>
      <c r="I310" s="53" t="n">
        <v>230</v>
      </c>
      <c r="J310" s="53" t="n">
        <v>338</v>
      </c>
      <c r="K310" s="53" t="n">
        <v>149</v>
      </c>
      <c r="L310" s="53" t="n">
        <v>178</v>
      </c>
      <c r="M310" s="33">
        <f>F310-E310</f>
        <v/>
      </c>
      <c r="N310" s="33">
        <f>L310-K310</f>
        <v/>
      </c>
    </row>
    <row r="311">
      <c r="A311" s="58" t="inlineStr">
        <is>
          <t>95004 Franklin Lake Liq</t>
        </is>
      </c>
      <c r="B311" s="58" t="inlineStr">
        <is>
          <t>Bergen</t>
        </is>
      </c>
      <c r="C311" s="58" t="inlineStr">
        <is>
          <t>Mike Ast</t>
        </is>
      </c>
      <c r="D311" s="58" t="inlineStr">
        <is>
          <t>Off-premise</t>
        </is>
      </c>
      <c r="E311" s="53" t="n">
        <v>1789</v>
      </c>
      <c r="F311" s="53" t="n">
        <v>1574</v>
      </c>
      <c r="G311" s="55" t="n">
        <v>12367.47</v>
      </c>
      <c r="H311" s="55" t="n">
        <v>11047.39</v>
      </c>
      <c r="I311" s="53" t="n">
        <v>504</v>
      </c>
      <c r="J311" s="53" t="n">
        <v>564</v>
      </c>
      <c r="K311" s="53" t="n">
        <v>246</v>
      </c>
      <c r="L311" s="53" t="n">
        <v>275</v>
      </c>
      <c r="M311" s="33">
        <f>F311-E311</f>
        <v/>
      </c>
      <c r="N311" s="33">
        <f>L311-K311</f>
        <v/>
      </c>
    </row>
    <row r="312">
      <c r="A312" s="58" t="inlineStr">
        <is>
          <t>31043 House of Que (East Rutherford)</t>
        </is>
      </c>
      <c r="B312" s="58" t="inlineStr">
        <is>
          <t>Bergen</t>
        </is>
      </c>
      <c r="C312" s="58" t="inlineStr">
        <is>
          <t>Nick Melissari</t>
        </is>
      </c>
      <c r="D312" s="58" t="inlineStr">
        <is>
          <t>On-premise</t>
        </is>
      </c>
      <c r="E312" s="53" t="n">
        <v>324</v>
      </c>
      <c r="F312" s="53" t="n">
        <v>455</v>
      </c>
      <c r="G312" s="55" t="n">
        <v>2285.44</v>
      </c>
      <c r="H312" s="55" t="n">
        <v>3470.53</v>
      </c>
      <c r="I312" s="53" t="n">
        <v>182</v>
      </c>
      <c r="J312" s="53" t="n">
        <v>227</v>
      </c>
      <c r="K312" s="53" t="n">
        <v>26</v>
      </c>
      <c r="L312" s="53" t="n">
        <v>55</v>
      </c>
      <c r="M312" s="33">
        <f>F312-E312</f>
        <v/>
      </c>
      <c r="N312" s="33">
        <f>L312-K312</f>
        <v/>
      </c>
    </row>
    <row r="313">
      <c r="A313" s="58" t="inlineStr">
        <is>
          <t>31020 Chili's B &amp; G E Rutherfor</t>
        </is>
      </c>
      <c r="B313" s="58" t="inlineStr">
        <is>
          <t>Bergen</t>
        </is>
      </c>
      <c r="C313" s="58" t="inlineStr">
        <is>
          <t>Nick Melissari</t>
        </is>
      </c>
      <c r="D313" s="58" t="inlineStr">
        <is>
          <t>On-premise</t>
        </is>
      </c>
      <c r="E313" s="53" t="n">
        <v>224</v>
      </c>
      <c r="F313" s="53" t="n">
        <v>317</v>
      </c>
      <c r="G313" s="55" t="n">
        <v>1468.15</v>
      </c>
      <c r="H313" s="55" t="n">
        <v>2359.59</v>
      </c>
      <c r="I313" s="53" t="n">
        <v>62</v>
      </c>
      <c r="J313" s="53" t="n">
        <v>25</v>
      </c>
      <c r="K313" s="53" t="n">
        <v>5</v>
      </c>
      <c r="L313" s="53" t="n">
        <v>34</v>
      </c>
      <c r="M313" s="33">
        <f>F313-E313</f>
        <v/>
      </c>
      <c r="N313" s="33">
        <f>L313-K313</f>
        <v/>
      </c>
    </row>
    <row r="314">
      <c r="A314" s="58" t="inlineStr">
        <is>
          <t>14008 The Barnyard and Carriage House</t>
        </is>
      </c>
      <c r="B314" s="58" t="inlineStr">
        <is>
          <t>Passaic</t>
        </is>
      </c>
      <c r="C314" s="58" t="inlineStr">
        <is>
          <t>Allison Scott</t>
        </is>
      </c>
      <c r="D314" s="58" t="inlineStr">
        <is>
          <t>On-premise</t>
        </is>
      </c>
      <c r="E314" s="53" t="n">
        <v>275</v>
      </c>
      <c r="F314" s="53" t="n">
        <v>276</v>
      </c>
      <c r="G314" s="55" t="n">
        <v>1883.04</v>
      </c>
      <c r="H314" s="55" t="n">
        <v>1955.9</v>
      </c>
      <c r="I314" s="53" t="n">
        <v>73</v>
      </c>
      <c r="J314" s="53" t="n">
        <v>65</v>
      </c>
      <c r="K314" s="53" t="n">
        <v>4</v>
      </c>
      <c r="L314" s="53" t="n">
        <v>32</v>
      </c>
      <c r="M314" s="33">
        <f>F314-E314</f>
        <v/>
      </c>
      <c r="N314" s="33">
        <f>L314-K314</f>
        <v/>
      </c>
    </row>
    <row r="315">
      <c r="A315" s="58" t="inlineStr">
        <is>
          <t>43007 American Classic Liq</t>
        </is>
      </c>
      <c r="B315" s="58" t="inlineStr">
        <is>
          <t>Bergen</t>
        </is>
      </c>
      <c r="C315" s="58" t="inlineStr">
        <is>
          <t>Dan Lagala</t>
        </is>
      </c>
      <c r="D315" s="58" t="inlineStr">
        <is>
          <t>Off-premise</t>
        </is>
      </c>
      <c r="E315" s="53" t="n">
        <v>2048</v>
      </c>
      <c r="F315" s="53" t="n">
        <v>1875</v>
      </c>
      <c r="G315" s="55" t="n">
        <v>12422.04</v>
      </c>
      <c r="H315" s="55" t="n">
        <v>11647.21</v>
      </c>
      <c r="I315" s="53" t="n">
        <v>92</v>
      </c>
      <c r="J315" s="53" t="n">
        <v>107</v>
      </c>
      <c r="K315" s="53" t="n">
        <v>155</v>
      </c>
      <c r="L315" s="53" t="n">
        <v>183</v>
      </c>
      <c r="M315" s="33">
        <f>F315-E315</f>
        <v/>
      </c>
      <c r="N315" s="33">
        <f>L315-K315</f>
        <v/>
      </c>
    </row>
    <row r="316">
      <c r="A316" s="58" t="inlineStr">
        <is>
          <t>171337 J &amp; L Liquors (P)</t>
        </is>
      </c>
      <c r="B316" s="58" t="inlineStr">
        <is>
          <t>Hudson</t>
        </is>
      </c>
      <c r="C316" s="58" t="inlineStr">
        <is>
          <t>Dylan Rubino</t>
        </is>
      </c>
      <c r="D316" s="58" t="inlineStr">
        <is>
          <t>Off-premise</t>
        </is>
      </c>
      <c r="E316" s="53" t="n">
        <v>10</v>
      </c>
      <c r="F316" s="53" t="n">
        <v>38</v>
      </c>
      <c r="G316" s="55" t="n">
        <v>71.56</v>
      </c>
      <c r="H316" s="55" t="n">
        <v>274.11</v>
      </c>
      <c r="I316" s="53" t="n">
        <v>84</v>
      </c>
      <c r="J316" s="53" t="n">
        <v>80</v>
      </c>
      <c r="K316" s="53" t="n">
        <v>10</v>
      </c>
      <c r="L316" s="53" t="n">
        <v>38</v>
      </c>
      <c r="M316" s="33">
        <f>F316-E316</f>
        <v/>
      </c>
      <c r="N316" s="33">
        <f>L316-K316</f>
        <v/>
      </c>
    </row>
    <row r="317">
      <c r="A317" s="58" t="inlineStr">
        <is>
          <t>173033 Royal Liquors &amp; Deli</t>
        </is>
      </c>
      <c r="B317" s="58" t="inlineStr">
        <is>
          <t>Hudson</t>
        </is>
      </c>
      <c r="C317" s="58" t="inlineStr">
        <is>
          <t>Dylan Rubino</t>
        </is>
      </c>
      <c r="D317" s="58" t="inlineStr">
        <is>
          <t>Off-premise</t>
        </is>
      </c>
      <c r="E317" s="53" t="n">
        <v>16</v>
      </c>
      <c r="F317" s="53" t="n">
        <v>44</v>
      </c>
      <c r="G317" s="55" t="n">
        <v>121.59</v>
      </c>
      <c r="H317" s="55" t="n">
        <v>336.64</v>
      </c>
      <c r="I317" s="53" t="n">
        <v>137</v>
      </c>
      <c r="J317" s="53" t="n">
        <v>160</v>
      </c>
      <c r="K317" s="53" t="n">
        <v>16</v>
      </c>
      <c r="L317" s="53" t="n">
        <v>44</v>
      </c>
      <c r="M317" s="33">
        <f>F317-E317</f>
        <v/>
      </c>
      <c r="N317" s="33">
        <f>L317-K317</f>
        <v/>
      </c>
    </row>
    <row r="318">
      <c r="A318" s="58" t="inlineStr">
        <is>
          <t>178021 Five Corner Liquor Store</t>
        </is>
      </c>
      <c r="B318" s="58" t="inlineStr">
        <is>
          <t>Hudson</t>
        </is>
      </c>
      <c r="C318" s="58" t="inlineStr">
        <is>
          <t>Dylan Rubino</t>
        </is>
      </c>
      <c r="D318" s="58" t="inlineStr">
        <is>
          <t>Off-premise</t>
        </is>
      </c>
      <c r="E318" s="53" t="n">
        <v>0</v>
      </c>
      <c r="F318" s="53" t="n">
        <v>28</v>
      </c>
      <c r="G318" s="55" t="n">
        <v>0</v>
      </c>
      <c r="H318" s="55" t="n">
        <v>214.58</v>
      </c>
      <c r="I318" s="53" t="n">
        <v>0</v>
      </c>
      <c r="J318" s="53" t="n">
        <v>5</v>
      </c>
      <c r="K318" s="53" t="n">
        <v>0</v>
      </c>
      <c r="L318" s="53" t="n">
        <v>28</v>
      </c>
      <c r="M318" s="33">
        <f>F318-E318</f>
        <v/>
      </c>
      <c r="N318" s="33">
        <f>L318-K318</f>
        <v/>
      </c>
    </row>
    <row r="319">
      <c r="A319" s="58" t="inlineStr">
        <is>
          <t>170036 Cork Wines &amp; Spirits (Harrison)</t>
        </is>
      </c>
      <c r="B319" s="58" t="inlineStr">
        <is>
          <t>Hudson</t>
        </is>
      </c>
      <c r="C319" s="58" t="inlineStr">
        <is>
          <t>Jaime Colonna</t>
        </is>
      </c>
      <c r="D319" s="58" t="inlineStr">
        <is>
          <t>Off-premise</t>
        </is>
      </c>
      <c r="E319" s="53" t="n">
        <v>13</v>
      </c>
      <c r="F319" s="53" t="n">
        <v>41</v>
      </c>
      <c r="G319" s="55" t="n">
        <v>168.05</v>
      </c>
      <c r="H319" s="55" t="n">
        <v>386.41</v>
      </c>
      <c r="I319" s="53" t="n">
        <v>224</v>
      </c>
      <c r="J319" s="53" t="n">
        <v>393</v>
      </c>
      <c r="K319" s="53" t="n">
        <v>13</v>
      </c>
      <c r="L319" s="53" t="n">
        <v>41</v>
      </c>
      <c r="M319" s="33">
        <f>F319-E319</f>
        <v/>
      </c>
      <c r="N319" s="33">
        <f>L319-K319</f>
        <v/>
      </c>
    </row>
    <row r="320">
      <c r="A320" s="58" t="inlineStr">
        <is>
          <t>173060 8th Street Tavern</t>
        </is>
      </c>
      <c r="B320" s="58" t="inlineStr">
        <is>
          <t>Hudson</t>
        </is>
      </c>
      <c r="C320" s="58" t="inlineStr">
        <is>
          <t>Jaime Colonna</t>
        </is>
      </c>
      <c r="D320" s="58" t="inlineStr">
        <is>
          <t>On-premise</t>
        </is>
      </c>
      <c r="E320" s="53" t="n">
        <v>0</v>
      </c>
      <c r="F320" s="53" t="n">
        <v>28</v>
      </c>
      <c r="G320" s="55" t="n">
        <v>0</v>
      </c>
      <c r="H320" s="55" t="n">
        <v>157</v>
      </c>
      <c r="I320" s="53" t="n">
        <v>51</v>
      </c>
      <c r="J320" s="53" t="n">
        <v>87</v>
      </c>
      <c r="K320" s="53" t="n">
        <v>0</v>
      </c>
      <c r="L320" s="53" t="n">
        <v>28</v>
      </c>
      <c r="M320" s="33">
        <f>F320-E320</f>
        <v/>
      </c>
      <c r="N320" s="33">
        <f>L320-K320</f>
        <v/>
      </c>
    </row>
    <row r="321">
      <c r="A321" s="58" t="inlineStr">
        <is>
          <t>31049 Marcus Live Bar &amp; Grille</t>
        </is>
      </c>
      <c r="B321" s="58" t="inlineStr">
        <is>
          <t>Bergen</t>
        </is>
      </c>
      <c r="C321" s="58" t="inlineStr">
        <is>
          <t>Nick Melissari</t>
        </is>
      </c>
      <c r="D321" s="58" t="inlineStr">
        <is>
          <t>On-premise</t>
        </is>
      </c>
      <c r="E321" s="53" t="n">
        <v>38</v>
      </c>
      <c r="F321" s="53" t="n">
        <v>186</v>
      </c>
      <c r="G321" s="55" t="n">
        <v>384.8</v>
      </c>
      <c r="H321" s="55" t="n">
        <v>1694.64</v>
      </c>
      <c r="I321" s="53" t="n">
        <v>26</v>
      </c>
      <c r="J321" s="53" t="n">
        <v>51</v>
      </c>
      <c r="K321" s="53" t="n">
        <v>0</v>
      </c>
      <c r="L321" s="53" t="n">
        <v>28</v>
      </c>
      <c r="M321" s="33">
        <f>F321-E321</f>
        <v/>
      </c>
      <c r="N321" s="33">
        <f>L321-K321</f>
        <v/>
      </c>
    </row>
    <row r="322">
      <c r="A322" s="58" t="inlineStr">
        <is>
          <t>49004 Dino's Bar &amp; Grill</t>
        </is>
      </c>
      <c r="B322" s="58" t="inlineStr">
        <is>
          <t>Bergen</t>
        </is>
      </c>
      <c r="C322" s="58" t="inlineStr">
        <is>
          <t>Nick Melissari</t>
        </is>
      </c>
      <c r="D322" s="58" t="inlineStr">
        <is>
          <t>On-premise</t>
        </is>
      </c>
      <c r="E322" s="53" t="n">
        <v>129</v>
      </c>
      <c r="F322" s="53" t="n">
        <v>203</v>
      </c>
      <c r="G322" s="55" t="n">
        <v>1352.22</v>
      </c>
      <c r="H322" s="55" t="n">
        <v>2162.74</v>
      </c>
      <c r="I322" s="53" t="n">
        <v>52</v>
      </c>
      <c r="J322" s="53" t="n">
        <v>103</v>
      </c>
      <c r="K322" s="53" t="n">
        <v>6</v>
      </c>
      <c r="L322" s="53" t="n">
        <v>34</v>
      </c>
      <c r="M322" s="33">
        <f>F322-E322</f>
        <v/>
      </c>
      <c r="N322" s="33">
        <f>L322-K322</f>
        <v/>
      </c>
    </row>
    <row r="323">
      <c r="A323" s="58" t="inlineStr">
        <is>
          <t>12036 Brokedown Palace</t>
        </is>
      </c>
      <c r="B323" s="58" t="inlineStr">
        <is>
          <t>Passaic</t>
        </is>
      </c>
      <c r="C323" s="58" t="inlineStr">
        <is>
          <t>Allison Scott</t>
        </is>
      </c>
      <c r="D323" s="58" t="inlineStr">
        <is>
          <t>On-premise</t>
        </is>
      </c>
      <c r="E323" s="53" t="n">
        <v>0</v>
      </c>
      <c r="F323" s="53" t="n">
        <v>217</v>
      </c>
      <c r="G323" s="55" t="n">
        <v>0</v>
      </c>
      <c r="H323" s="55" t="n">
        <v>1544.57</v>
      </c>
      <c r="I323" s="53" t="n">
        <v>0</v>
      </c>
      <c r="J323" s="53" t="n">
        <v>44</v>
      </c>
      <c r="K323" s="53" t="n">
        <v>0</v>
      </c>
      <c r="L323" s="53" t="n">
        <v>27</v>
      </c>
      <c r="M323" s="33">
        <f>F323-E323</f>
        <v/>
      </c>
      <c r="N323" s="33">
        <f>L323-K323</f>
        <v/>
      </c>
    </row>
    <row r="324">
      <c r="A324" s="58" t="inlineStr">
        <is>
          <t>15006 Great Notch Inn(Z)</t>
        </is>
      </c>
      <c r="B324" s="58" t="inlineStr">
        <is>
          <t>Passaic</t>
        </is>
      </c>
      <c r="C324" s="58" t="inlineStr">
        <is>
          <t>Allison Scott</t>
        </is>
      </c>
      <c r="D324" s="58" t="inlineStr">
        <is>
          <t>On-premise</t>
        </is>
      </c>
      <c r="E324" s="53" t="n">
        <v>227</v>
      </c>
      <c r="F324" s="53" t="n">
        <v>239</v>
      </c>
      <c r="G324" s="55" t="n">
        <v>1606.5</v>
      </c>
      <c r="H324" s="55" t="n">
        <v>1566.59</v>
      </c>
      <c r="I324" s="53" t="n">
        <v>110</v>
      </c>
      <c r="J324" s="53" t="n">
        <v>122</v>
      </c>
      <c r="K324" s="53" t="n">
        <v>6</v>
      </c>
      <c r="L324" s="53" t="n">
        <v>33</v>
      </c>
      <c r="M324" s="33">
        <f>F324-E324</f>
        <v/>
      </c>
      <c r="N324" s="33">
        <f>L324-K324</f>
        <v/>
      </c>
    </row>
    <row r="325">
      <c r="A325" s="58" t="inlineStr">
        <is>
          <t>24048 Dante's</t>
        </is>
      </c>
      <c r="B325" s="58" t="inlineStr">
        <is>
          <t>Passaic</t>
        </is>
      </c>
      <c r="C325" s="58" t="inlineStr">
        <is>
          <t>Allison Scott</t>
        </is>
      </c>
      <c r="D325" s="58" t="inlineStr">
        <is>
          <t>On-premise</t>
        </is>
      </c>
      <c r="E325" s="53" t="n">
        <v>50</v>
      </c>
      <c r="F325" s="53" t="n">
        <v>144</v>
      </c>
      <c r="G325" s="55" t="n">
        <v>185.71</v>
      </c>
      <c r="H325" s="55" t="n">
        <v>1238.34</v>
      </c>
      <c r="I325" s="53" t="n">
        <v>9</v>
      </c>
      <c r="J325" s="53" t="n">
        <v>25</v>
      </c>
      <c r="K325" s="53" t="n">
        <v>1</v>
      </c>
      <c r="L325" s="53" t="n">
        <v>28</v>
      </c>
      <c r="M325" s="33">
        <f>F325-E325</f>
        <v/>
      </c>
      <c r="N325" s="33">
        <f>L325-K325</f>
        <v/>
      </c>
    </row>
    <row r="326">
      <c r="A326" s="58" t="inlineStr">
        <is>
          <t>76015 Discount Liq &amp; Bar</t>
        </is>
      </c>
      <c r="B326" s="58" t="inlineStr">
        <is>
          <t>Bergen</t>
        </is>
      </c>
      <c r="C326" s="58" t="inlineStr">
        <is>
          <t>Chris Payton</t>
        </is>
      </c>
      <c r="D326" s="58" t="inlineStr">
        <is>
          <t>Off-premise</t>
        </is>
      </c>
      <c r="E326" s="53" t="n">
        <v>1696</v>
      </c>
      <c r="F326" s="53" t="n">
        <v>1651</v>
      </c>
      <c r="G326" s="55" t="n">
        <v>12235.11</v>
      </c>
      <c r="H326" s="55" t="n">
        <v>12387.34</v>
      </c>
      <c r="I326" s="53" t="n">
        <v>285</v>
      </c>
      <c r="J326" s="53" t="n">
        <v>295</v>
      </c>
      <c r="K326" s="53" t="n">
        <v>182</v>
      </c>
      <c r="L326" s="53" t="n">
        <v>208</v>
      </c>
      <c r="M326" s="33">
        <f>F326-E326</f>
        <v/>
      </c>
      <c r="N326" s="33">
        <f>L326-K326</f>
        <v/>
      </c>
    </row>
    <row r="327">
      <c r="A327" s="58" t="inlineStr">
        <is>
          <t>173031 Sparrow's Wine &amp; Liq(P) (1224 Hoboken)</t>
        </is>
      </c>
      <c r="B327" s="58" t="inlineStr">
        <is>
          <t>Hudson</t>
        </is>
      </c>
      <c r="C327" s="58" t="inlineStr">
        <is>
          <t>Jaime Colonna</t>
        </is>
      </c>
      <c r="D327" s="58" t="inlineStr">
        <is>
          <t>Off-premise</t>
        </is>
      </c>
      <c r="E327" s="53" t="n">
        <v>66</v>
      </c>
      <c r="F327" s="53" t="n">
        <v>92</v>
      </c>
      <c r="G327" s="55" t="n">
        <v>451.13</v>
      </c>
      <c r="H327" s="55" t="n">
        <v>613.79</v>
      </c>
      <c r="I327" s="53" t="n">
        <v>676</v>
      </c>
      <c r="J327" s="53" t="n">
        <v>786</v>
      </c>
      <c r="K327" s="53" t="n">
        <v>66</v>
      </c>
      <c r="L327" s="53" t="n">
        <v>92</v>
      </c>
      <c r="M327" s="33">
        <f>F327-E327</f>
        <v/>
      </c>
      <c r="N327" s="33">
        <f>L327-K327</f>
        <v/>
      </c>
    </row>
    <row r="328">
      <c r="A328" s="58" t="inlineStr">
        <is>
          <t>230913 Wine Grand (Franklin)</t>
        </is>
      </c>
      <c r="B328" s="58" t="inlineStr">
        <is>
          <t>Sussex</t>
        </is>
      </c>
      <c r="C328" s="58" t="inlineStr">
        <is>
          <t>Jayson Romine</t>
        </is>
      </c>
      <c r="D328" s="58" t="inlineStr">
        <is>
          <t>Off-premise</t>
        </is>
      </c>
      <c r="E328" s="53" t="n">
        <v>63</v>
      </c>
      <c r="F328" s="53" t="n">
        <v>124</v>
      </c>
      <c r="G328" s="55" t="n">
        <v>432.79</v>
      </c>
      <c r="H328" s="55" t="n">
        <v>793.5799999999999</v>
      </c>
      <c r="I328" s="53" t="n">
        <v>7</v>
      </c>
      <c r="J328" s="53" t="n">
        <v>104</v>
      </c>
      <c r="K328" s="53" t="n">
        <v>9</v>
      </c>
      <c r="L328" s="53" t="n">
        <v>35</v>
      </c>
      <c r="M328" s="33">
        <f>F328-E328</f>
        <v/>
      </c>
      <c r="N328" s="33">
        <f>L328-K328</f>
        <v/>
      </c>
    </row>
    <row r="329">
      <c r="A329" s="58" t="inlineStr">
        <is>
          <t>77001 Food Mart Liquor</t>
        </is>
      </c>
      <c r="B329" s="58" t="inlineStr">
        <is>
          <t>Bergen</t>
        </is>
      </c>
      <c r="C329" s="58" t="inlineStr">
        <is>
          <t>Matt Powierski</t>
        </is>
      </c>
      <c r="D329" s="58" t="inlineStr">
        <is>
          <t>Off-premise</t>
        </is>
      </c>
      <c r="E329" s="53" t="n">
        <v>503</v>
      </c>
      <c r="F329" s="53" t="n">
        <v>296</v>
      </c>
      <c r="G329" s="55" t="n">
        <v>3441.89</v>
      </c>
      <c r="H329" s="55" t="n">
        <v>2343.43</v>
      </c>
      <c r="I329" s="53" t="n">
        <v>124</v>
      </c>
      <c r="J329" s="53" t="n">
        <v>60</v>
      </c>
      <c r="K329" s="53" t="n">
        <v>32</v>
      </c>
      <c r="L329" s="53" t="n">
        <v>58</v>
      </c>
      <c r="M329" s="33">
        <f>F329-E329</f>
        <v/>
      </c>
      <c r="N329" s="33">
        <f>L329-K329</f>
        <v/>
      </c>
    </row>
    <row r="330">
      <c r="A330" s="58" t="inlineStr">
        <is>
          <t>81004 Stosh's Craft Bar (Z)</t>
        </is>
      </c>
      <c r="B330" s="58" t="inlineStr">
        <is>
          <t>Bergen</t>
        </is>
      </c>
      <c r="C330" s="58" t="inlineStr">
        <is>
          <t>Paul Mclaughlin</t>
        </is>
      </c>
      <c r="D330" s="58" t="inlineStr">
        <is>
          <t>On-premise</t>
        </is>
      </c>
      <c r="E330" s="53" t="n">
        <v>134</v>
      </c>
      <c r="F330" s="53" t="n">
        <v>190</v>
      </c>
      <c r="G330" s="55" t="n">
        <v>923.08</v>
      </c>
      <c r="H330" s="55" t="n">
        <v>1560.49</v>
      </c>
      <c r="I330" s="53" t="n">
        <v>69</v>
      </c>
      <c r="J330" s="53" t="n">
        <v>101</v>
      </c>
      <c r="K330" s="53" t="n">
        <v>18</v>
      </c>
      <c r="L330" s="53" t="n">
        <v>44</v>
      </c>
      <c r="M330" s="33">
        <f>F330-E330</f>
        <v/>
      </c>
      <c r="N330" s="33">
        <f>L330-K330</f>
        <v/>
      </c>
    </row>
    <row r="331">
      <c r="A331" s="58" t="inlineStr">
        <is>
          <t>250047 Wine Cellar</t>
        </is>
      </c>
      <c r="B331" s="58" t="inlineStr">
        <is>
          <t>Union</t>
        </is>
      </c>
      <c r="C331" s="58" t="inlineStr">
        <is>
          <t>Alex Rodriguez</t>
        </is>
      </c>
      <c r="D331" s="58" t="inlineStr">
        <is>
          <t>Off-premise</t>
        </is>
      </c>
      <c r="E331" s="53" t="n">
        <v>34</v>
      </c>
      <c r="F331" s="53" t="n">
        <v>59</v>
      </c>
      <c r="G331" s="55" t="n">
        <v>207.03</v>
      </c>
      <c r="H331" s="55" t="n">
        <v>342.53</v>
      </c>
      <c r="I331" s="53" t="n">
        <v>13</v>
      </c>
      <c r="J331" s="53" t="n">
        <v>27</v>
      </c>
      <c r="K331" s="53" t="n">
        <v>34</v>
      </c>
      <c r="L331" s="53" t="n">
        <v>59</v>
      </c>
      <c r="M331" s="33">
        <f>F331-E331</f>
        <v/>
      </c>
      <c r="N331" s="33">
        <f>L331-K331</f>
        <v/>
      </c>
    </row>
    <row r="332">
      <c r="A332" s="58" t="inlineStr">
        <is>
          <t>80025 Paramus Food Center</t>
        </is>
      </c>
      <c r="B332" s="58" t="inlineStr">
        <is>
          <t>Bergen</t>
        </is>
      </c>
      <c r="C332" s="58" t="inlineStr">
        <is>
          <t>Chris Payton</t>
        </is>
      </c>
      <c r="D332" s="58" t="inlineStr">
        <is>
          <t>Off-premise</t>
        </is>
      </c>
      <c r="E332" s="53" t="n">
        <v>928</v>
      </c>
      <c r="F332" s="53" t="n">
        <v>1014</v>
      </c>
      <c r="G332" s="55" t="n">
        <v>7156.3</v>
      </c>
      <c r="H332" s="55" t="n">
        <v>7923.13</v>
      </c>
      <c r="I332" s="53" t="n">
        <v>66</v>
      </c>
      <c r="J332" s="53" t="n">
        <v>74</v>
      </c>
      <c r="K332" s="53" t="n">
        <v>129</v>
      </c>
      <c r="L332" s="53" t="n">
        <v>154</v>
      </c>
      <c r="M332" s="33">
        <f>F332-E332</f>
        <v/>
      </c>
      <c r="N332" s="33">
        <f>L332-K332</f>
        <v/>
      </c>
    </row>
    <row r="333">
      <c r="A333" s="58" t="inlineStr">
        <is>
          <t>81011 Radburn Liquors (A</t>
        </is>
      </c>
      <c r="B333" s="58" t="inlineStr">
        <is>
          <t>Bergen</t>
        </is>
      </c>
      <c r="C333" s="58" t="inlineStr">
        <is>
          <t>Chris Payton</t>
        </is>
      </c>
      <c r="D333" s="58" t="inlineStr">
        <is>
          <t>Off-premise</t>
        </is>
      </c>
      <c r="E333" s="53" t="n">
        <v>895</v>
      </c>
      <c r="F333" s="53" t="n">
        <v>857</v>
      </c>
      <c r="G333" s="55" t="n">
        <v>6439.660000000001</v>
      </c>
      <c r="H333" s="55" t="n">
        <v>6106.49</v>
      </c>
      <c r="I333" s="53" t="n">
        <v>215</v>
      </c>
      <c r="J333" s="53" t="n">
        <v>210</v>
      </c>
      <c r="K333" s="53" t="n">
        <v>120</v>
      </c>
      <c r="L333" s="53" t="n">
        <v>145</v>
      </c>
      <c r="M333" s="33">
        <f>F333-E333</f>
        <v/>
      </c>
      <c r="N333" s="33">
        <f>L333-K333</f>
        <v/>
      </c>
    </row>
    <row r="334">
      <c r="A334" s="58" t="inlineStr">
        <is>
          <t>150076 Rapp Beer &amp; Soda (A)</t>
        </is>
      </c>
      <c r="B334" s="58" t="inlineStr">
        <is>
          <t>Essex</t>
        </is>
      </c>
      <c r="C334" s="58" t="inlineStr">
        <is>
          <t>Hakan Sadik</t>
        </is>
      </c>
      <c r="D334" s="58" t="inlineStr">
        <is>
          <t>Off-premise</t>
        </is>
      </c>
      <c r="E334" s="53" t="n">
        <v>62</v>
      </c>
      <c r="F334" s="53" t="n">
        <v>87</v>
      </c>
      <c r="G334" s="55" t="n">
        <v>458</v>
      </c>
      <c r="H334" s="55" t="n">
        <v>568.4</v>
      </c>
      <c r="I334" s="53" t="n">
        <v>1674</v>
      </c>
      <c r="J334" s="53" t="n">
        <v>863</v>
      </c>
      <c r="K334" s="53" t="n">
        <v>62</v>
      </c>
      <c r="L334" s="53" t="n">
        <v>87</v>
      </c>
      <c r="M334" s="33">
        <f>F334-E334</f>
        <v/>
      </c>
      <c r="N334" s="33">
        <f>L334-K334</f>
        <v/>
      </c>
    </row>
    <row r="335">
      <c r="A335" s="58" t="inlineStr">
        <is>
          <t>73002 The Cornerstone (P)</t>
        </is>
      </c>
      <c r="B335" s="58" t="inlineStr">
        <is>
          <t>Bergen</t>
        </is>
      </c>
      <c r="C335" s="58" t="inlineStr">
        <is>
          <t>Paul Mclaughlin</t>
        </is>
      </c>
      <c r="D335" s="58" t="inlineStr">
        <is>
          <t>On-premise</t>
        </is>
      </c>
      <c r="E335" s="53" t="n">
        <v>530</v>
      </c>
      <c r="F335" s="53" t="n">
        <v>702</v>
      </c>
      <c r="G335" s="55" t="n">
        <v>3985.59</v>
      </c>
      <c r="H335" s="55" t="n">
        <v>5175.78</v>
      </c>
      <c r="I335" s="53" t="n">
        <v>231</v>
      </c>
      <c r="J335" s="53" t="n">
        <v>323</v>
      </c>
      <c r="K335" s="53" t="n">
        <v>105</v>
      </c>
      <c r="L335" s="53" t="n">
        <v>130</v>
      </c>
      <c r="M335" s="33">
        <f>F335-E335</f>
        <v/>
      </c>
      <c r="N335" s="33">
        <f>L335-K335</f>
        <v/>
      </c>
    </row>
    <row r="336">
      <c r="A336" s="58" t="inlineStr">
        <is>
          <t>74007 Djm Liq Inc. (P)(Andrew)</t>
        </is>
      </c>
      <c r="B336" s="58" t="inlineStr">
        <is>
          <t>Bergen</t>
        </is>
      </c>
      <c r="C336" s="58" t="inlineStr">
        <is>
          <t>Shane Barreca</t>
        </is>
      </c>
      <c r="D336" s="58" t="inlineStr">
        <is>
          <t>Off-premise</t>
        </is>
      </c>
      <c r="E336" s="53" t="n">
        <v>1154</v>
      </c>
      <c r="F336" s="53" t="n">
        <v>1286</v>
      </c>
      <c r="G336" s="55" t="n">
        <v>7989.309999999999</v>
      </c>
      <c r="H336" s="55" t="n">
        <v>9160.599999999999</v>
      </c>
      <c r="I336" s="53" t="n">
        <v>139</v>
      </c>
      <c r="J336" s="53" t="n">
        <v>107</v>
      </c>
      <c r="K336" s="53" t="n">
        <v>182</v>
      </c>
      <c r="L336" s="53" t="n">
        <v>207</v>
      </c>
      <c r="M336" s="33">
        <f>F336-E336</f>
        <v/>
      </c>
      <c r="N336" s="33">
        <f>L336-K336</f>
        <v/>
      </c>
    </row>
    <row r="337">
      <c r="A337" s="58" t="inlineStr">
        <is>
          <t>24061 Breaker Billiards</t>
        </is>
      </c>
      <c r="B337" s="58" t="inlineStr">
        <is>
          <t>Passaic</t>
        </is>
      </c>
      <c r="C337" s="58" t="inlineStr">
        <is>
          <t>Allison Scott</t>
        </is>
      </c>
      <c r="D337" s="58" t="inlineStr">
        <is>
          <t>On-premise</t>
        </is>
      </c>
      <c r="E337" s="53" t="n">
        <v>0</v>
      </c>
      <c r="F337" s="53" t="n">
        <v>356</v>
      </c>
      <c r="G337" s="55" t="n">
        <v>0</v>
      </c>
      <c r="H337" s="55" t="n">
        <v>2886.450000000001</v>
      </c>
      <c r="I337" s="53" t="n">
        <v>0</v>
      </c>
      <c r="J337" s="53" t="n">
        <v>37</v>
      </c>
      <c r="K337" s="53" t="n">
        <v>0</v>
      </c>
      <c r="L337" s="53" t="n">
        <v>24</v>
      </c>
      <c r="M337" s="33">
        <f>F337-E337</f>
        <v/>
      </c>
      <c r="N337" s="33">
        <f>L337-K337</f>
        <v/>
      </c>
    </row>
    <row r="338">
      <c r="A338" s="58" t="inlineStr">
        <is>
          <t>250016 Buy Rite Liq (A)</t>
        </is>
      </c>
      <c r="B338" s="58" t="inlineStr">
        <is>
          <t>Union</t>
        </is>
      </c>
      <c r="C338" s="58" t="inlineStr">
        <is>
          <t>Andrew Lundy</t>
        </is>
      </c>
      <c r="D338" s="58" t="inlineStr">
        <is>
          <t>Off-premise</t>
        </is>
      </c>
      <c r="E338" s="53" t="n">
        <v>50</v>
      </c>
      <c r="F338" s="53" t="n">
        <v>74</v>
      </c>
      <c r="G338" s="55" t="n">
        <v>310.98</v>
      </c>
      <c r="H338" s="55" t="n">
        <v>463.98</v>
      </c>
      <c r="I338" s="53" t="n">
        <v>132</v>
      </c>
      <c r="J338" s="53" t="n">
        <v>84</v>
      </c>
      <c r="K338" s="53" t="n">
        <v>50</v>
      </c>
      <c r="L338" s="53" t="n">
        <v>74</v>
      </c>
      <c r="M338" s="33">
        <f>F338-E338</f>
        <v/>
      </c>
      <c r="N338" s="33">
        <f>L338-K338</f>
        <v/>
      </c>
    </row>
    <row r="339">
      <c r="A339" s="58" t="inlineStr">
        <is>
          <t>78003 Ani Service Station Inc</t>
        </is>
      </c>
      <c r="B339" s="58" t="inlineStr">
        <is>
          <t>Bergen</t>
        </is>
      </c>
      <c r="C339" s="58" t="inlineStr">
        <is>
          <t>Chris Payton</t>
        </is>
      </c>
      <c r="D339" s="58" t="inlineStr">
        <is>
          <t>Unmatched</t>
        </is>
      </c>
      <c r="E339" s="53" t="n">
        <v>0</v>
      </c>
      <c r="F339" s="53" t="n">
        <v>191</v>
      </c>
      <c r="G339" s="55" t="n">
        <v>0</v>
      </c>
      <c r="H339" s="55" t="n">
        <v>1590.95</v>
      </c>
      <c r="I339" s="53" t="n">
        <v>0</v>
      </c>
      <c r="J339" s="53" t="n">
        <v>14</v>
      </c>
      <c r="K339" s="53" t="n">
        <v>0</v>
      </c>
      <c r="L339" s="53" t="n">
        <v>24</v>
      </c>
      <c r="M339" s="33">
        <f>F339-E339</f>
        <v/>
      </c>
      <c r="N339" s="33">
        <f>L339-K339</f>
        <v/>
      </c>
    </row>
    <row r="340">
      <c r="A340" s="58" t="inlineStr">
        <is>
          <t>43029 El Tio Taco Ii</t>
        </is>
      </c>
      <c r="B340" s="58" t="inlineStr">
        <is>
          <t>Bergen</t>
        </is>
      </c>
      <c r="C340" s="58" t="inlineStr">
        <is>
          <t>Dan Lagala</t>
        </is>
      </c>
      <c r="D340" s="58" t="inlineStr">
        <is>
          <t>On-premise</t>
        </is>
      </c>
      <c r="E340" s="53" t="n">
        <v>0</v>
      </c>
      <c r="F340" s="53" t="n">
        <v>183</v>
      </c>
      <c r="G340" s="55" t="n">
        <v>0</v>
      </c>
      <c r="H340" s="55" t="n">
        <v>1429.1</v>
      </c>
      <c r="I340" s="53" t="n">
        <v>0</v>
      </c>
      <c r="J340" s="53" t="n">
        <v>5</v>
      </c>
      <c r="K340" s="53" t="n">
        <v>0</v>
      </c>
      <c r="L340" s="53" t="n">
        <v>24</v>
      </c>
      <c r="M340" s="33">
        <f>F340-E340</f>
        <v/>
      </c>
      <c r="N340" s="33">
        <f>L340-K340</f>
        <v/>
      </c>
    </row>
    <row r="341">
      <c r="A341" s="58" t="inlineStr">
        <is>
          <t>20025 Mercer Bar &amp; Liquors</t>
        </is>
      </c>
      <c r="B341" s="58" t="inlineStr">
        <is>
          <t>Passaic</t>
        </is>
      </c>
      <c r="C341" s="58" t="inlineStr">
        <is>
          <t>Derrick Laws</t>
        </is>
      </c>
      <c r="D341" s="58" t="inlineStr">
        <is>
          <t>Off-premise</t>
        </is>
      </c>
      <c r="E341" s="53" t="n">
        <v>2579</v>
      </c>
      <c r="F341" s="53" t="n">
        <v>2477</v>
      </c>
      <c r="G341" s="55" t="n">
        <v>17032.16</v>
      </c>
      <c r="H341" s="55" t="n">
        <v>17560</v>
      </c>
      <c r="I341" s="53" t="n">
        <v>222</v>
      </c>
      <c r="J341" s="53" t="n">
        <v>276</v>
      </c>
      <c r="K341" s="53" t="n">
        <v>199</v>
      </c>
      <c r="L341" s="53" t="n">
        <v>223</v>
      </c>
      <c r="M341" s="33">
        <f>F341-E341</f>
        <v/>
      </c>
      <c r="N341" s="33">
        <f>L341-K341</f>
        <v/>
      </c>
    </row>
    <row r="342">
      <c r="A342" s="58" t="inlineStr">
        <is>
          <t>171320 Figi Wine &amp; Liq (P)</t>
        </is>
      </c>
      <c r="B342" s="58" t="inlineStr">
        <is>
          <t>Hudson</t>
        </is>
      </c>
      <c r="C342" s="58" t="inlineStr">
        <is>
          <t>Dylan Rubino</t>
        </is>
      </c>
      <c r="D342" s="58" t="inlineStr">
        <is>
          <t>Off-premise</t>
        </is>
      </c>
      <c r="E342" s="53" t="n">
        <v>19</v>
      </c>
      <c r="F342" s="53" t="n">
        <v>43</v>
      </c>
      <c r="G342" s="55" t="n">
        <v>143.09</v>
      </c>
      <c r="H342" s="55" t="n">
        <v>302.84</v>
      </c>
      <c r="I342" s="53" t="n">
        <v>114</v>
      </c>
      <c r="J342" s="53" t="n">
        <v>180</v>
      </c>
      <c r="K342" s="53" t="n">
        <v>19</v>
      </c>
      <c r="L342" s="53" t="n">
        <v>43</v>
      </c>
      <c r="M342" s="33">
        <f>F342-E342</f>
        <v/>
      </c>
      <c r="N342" s="33">
        <f>L342-K342</f>
        <v/>
      </c>
    </row>
    <row r="343">
      <c r="A343" s="58" t="inlineStr">
        <is>
          <t>152002 Home Wine &amp; Liquor (224 Newark)</t>
        </is>
      </c>
      <c r="B343" s="58" t="inlineStr">
        <is>
          <t>Essex</t>
        </is>
      </c>
      <c r="C343" s="58" t="inlineStr">
        <is>
          <t>Hakan Sadik</t>
        </is>
      </c>
      <c r="D343" s="58" t="inlineStr">
        <is>
          <t>Off-premise</t>
        </is>
      </c>
      <c r="E343" s="53" t="n">
        <v>9</v>
      </c>
      <c r="F343" s="53" t="n">
        <v>33</v>
      </c>
      <c r="G343" s="55" t="n">
        <v>71.53</v>
      </c>
      <c r="H343" s="55" t="n">
        <v>224.35</v>
      </c>
      <c r="I343" s="53" t="n">
        <v>405</v>
      </c>
      <c r="J343" s="53" t="n">
        <v>322</v>
      </c>
      <c r="K343" s="53" t="n">
        <v>9</v>
      </c>
      <c r="L343" s="53" t="n">
        <v>33</v>
      </c>
      <c r="M343" s="33">
        <f>F343-E343</f>
        <v/>
      </c>
      <c r="N343" s="33">
        <f>L343-K343</f>
        <v/>
      </c>
    </row>
    <row r="344">
      <c r="A344" s="58" t="inlineStr">
        <is>
          <t>24016 Broad Liquors (A)</t>
        </is>
      </c>
      <c r="B344" s="58" t="inlineStr">
        <is>
          <t>Passaic</t>
        </is>
      </c>
      <c r="C344" s="58" t="inlineStr">
        <is>
          <t>Jim Heaney</t>
        </is>
      </c>
      <c r="D344" s="58" t="inlineStr">
        <is>
          <t>Off-premise</t>
        </is>
      </c>
      <c r="E344" s="53" t="n">
        <v>4508</v>
      </c>
      <c r="F344" s="53" t="n">
        <v>4000</v>
      </c>
      <c r="G344" s="55" t="n">
        <v>28058.54</v>
      </c>
      <c r="H344" s="55" t="n">
        <v>26213.77</v>
      </c>
      <c r="I344" s="53" t="n">
        <v>1719</v>
      </c>
      <c r="J344" s="53" t="n">
        <v>1600</v>
      </c>
      <c r="K344" s="53" t="n">
        <v>723</v>
      </c>
      <c r="L344" s="53" t="n">
        <v>747</v>
      </c>
      <c r="M344" s="33">
        <f>F344-E344</f>
        <v/>
      </c>
      <c r="N344" s="33">
        <f>L344-K344</f>
        <v/>
      </c>
    </row>
    <row r="345">
      <c r="A345" s="58" t="inlineStr">
        <is>
          <t>24001 Richfield Liquors</t>
        </is>
      </c>
      <c r="B345" s="58" t="inlineStr">
        <is>
          <t>Passaic</t>
        </is>
      </c>
      <c r="C345" s="58" t="inlineStr">
        <is>
          <t>Jim Heaney</t>
        </is>
      </c>
      <c r="D345" s="58" t="inlineStr">
        <is>
          <t>Off-premise</t>
        </is>
      </c>
      <c r="E345" s="53" t="n">
        <v>745</v>
      </c>
      <c r="F345" s="53" t="n">
        <v>864</v>
      </c>
      <c r="G345" s="55" t="n">
        <v>4661.219999999999</v>
      </c>
      <c r="H345" s="55" t="n">
        <v>5544.789999999999</v>
      </c>
      <c r="I345" s="53" t="n">
        <v>47</v>
      </c>
      <c r="J345" s="53" t="n">
        <v>143</v>
      </c>
      <c r="K345" s="53" t="n">
        <v>104</v>
      </c>
      <c r="L345" s="53" t="n">
        <v>128</v>
      </c>
      <c r="M345" s="33">
        <f>F345-E345</f>
        <v/>
      </c>
      <c r="N345" s="33">
        <f>L345-K345</f>
        <v/>
      </c>
    </row>
    <row r="346">
      <c r="A346" s="58" t="inlineStr">
        <is>
          <t>36025 Karol's Pub (A)</t>
        </is>
      </c>
      <c r="B346" s="58" t="inlineStr">
        <is>
          <t>Bergen</t>
        </is>
      </c>
      <c r="C346" s="58" t="inlineStr">
        <is>
          <t>Matt Powierski</t>
        </is>
      </c>
      <c r="D346" s="58" t="inlineStr">
        <is>
          <t>On-premise</t>
        </is>
      </c>
      <c r="E346" s="53" t="n">
        <v>254</v>
      </c>
      <c r="F346" s="53" t="n">
        <v>301</v>
      </c>
      <c r="G346" s="55" t="n">
        <v>1535.08</v>
      </c>
      <c r="H346" s="55" t="n">
        <v>1847.3</v>
      </c>
      <c r="I346" s="53" t="n">
        <v>101</v>
      </c>
      <c r="J346" s="53" t="n">
        <v>75</v>
      </c>
      <c r="K346" s="53" t="n">
        <v>7</v>
      </c>
      <c r="L346" s="53" t="n">
        <v>31</v>
      </c>
      <c r="M346" s="33">
        <f>F346-E346</f>
        <v/>
      </c>
      <c r="N346" s="33">
        <f>L346-K346</f>
        <v/>
      </c>
    </row>
    <row r="347">
      <c r="A347" s="58" t="inlineStr">
        <is>
          <t>84011 The Madison Rose</t>
        </is>
      </c>
      <c r="B347" s="58" t="inlineStr">
        <is>
          <t>Bergen</t>
        </is>
      </c>
      <c r="C347" s="58" t="inlineStr">
        <is>
          <t>Mike Ast</t>
        </is>
      </c>
      <c r="D347" s="58" t="inlineStr">
        <is>
          <t>Unmatched</t>
        </is>
      </c>
      <c r="E347" s="53" t="n">
        <v>0</v>
      </c>
      <c r="F347" s="53" t="n">
        <v>30</v>
      </c>
      <c r="G347" s="55" t="n">
        <v>0</v>
      </c>
      <c r="H347" s="55" t="n">
        <v>239.12</v>
      </c>
      <c r="I347" s="53" t="n">
        <v>0</v>
      </c>
      <c r="J347" s="53" t="n">
        <v>15</v>
      </c>
      <c r="K347" s="53" t="n">
        <v>0</v>
      </c>
      <c r="L347" s="53" t="n">
        <v>24</v>
      </c>
      <c r="M347" s="33">
        <f>F347-E347</f>
        <v/>
      </c>
      <c r="N347" s="33">
        <f>L347-K347</f>
        <v/>
      </c>
    </row>
    <row r="348">
      <c r="A348" s="58" t="inlineStr">
        <is>
          <t>65006 Gerry's Place</t>
        </is>
      </c>
      <c r="B348" s="58" t="inlineStr">
        <is>
          <t>Bergen</t>
        </is>
      </c>
      <c r="C348" s="58" t="inlineStr">
        <is>
          <t>Paul Mclaughlin</t>
        </is>
      </c>
      <c r="D348" s="58" t="inlineStr">
        <is>
          <t>On-premise</t>
        </is>
      </c>
      <c r="E348" s="53" t="n">
        <v>413</v>
      </c>
      <c r="F348" s="53" t="n">
        <v>401</v>
      </c>
      <c r="G348" s="55" t="n">
        <v>2901.079999999999</v>
      </c>
      <c r="H348" s="55" t="n">
        <v>2895.42</v>
      </c>
      <c r="I348" s="53" t="n">
        <v>73</v>
      </c>
      <c r="J348" s="53" t="n">
        <v>63</v>
      </c>
      <c r="K348" s="53" t="n">
        <v>23</v>
      </c>
      <c r="L348" s="53" t="n">
        <v>47</v>
      </c>
      <c r="M348" s="33">
        <f>F348-E348</f>
        <v/>
      </c>
      <c r="N348" s="33">
        <f>L348-K348</f>
        <v/>
      </c>
    </row>
    <row r="349">
      <c r="A349" s="58" t="inlineStr">
        <is>
          <t>7003 Blu Ale House</t>
        </is>
      </c>
      <c r="B349" s="58" t="inlineStr">
        <is>
          <t>Morris</t>
        </is>
      </c>
      <c r="C349" s="58" t="inlineStr">
        <is>
          <t>Allison Scott</t>
        </is>
      </c>
      <c r="D349" s="58" t="inlineStr">
        <is>
          <t>On-premise</t>
        </is>
      </c>
      <c r="E349" s="53" t="n">
        <v>449</v>
      </c>
      <c r="F349" s="53" t="n">
        <v>464</v>
      </c>
      <c r="G349" s="55" t="n">
        <v>3160.84</v>
      </c>
      <c r="H349" s="55" t="n">
        <v>3436.879999999999</v>
      </c>
      <c r="I349" s="53" t="n">
        <v>77</v>
      </c>
      <c r="J349" s="53" t="n">
        <v>131</v>
      </c>
      <c r="K349" s="53" t="n">
        <v>106</v>
      </c>
      <c r="L349" s="53" t="n">
        <v>129</v>
      </c>
      <c r="M349" s="33">
        <f>F349-E349</f>
        <v/>
      </c>
      <c r="N349" s="33">
        <f>L349-K349</f>
        <v/>
      </c>
    </row>
    <row r="350">
      <c r="A350" s="58" t="inlineStr">
        <is>
          <t>8006 pompton crafthouse</t>
        </is>
      </c>
      <c r="B350" s="58" t="inlineStr">
        <is>
          <t>Passaic</t>
        </is>
      </c>
      <c r="C350" s="58" t="inlineStr">
        <is>
          <t>Allison Scott</t>
        </is>
      </c>
      <c r="D350" s="58" t="inlineStr">
        <is>
          <t>On-premise</t>
        </is>
      </c>
      <c r="E350" s="53" t="n">
        <v>88</v>
      </c>
      <c r="F350" s="53" t="n">
        <v>95</v>
      </c>
      <c r="G350" s="55" t="n">
        <v>413.35</v>
      </c>
      <c r="H350" s="55" t="n">
        <v>617.5500000000001</v>
      </c>
      <c r="I350" s="53" t="n">
        <v>116</v>
      </c>
      <c r="J350" s="53" t="n">
        <v>92</v>
      </c>
      <c r="K350" s="53" t="n">
        <v>10</v>
      </c>
      <c r="L350" s="53" t="n">
        <v>33</v>
      </c>
      <c r="M350" s="33">
        <f>F350-E350</f>
        <v/>
      </c>
      <c r="N350" s="33">
        <f>L350-K350</f>
        <v/>
      </c>
    </row>
    <row r="351">
      <c r="A351" s="58" t="inlineStr">
        <is>
          <t>23001 Bogey's Sport Bar</t>
        </is>
      </c>
      <c r="B351" s="58" t="inlineStr">
        <is>
          <t>Passaic</t>
        </is>
      </c>
      <c r="C351" s="58" t="inlineStr">
        <is>
          <t>Allison Scott</t>
        </is>
      </c>
      <c r="D351" s="58" t="inlineStr">
        <is>
          <t>On-premise</t>
        </is>
      </c>
      <c r="E351" s="53" t="n">
        <v>209</v>
      </c>
      <c r="F351" s="53" t="n">
        <v>323</v>
      </c>
      <c r="G351" s="55" t="n">
        <v>1918.5</v>
      </c>
      <c r="H351" s="55" t="n">
        <v>2807.62</v>
      </c>
      <c r="I351" s="53" t="n">
        <v>28</v>
      </c>
      <c r="J351" s="53" t="n">
        <v>48</v>
      </c>
      <c r="K351" s="53" t="n">
        <v>4</v>
      </c>
      <c r="L351" s="53" t="n">
        <v>27</v>
      </c>
      <c r="M351" s="33">
        <f>F351-E351</f>
        <v/>
      </c>
      <c r="N351" s="33">
        <f>L351-K351</f>
        <v/>
      </c>
    </row>
    <row r="352">
      <c r="A352" s="58" t="inlineStr">
        <is>
          <t>250803 Witty's Fine Wine &amp; Spirt</t>
        </is>
      </c>
      <c r="B352" s="58" t="inlineStr">
        <is>
          <t>Union</t>
        </is>
      </c>
      <c r="C352" s="58" t="inlineStr">
        <is>
          <t>Andrew Lundy</t>
        </is>
      </c>
      <c r="D352" s="58" t="inlineStr">
        <is>
          <t>Off-premise</t>
        </is>
      </c>
      <c r="E352" s="53" t="n">
        <v>45</v>
      </c>
      <c r="F352" s="53" t="n">
        <v>68</v>
      </c>
      <c r="G352" s="55" t="n">
        <v>303.5</v>
      </c>
      <c r="H352" s="55" t="n">
        <v>431.45</v>
      </c>
      <c r="I352" s="53" t="n">
        <v>1639</v>
      </c>
      <c r="J352" s="53" t="n">
        <v>1585</v>
      </c>
      <c r="K352" s="53" t="n">
        <v>45</v>
      </c>
      <c r="L352" s="53" t="n">
        <v>68</v>
      </c>
      <c r="M352" s="33">
        <f>F352-E352</f>
        <v/>
      </c>
      <c r="N352" s="33">
        <f>L352-K352</f>
        <v/>
      </c>
    </row>
    <row r="353">
      <c r="A353" s="58" t="inlineStr">
        <is>
          <t>30010 Krauser Food &amp; Liq(A)</t>
        </is>
      </c>
      <c r="B353" s="58" t="inlineStr">
        <is>
          <t>Bergen</t>
        </is>
      </c>
      <c r="C353" s="58" t="inlineStr">
        <is>
          <t>Jim Heaney</t>
        </is>
      </c>
      <c r="D353" s="58" t="inlineStr">
        <is>
          <t>Off-premise</t>
        </is>
      </c>
      <c r="E353" s="53" t="n">
        <v>825</v>
      </c>
      <c r="F353" s="53" t="n">
        <v>822</v>
      </c>
      <c r="G353" s="55" t="n">
        <v>5586.77</v>
      </c>
      <c r="H353" s="55" t="n">
        <v>5833.07</v>
      </c>
      <c r="I353" s="53" t="n">
        <v>184</v>
      </c>
      <c r="J353" s="53" t="n">
        <v>218</v>
      </c>
      <c r="K353" s="53" t="n">
        <v>158</v>
      </c>
      <c r="L353" s="53" t="n">
        <v>181</v>
      </c>
      <c r="M353" s="33">
        <f>F353-E353</f>
        <v/>
      </c>
      <c r="N353" s="33">
        <f>L353-K353</f>
        <v/>
      </c>
    </row>
    <row r="354">
      <c r="A354" s="58" t="inlineStr">
        <is>
          <t>28007 Metro Liquors (North Arlington)</t>
        </is>
      </c>
      <c r="B354" s="58" t="inlineStr">
        <is>
          <t>Bergen</t>
        </is>
      </c>
      <c r="C354" s="58" t="inlineStr">
        <is>
          <t>Jim Heaney</t>
        </is>
      </c>
      <c r="D354" s="58" t="inlineStr">
        <is>
          <t>Off-premise</t>
        </is>
      </c>
      <c r="E354" s="53" t="n">
        <v>2151</v>
      </c>
      <c r="F354" s="53" t="n">
        <v>2082</v>
      </c>
      <c r="G354" s="55" t="n">
        <v>14162.76</v>
      </c>
      <c r="H354" s="55" t="n">
        <v>13643.29</v>
      </c>
      <c r="I354" s="53" t="n">
        <v>446</v>
      </c>
      <c r="J354" s="53" t="n">
        <v>236</v>
      </c>
      <c r="K354" s="53" t="n">
        <v>293</v>
      </c>
      <c r="L354" s="53" t="n">
        <v>316</v>
      </c>
      <c r="M354" s="33">
        <f>F354-E354</f>
        <v/>
      </c>
      <c r="N354" s="33">
        <f>L354-K354</f>
        <v/>
      </c>
    </row>
    <row r="355">
      <c r="A355" s="58" t="inlineStr">
        <is>
          <t>190107 Wine &amp; Whiskey Country Pine Brook</t>
        </is>
      </c>
      <c r="B355" s="58" t="inlineStr">
        <is>
          <t>Morris</t>
        </is>
      </c>
      <c r="C355" s="58" t="inlineStr">
        <is>
          <t>John O'Donoghue</t>
        </is>
      </c>
      <c r="D355" s="58" t="inlineStr">
        <is>
          <t>Unmatched</t>
        </is>
      </c>
      <c r="E355" s="53" t="n">
        <v>10</v>
      </c>
      <c r="F355" s="53" t="n">
        <v>33</v>
      </c>
      <c r="G355" s="55" t="n">
        <v>70.62</v>
      </c>
      <c r="H355" s="55" t="n">
        <v>237.39</v>
      </c>
      <c r="I355" s="53" t="n">
        <v>56</v>
      </c>
      <c r="J355" s="53" t="n">
        <v>63</v>
      </c>
      <c r="K355" s="53" t="n">
        <v>10</v>
      </c>
      <c r="L355" s="53" t="n">
        <v>33</v>
      </c>
      <c r="M355" s="33">
        <f>F355-E355</f>
        <v/>
      </c>
      <c r="N355" s="33">
        <f>L355-K355</f>
        <v/>
      </c>
    </row>
    <row r="356">
      <c r="A356" s="58" t="inlineStr">
        <is>
          <t>93002 Roxanne's A)</t>
        </is>
      </c>
      <c r="B356" s="58" t="inlineStr">
        <is>
          <t>Bergen</t>
        </is>
      </c>
      <c r="C356" s="58" t="inlineStr">
        <is>
          <t>Nick Melissari</t>
        </is>
      </c>
      <c r="D356" s="58" t="inlineStr">
        <is>
          <t>On-premise</t>
        </is>
      </c>
      <c r="E356" s="53" t="n">
        <v>140</v>
      </c>
      <c r="F356" s="53" t="n">
        <v>132</v>
      </c>
      <c r="G356" s="55" t="n">
        <v>1184.14</v>
      </c>
      <c r="H356" s="55" t="n">
        <v>1324.25</v>
      </c>
      <c r="I356" s="53" t="n">
        <v>69</v>
      </c>
      <c r="J356" s="53" t="n">
        <v>96</v>
      </c>
      <c r="K356" s="53" t="n">
        <v>17</v>
      </c>
      <c r="L356" s="53" t="n">
        <v>40</v>
      </c>
      <c r="M356" s="33">
        <f>F356-E356</f>
        <v/>
      </c>
      <c r="N356" s="33">
        <f>L356-K356</f>
        <v/>
      </c>
    </row>
    <row r="357">
      <c r="A357" s="58" t="inlineStr">
        <is>
          <t>32023 Redd's Rest (Z)</t>
        </is>
      </c>
      <c r="B357" s="58" t="inlineStr">
        <is>
          <t>Bergen</t>
        </is>
      </c>
      <c r="C357" s="58" t="inlineStr">
        <is>
          <t>Nick Melissari</t>
        </is>
      </c>
      <c r="D357" s="58" t="inlineStr">
        <is>
          <t>On-premise</t>
        </is>
      </c>
      <c r="E357" s="53" t="n">
        <v>348</v>
      </c>
      <c r="F357" s="53" t="n">
        <v>574</v>
      </c>
      <c r="G357" s="55" t="n">
        <v>2517.98</v>
      </c>
      <c r="H357" s="55" t="n">
        <v>4283.65</v>
      </c>
      <c r="I357" s="53" t="n">
        <v>124</v>
      </c>
      <c r="J357" s="53" t="n">
        <v>201</v>
      </c>
      <c r="K357" s="53" t="n">
        <v>19</v>
      </c>
      <c r="L357" s="53" t="n">
        <v>42</v>
      </c>
      <c r="M357" s="33">
        <f>F357-E357</f>
        <v/>
      </c>
      <c r="N357" s="33">
        <f>L357-K357</f>
        <v/>
      </c>
    </row>
    <row r="358">
      <c r="A358" s="58" t="inlineStr">
        <is>
          <t>93004 Mahwah B &amp; G (A)</t>
        </is>
      </c>
      <c r="B358" s="58" t="inlineStr">
        <is>
          <t>Bergen</t>
        </is>
      </c>
      <c r="C358" s="58" t="inlineStr">
        <is>
          <t>Nick Melissari</t>
        </is>
      </c>
      <c r="D358" s="58" t="inlineStr">
        <is>
          <t>On-premise</t>
        </is>
      </c>
      <c r="E358" s="53" t="n">
        <v>332</v>
      </c>
      <c r="F358" s="53" t="n">
        <v>319</v>
      </c>
      <c r="G358" s="55" t="n">
        <v>2303.83</v>
      </c>
      <c r="H358" s="55" t="n">
        <v>2296.37</v>
      </c>
      <c r="I358" s="53" t="n">
        <v>267</v>
      </c>
      <c r="J358" s="53" t="n">
        <v>200</v>
      </c>
      <c r="K358" s="53" t="n">
        <v>53</v>
      </c>
      <c r="L358" s="53" t="n">
        <v>76</v>
      </c>
      <c r="M358" s="33">
        <f>F358-E358</f>
        <v/>
      </c>
      <c r="N358" s="33">
        <f>L358-K358</f>
        <v/>
      </c>
    </row>
    <row r="359">
      <c r="A359" s="58" t="inlineStr">
        <is>
          <t>230929 Airport Pub &amp; Pkg</t>
        </is>
      </c>
      <c r="B359" s="58" t="inlineStr">
        <is>
          <t>Sussex</t>
        </is>
      </c>
      <c r="C359" s="58" t="inlineStr">
        <is>
          <t>Anthony Palmisano</t>
        </is>
      </c>
      <c r="D359" s="58" t="inlineStr">
        <is>
          <t>On-premise</t>
        </is>
      </c>
      <c r="E359" s="53" t="n">
        <v>359</v>
      </c>
      <c r="F359" s="53" t="n">
        <v>412</v>
      </c>
      <c r="G359" s="55" t="n">
        <v>2691.38</v>
      </c>
      <c r="H359" s="55" t="n">
        <v>3039.31</v>
      </c>
      <c r="I359" s="53" t="n">
        <v>178</v>
      </c>
      <c r="J359" s="53" t="n">
        <v>272</v>
      </c>
      <c r="K359" s="53" t="n">
        <v>27</v>
      </c>
      <c r="L359" s="53" t="n">
        <v>49</v>
      </c>
      <c r="M359" s="33">
        <f>F359-E359</f>
        <v/>
      </c>
      <c r="N359" s="33">
        <f>L359-K359</f>
        <v/>
      </c>
    </row>
    <row r="360">
      <c r="A360" s="58" t="inlineStr">
        <is>
          <t>230405 Sheridan Lodge (P)</t>
        </is>
      </c>
      <c r="B360" s="58" t="inlineStr">
        <is>
          <t>Sussex</t>
        </is>
      </c>
      <c r="C360" s="58" t="inlineStr">
        <is>
          <t>Brian Sengebush</t>
        </is>
      </c>
      <c r="D360" s="58" t="inlineStr">
        <is>
          <t>On-premise</t>
        </is>
      </c>
      <c r="E360" s="53" t="n">
        <v>330</v>
      </c>
      <c r="F360" s="53" t="n">
        <v>302</v>
      </c>
      <c r="G360" s="55" t="n">
        <v>2401.13</v>
      </c>
      <c r="H360" s="55" t="n">
        <v>2263.68</v>
      </c>
      <c r="I360" s="53" t="n">
        <v>49</v>
      </c>
      <c r="J360" s="53" t="n">
        <v>64</v>
      </c>
      <c r="K360" s="53" t="n">
        <v>1</v>
      </c>
      <c r="L360" s="53" t="n">
        <v>23</v>
      </c>
      <c r="M360" s="33">
        <f>F360-E360</f>
        <v/>
      </c>
      <c r="N360" s="33">
        <f>L360-K360</f>
        <v/>
      </c>
    </row>
    <row r="361">
      <c r="A361" s="58" t="inlineStr">
        <is>
          <t>49072 JJ Dak</t>
        </is>
      </c>
      <c r="B361" s="58" t="inlineStr">
        <is>
          <t>Bergen</t>
        </is>
      </c>
      <c r="C361" s="58" t="inlineStr">
        <is>
          <t>Dan Lagala</t>
        </is>
      </c>
      <c r="D361" s="58" t="inlineStr">
        <is>
          <t>On-premise</t>
        </is>
      </c>
      <c r="E361" s="53" t="n">
        <v>81</v>
      </c>
      <c r="F361" s="53" t="n">
        <v>126</v>
      </c>
      <c r="G361" s="55" t="n">
        <v>569.8100000000001</v>
      </c>
      <c r="H361" s="55" t="n">
        <v>793.95</v>
      </c>
      <c r="I361" s="53" t="n">
        <v>102</v>
      </c>
      <c r="J361" s="53" t="n">
        <v>120</v>
      </c>
      <c r="K361" s="53" t="n">
        <v>71</v>
      </c>
      <c r="L361" s="53" t="n">
        <v>93</v>
      </c>
      <c r="M361" s="33">
        <f>F361-E361</f>
        <v/>
      </c>
      <c r="N361" s="33">
        <f>L361-K361</f>
        <v/>
      </c>
    </row>
    <row r="362">
      <c r="A362" s="58" t="inlineStr">
        <is>
          <t>20061 Seguidilla 56 Lounge &amp; Liquors</t>
        </is>
      </c>
      <c r="B362" s="58" t="inlineStr">
        <is>
          <t>Passaic</t>
        </is>
      </c>
      <c r="C362" s="58" t="inlineStr">
        <is>
          <t>Javier Melo</t>
        </is>
      </c>
      <c r="D362" s="58" t="inlineStr">
        <is>
          <t>On-premise</t>
        </is>
      </c>
      <c r="E362" s="53" t="n">
        <v>4394</v>
      </c>
      <c r="F362" s="53" t="n">
        <v>4472</v>
      </c>
      <c r="G362" s="55" t="n">
        <v>31033.77</v>
      </c>
      <c r="H362" s="55" t="n">
        <v>32897.88</v>
      </c>
      <c r="I362" s="53" t="n">
        <v>127</v>
      </c>
      <c r="J362" s="53" t="n">
        <v>119</v>
      </c>
      <c r="K362" s="53" t="n">
        <v>149</v>
      </c>
      <c r="L362" s="53" t="n">
        <v>171</v>
      </c>
      <c r="M362" s="33">
        <f>F362-E362</f>
        <v/>
      </c>
      <c r="N362" s="33">
        <f>L362-K362</f>
        <v/>
      </c>
    </row>
    <row r="363">
      <c r="A363" s="58" t="inlineStr">
        <is>
          <t>17012 Speedy Mart (P)</t>
        </is>
      </c>
      <c r="B363" s="58" t="inlineStr">
        <is>
          <t>Passaic</t>
        </is>
      </c>
      <c r="C363" s="58" t="inlineStr">
        <is>
          <t>Mike Ast</t>
        </is>
      </c>
      <c r="D363" s="58" t="inlineStr">
        <is>
          <t>Off-premise</t>
        </is>
      </c>
      <c r="E363" s="53" t="n">
        <v>3154</v>
      </c>
      <c r="F363" s="53" t="n">
        <v>2913</v>
      </c>
      <c r="G363" s="55" t="n">
        <v>21834.17</v>
      </c>
      <c r="H363" s="55" t="n">
        <v>20135.80000000001</v>
      </c>
      <c r="I363" s="53" t="n">
        <v>152</v>
      </c>
      <c r="J363" s="53" t="n">
        <v>124</v>
      </c>
      <c r="K363" s="53" t="n">
        <v>234</v>
      </c>
      <c r="L363" s="53" t="n">
        <v>256</v>
      </c>
      <c r="M363" s="33">
        <f>F363-E363</f>
        <v/>
      </c>
      <c r="N363" s="33">
        <f>L363-K363</f>
        <v/>
      </c>
    </row>
    <row r="364">
      <c r="A364" s="58" t="inlineStr">
        <is>
          <t>31036 Eros Cafe</t>
        </is>
      </c>
      <c r="B364" s="58" t="inlineStr">
        <is>
          <t>Bergen</t>
        </is>
      </c>
      <c r="C364" s="58" t="inlineStr">
        <is>
          <t>Nick Melissari</t>
        </is>
      </c>
      <c r="D364" s="58" t="inlineStr">
        <is>
          <t>On-premise</t>
        </is>
      </c>
      <c r="E364" s="53" t="n">
        <v>52</v>
      </c>
      <c r="F364" s="53" t="n">
        <v>247</v>
      </c>
      <c r="G364" s="55" t="n">
        <v>537.27</v>
      </c>
      <c r="H364" s="55" t="n">
        <v>2382.63</v>
      </c>
      <c r="I364" s="53" t="n">
        <v>26</v>
      </c>
      <c r="J364" s="53" t="n">
        <v>173</v>
      </c>
      <c r="K364" s="53" t="n">
        <v>2</v>
      </c>
      <c r="L364" s="53" t="n">
        <v>24</v>
      </c>
      <c r="M364" s="33">
        <f>F364-E364</f>
        <v/>
      </c>
      <c r="N364" s="33">
        <f>L364-K364</f>
        <v/>
      </c>
    </row>
    <row r="365">
      <c r="A365" s="58" t="inlineStr">
        <is>
          <t>50001 Andy's Corner (Z)</t>
        </is>
      </c>
      <c r="B365" s="58" t="inlineStr">
        <is>
          <t>Bergen</t>
        </is>
      </c>
      <c r="C365" s="58" t="inlineStr">
        <is>
          <t>Paul Mclaughlin</t>
        </is>
      </c>
      <c r="D365" s="58" t="inlineStr">
        <is>
          <t>On-premise</t>
        </is>
      </c>
      <c r="E365" s="53" t="n">
        <v>126</v>
      </c>
      <c r="F365" s="53" t="n">
        <v>163</v>
      </c>
      <c r="G365" s="55" t="n">
        <v>1156.29</v>
      </c>
      <c r="H365" s="55" t="n">
        <v>1547.87</v>
      </c>
      <c r="I365" s="53" t="n">
        <v>83</v>
      </c>
      <c r="J365" s="53" t="n">
        <v>122</v>
      </c>
      <c r="K365" s="53" t="n">
        <v>9</v>
      </c>
      <c r="L365" s="53" t="n">
        <v>31</v>
      </c>
      <c r="M365" s="33">
        <f>F365-E365</f>
        <v/>
      </c>
      <c r="N365" s="33">
        <f>L365-K365</f>
        <v/>
      </c>
    </row>
    <row r="366">
      <c r="A366" s="58" t="inlineStr">
        <is>
          <t>75004 Cork &amp; Keg (A)</t>
        </is>
      </c>
      <c r="B366" s="58" t="inlineStr">
        <is>
          <t>Bergen</t>
        </is>
      </c>
      <c r="C366" s="58" t="inlineStr">
        <is>
          <t>Shane Barreca</t>
        </is>
      </c>
      <c r="D366" s="58" t="inlineStr">
        <is>
          <t>Off-premise</t>
        </is>
      </c>
      <c r="E366" s="53" t="n">
        <v>5321</v>
      </c>
      <c r="F366" s="53" t="n">
        <v>4933</v>
      </c>
      <c r="G366" s="55" t="n">
        <v>31800.42</v>
      </c>
      <c r="H366" s="55" t="n">
        <v>30770.55</v>
      </c>
      <c r="I366" s="53" t="n">
        <v>1676</v>
      </c>
      <c r="J366" s="53" t="n">
        <v>2115</v>
      </c>
      <c r="K366" s="53" t="n">
        <v>811</v>
      </c>
      <c r="L366" s="53" t="n">
        <v>833</v>
      </c>
      <c r="M366" s="33">
        <f>F366-E366</f>
        <v/>
      </c>
      <c r="N366" s="33">
        <f>L366-K366</f>
        <v/>
      </c>
    </row>
    <row r="367">
      <c r="A367" s="58" t="inlineStr">
        <is>
          <t>250072 Picacho Liquors</t>
        </is>
      </c>
      <c r="B367" s="58" t="inlineStr">
        <is>
          <t>Union</t>
        </is>
      </c>
      <c r="C367" s="58" t="inlineStr">
        <is>
          <t>Alex Rodriguez</t>
        </is>
      </c>
      <c r="D367" s="58" t="inlineStr">
        <is>
          <t>Off-premise</t>
        </is>
      </c>
      <c r="E367" s="53" t="n">
        <v>0</v>
      </c>
      <c r="F367" s="53" t="n">
        <v>21</v>
      </c>
      <c r="G367" s="55" t="n">
        <v>0</v>
      </c>
      <c r="H367" s="55" t="n">
        <v>180.26</v>
      </c>
      <c r="I367" s="53" t="n">
        <v>119</v>
      </c>
      <c r="J367" s="53" t="n">
        <v>175</v>
      </c>
      <c r="K367" s="53" t="n">
        <v>0</v>
      </c>
      <c r="L367" s="53" t="n">
        <v>21</v>
      </c>
      <c r="M367" s="33">
        <f>F367-E367</f>
        <v/>
      </c>
      <c r="N367" s="33">
        <f>L367-K367</f>
        <v/>
      </c>
    </row>
    <row r="368">
      <c r="A368" s="58" t="inlineStr">
        <is>
          <t>190102 Lake Valhalla Club (P)</t>
        </is>
      </c>
      <c r="B368" s="58" t="inlineStr">
        <is>
          <t>Morris</t>
        </is>
      </c>
      <c r="C368" s="58" t="inlineStr">
        <is>
          <t>Brian Sengebush</t>
        </is>
      </c>
      <c r="D368" s="58" t="inlineStr">
        <is>
          <t>On-premise</t>
        </is>
      </c>
      <c r="E368" s="53" t="n">
        <v>263</v>
      </c>
      <c r="F368" s="53" t="n">
        <v>212</v>
      </c>
      <c r="G368" s="55" t="n">
        <v>1999.53</v>
      </c>
      <c r="H368" s="55" t="n">
        <v>1468.29</v>
      </c>
      <c r="I368" s="53" t="n">
        <v>59</v>
      </c>
      <c r="J368" s="53" t="n">
        <v>57</v>
      </c>
      <c r="K368" s="53" t="n">
        <v>0</v>
      </c>
      <c r="L368" s="53" t="n">
        <v>21</v>
      </c>
      <c r="M368" s="33">
        <f>F368-E368</f>
        <v/>
      </c>
      <c r="N368" s="33">
        <f>L368-K368</f>
        <v/>
      </c>
    </row>
    <row r="369">
      <c r="A369" s="58" t="inlineStr">
        <is>
          <t>49019 Bp Gas Station</t>
        </is>
      </c>
      <c r="B369" s="58" t="inlineStr">
        <is>
          <t>Bergen</t>
        </is>
      </c>
      <c r="C369" s="58" t="inlineStr">
        <is>
          <t>Dan Lagala</t>
        </is>
      </c>
      <c r="D369" s="58" t="inlineStr">
        <is>
          <t>Off-premise</t>
        </is>
      </c>
      <c r="E369" s="53" t="n">
        <v>1169</v>
      </c>
      <c r="F369" s="53" t="n">
        <v>1049</v>
      </c>
      <c r="G369" s="55" t="n">
        <v>8502.1</v>
      </c>
      <c r="H369" s="55" t="n">
        <v>7433.36</v>
      </c>
      <c r="I369" s="53" t="n">
        <v>11</v>
      </c>
      <c r="J369" s="53" t="n">
        <v>20</v>
      </c>
      <c r="K369" s="53" t="n">
        <v>53</v>
      </c>
      <c r="L369" s="53" t="n">
        <v>74</v>
      </c>
      <c r="M369" s="33">
        <f>F369-E369</f>
        <v/>
      </c>
      <c r="N369" s="33">
        <f>L369-K369</f>
        <v/>
      </c>
    </row>
    <row r="370">
      <c r="A370" s="58" t="inlineStr">
        <is>
          <t>150113 Express Two Liquors</t>
        </is>
      </c>
      <c r="B370" s="58" t="inlineStr">
        <is>
          <t>Essex</t>
        </is>
      </c>
      <c r="C370" s="58" t="inlineStr">
        <is>
          <t>Hakan Sadik</t>
        </is>
      </c>
      <c r="D370" s="58" t="inlineStr">
        <is>
          <t>Off-premise</t>
        </is>
      </c>
      <c r="E370" s="53" t="n">
        <v>8</v>
      </c>
      <c r="F370" s="53" t="n">
        <v>29</v>
      </c>
      <c r="G370" s="55" t="n">
        <v>71.36</v>
      </c>
      <c r="H370" s="55" t="n">
        <v>210.87</v>
      </c>
      <c r="I370" s="53" t="n">
        <v>266</v>
      </c>
      <c r="J370" s="53" t="n">
        <v>179</v>
      </c>
      <c r="K370" s="53" t="n">
        <v>8</v>
      </c>
      <c r="L370" s="53" t="n">
        <v>29</v>
      </c>
      <c r="M370" s="33">
        <f>F370-E370</f>
        <v/>
      </c>
      <c r="N370" s="33">
        <f>L370-K370</f>
        <v/>
      </c>
    </row>
    <row r="371">
      <c r="A371" s="58" t="inlineStr">
        <is>
          <t>17026 Wine Dad's Jersey City</t>
        </is>
      </c>
      <c r="B371" s="58" t="inlineStr">
        <is>
          <t>Hudson</t>
        </is>
      </c>
      <c r="C371" s="58" t="inlineStr">
        <is>
          <t>Jaime Colonna</t>
        </is>
      </c>
      <c r="D371" s="58" t="inlineStr">
        <is>
          <t>Off-premise</t>
        </is>
      </c>
      <c r="E371" s="53" t="n">
        <v>0</v>
      </c>
      <c r="F371" s="53" t="n">
        <v>21</v>
      </c>
      <c r="G371" s="55" t="n">
        <v>0</v>
      </c>
      <c r="H371" s="55" t="n">
        <v>156.75</v>
      </c>
      <c r="I371" s="53" t="n">
        <v>0</v>
      </c>
      <c r="J371" s="53" t="n">
        <v>166</v>
      </c>
      <c r="K371" s="53" t="n">
        <v>0</v>
      </c>
      <c r="L371" s="53" t="n">
        <v>21</v>
      </c>
      <c r="M371" s="33">
        <f>F371-E371</f>
        <v/>
      </c>
      <c r="N371" s="33">
        <f>L371-K371</f>
        <v/>
      </c>
    </row>
    <row r="372">
      <c r="A372" s="58" t="inlineStr">
        <is>
          <t>28012 Lucky 7 (A)</t>
        </is>
      </c>
      <c r="B372" s="58" t="inlineStr">
        <is>
          <t>Bergen</t>
        </is>
      </c>
      <c r="C372" s="58" t="inlineStr">
        <is>
          <t>Jim Heaney</t>
        </is>
      </c>
      <c r="D372" s="58" t="inlineStr">
        <is>
          <t>Off-premise</t>
        </is>
      </c>
      <c r="E372" s="53" t="n">
        <v>4141</v>
      </c>
      <c r="F372" s="53" t="n">
        <v>3931</v>
      </c>
      <c r="G372" s="55" t="n">
        <v>26748.07</v>
      </c>
      <c r="H372" s="55" t="n">
        <v>25964.83</v>
      </c>
      <c r="I372" s="53" t="n">
        <v>1254</v>
      </c>
      <c r="J372" s="53" t="n">
        <v>1251</v>
      </c>
      <c r="K372" s="53" t="n">
        <v>497</v>
      </c>
      <c r="L372" s="53" t="n">
        <v>518</v>
      </c>
      <c r="M372" s="33">
        <f>F372-E372</f>
        <v/>
      </c>
      <c r="N372" s="33">
        <f>L372-K372</f>
        <v/>
      </c>
    </row>
    <row r="373">
      <c r="A373" s="58" t="inlineStr">
        <is>
          <t>190001 Gary's Wine &amp; Marketplace (Madison)</t>
        </is>
      </c>
      <c r="B373" s="58" t="inlineStr">
        <is>
          <t>Morris</t>
        </is>
      </c>
      <c r="C373" s="58" t="inlineStr">
        <is>
          <t>John O'Donoghue</t>
        </is>
      </c>
      <c r="D373" s="58" t="inlineStr">
        <is>
          <t>Unmatched</t>
        </is>
      </c>
      <c r="E373" s="53" t="n">
        <v>35</v>
      </c>
      <c r="F373" s="53" t="n">
        <v>56</v>
      </c>
      <c r="G373" s="55" t="n">
        <v>218.32</v>
      </c>
      <c r="H373" s="55" t="n">
        <v>392.32</v>
      </c>
      <c r="I373" s="53" t="n">
        <v>585</v>
      </c>
      <c r="J373" s="53" t="n">
        <v>522</v>
      </c>
      <c r="K373" s="53" t="n">
        <v>35</v>
      </c>
      <c r="L373" s="53" t="n">
        <v>56</v>
      </c>
      <c r="M373" s="33">
        <f>F373-E373</f>
        <v/>
      </c>
      <c r="N373" s="33">
        <f>L373-K373</f>
        <v/>
      </c>
    </row>
    <row r="374">
      <c r="A374" s="58" t="inlineStr">
        <is>
          <t>27032 Cork and Barrel</t>
        </is>
      </c>
      <c r="B374" s="58" t="inlineStr">
        <is>
          <t>Passaic</t>
        </is>
      </c>
      <c r="C374" s="58" t="inlineStr">
        <is>
          <t>Matt Powierski</t>
        </is>
      </c>
      <c r="D374" s="58" t="inlineStr">
        <is>
          <t>Unmatched</t>
        </is>
      </c>
      <c r="E374" s="53" t="n">
        <v>226</v>
      </c>
      <c r="F374" s="53" t="n">
        <v>359</v>
      </c>
      <c r="G374" s="55" t="n">
        <v>1948.56</v>
      </c>
      <c r="H374" s="55" t="n">
        <v>3214.44</v>
      </c>
      <c r="I374" s="53" t="n">
        <v>63</v>
      </c>
      <c r="J374" s="53" t="n">
        <v>127</v>
      </c>
      <c r="K374" s="53" t="n">
        <v>29</v>
      </c>
      <c r="L374" s="53" t="n">
        <v>50</v>
      </c>
      <c r="M374" s="33">
        <f>F374-E374</f>
        <v/>
      </c>
      <c r="N374" s="33">
        <f>L374-K374</f>
        <v/>
      </c>
    </row>
    <row r="375">
      <c r="A375" s="58" t="inlineStr">
        <is>
          <t>92014 Ramsey Country Clb</t>
        </is>
      </c>
      <c r="B375" s="58" t="inlineStr">
        <is>
          <t>Bergen</t>
        </is>
      </c>
      <c r="C375" s="58" t="inlineStr">
        <is>
          <t>Nick Melissari</t>
        </is>
      </c>
      <c r="D375" s="58" t="inlineStr">
        <is>
          <t>On-premise</t>
        </is>
      </c>
      <c r="E375" s="53" t="n">
        <v>153</v>
      </c>
      <c r="F375" s="53" t="n">
        <v>287</v>
      </c>
      <c r="G375" s="55" t="n">
        <v>604.38</v>
      </c>
      <c r="H375" s="55" t="n">
        <v>1348.62</v>
      </c>
      <c r="I375" s="53" t="n">
        <v>132</v>
      </c>
      <c r="J375" s="53" t="n">
        <v>189</v>
      </c>
      <c r="K375" s="53" t="n">
        <v>26</v>
      </c>
      <c r="L375" s="53" t="n">
        <v>47</v>
      </c>
      <c r="M375" s="33">
        <f>F375-E375</f>
        <v/>
      </c>
      <c r="N375" s="33">
        <f>L375-K375</f>
        <v/>
      </c>
    </row>
    <row r="376">
      <c r="A376" s="58" t="inlineStr">
        <is>
          <t>41026 Amc- Shops @ Riverside P</t>
        </is>
      </c>
      <c r="B376" s="58" t="inlineStr">
        <is>
          <t>Bergen</t>
        </is>
      </c>
      <c r="C376" s="58" t="inlineStr">
        <is>
          <t>Nick Melissari</t>
        </is>
      </c>
      <c r="D376" s="58" t="inlineStr">
        <is>
          <t>On-premise</t>
        </is>
      </c>
      <c r="E376" s="53" t="n">
        <v>160</v>
      </c>
      <c r="F376" s="53" t="n">
        <v>209</v>
      </c>
      <c r="G376" s="55" t="n">
        <v>1364.74</v>
      </c>
      <c r="H376" s="55" t="n">
        <v>1898.15</v>
      </c>
      <c r="I376" s="53" t="n">
        <v>59</v>
      </c>
      <c r="J376" s="53" t="n">
        <v>87</v>
      </c>
      <c r="K376" s="53" t="n">
        <v>48</v>
      </c>
      <c r="L376" s="53" t="n">
        <v>69</v>
      </c>
      <c r="M376" s="33">
        <f>F376-E376</f>
        <v/>
      </c>
      <c r="N376" s="33">
        <f>L376-K376</f>
        <v/>
      </c>
    </row>
    <row r="377">
      <c r="A377" s="58" t="inlineStr">
        <is>
          <t>29021 Uncle Vinnys Bar &amp; Grill</t>
        </is>
      </c>
      <c r="B377" s="58" t="inlineStr">
        <is>
          <t>Bergen</t>
        </is>
      </c>
      <c r="C377" s="58" t="inlineStr">
        <is>
          <t>Nick Melissari</t>
        </is>
      </c>
      <c r="D377" s="58" t="inlineStr">
        <is>
          <t>On-premise</t>
        </is>
      </c>
      <c r="E377" s="53" t="n">
        <v>349</v>
      </c>
      <c r="F377" s="53" t="n">
        <v>326</v>
      </c>
      <c r="G377" s="55" t="n">
        <v>2272.23</v>
      </c>
      <c r="H377" s="55" t="n">
        <v>2038.46</v>
      </c>
      <c r="I377" s="53" t="n">
        <v>0</v>
      </c>
      <c r="J377" s="53" t="n">
        <v>0</v>
      </c>
      <c r="K377" s="53" t="n">
        <v>0</v>
      </c>
      <c r="L377" s="53" t="n">
        <v>21</v>
      </c>
      <c r="M377" s="33">
        <f>F377-E377</f>
        <v/>
      </c>
      <c r="N377" s="33">
        <f>L377-K377</f>
        <v/>
      </c>
    </row>
    <row r="378">
      <c r="A378" s="58" t="inlineStr">
        <is>
          <t>15047 Freddie's Corner</t>
        </is>
      </c>
      <c r="B378" s="58" t="inlineStr">
        <is>
          <t>Passaic</t>
        </is>
      </c>
      <c r="C378" s="58" t="inlineStr">
        <is>
          <t>Pablo Lopez</t>
        </is>
      </c>
      <c r="D378" s="58" t="inlineStr">
        <is>
          <t>Off-premise</t>
        </is>
      </c>
      <c r="E378" s="53" t="n">
        <v>1111</v>
      </c>
      <c r="F378" s="53" t="n">
        <v>1129</v>
      </c>
      <c r="G378" s="55" t="n">
        <v>7564.579999999999</v>
      </c>
      <c r="H378" s="55" t="n">
        <v>8095.179999999999</v>
      </c>
      <c r="I378" s="53" t="n">
        <v>187</v>
      </c>
      <c r="J378" s="53" t="n">
        <v>185</v>
      </c>
      <c r="K378" s="53" t="n">
        <v>89</v>
      </c>
      <c r="L378" s="53" t="n">
        <v>110</v>
      </c>
      <c r="M378" s="33">
        <f>F378-E378</f>
        <v/>
      </c>
      <c r="N378" s="33">
        <f>L378-K378</f>
        <v/>
      </c>
    </row>
    <row r="379">
      <c r="A379" s="58" t="inlineStr">
        <is>
          <t>63002 Alpine C.C. (Z)</t>
        </is>
      </c>
      <c r="B379" s="58" t="inlineStr">
        <is>
          <t>Bergen</t>
        </is>
      </c>
      <c r="C379" s="58" t="inlineStr">
        <is>
          <t>Paul Mclaughlin</t>
        </is>
      </c>
      <c r="D379" s="58" t="inlineStr">
        <is>
          <t>On-premise</t>
        </is>
      </c>
      <c r="E379" s="53" t="n">
        <v>79</v>
      </c>
      <c r="F379" s="53" t="n">
        <v>129</v>
      </c>
      <c r="G379" s="55" t="n">
        <v>770.92</v>
      </c>
      <c r="H379" s="55" t="n">
        <v>1241.36</v>
      </c>
      <c r="I379" s="53" t="n">
        <v>27</v>
      </c>
      <c r="J379" s="53" t="n">
        <v>22</v>
      </c>
      <c r="K379" s="53" t="n">
        <v>32</v>
      </c>
      <c r="L379" s="53" t="n">
        <v>53</v>
      </c>
      <c r="M379" s="33">
        <f>F379-E379</f>
        <v/>
      </c>
      <c r="N379" s="33">
        <f>L379-K379</f>
        <v/>
      </c>
    </row>
    <row r="380">
      <c r="A380" s="58" t="inlineStr">
        <is>
          <t>81024 Anthony's Coal Fired Pizza (Fair Lawn)</t>
        </is>
      </c>
      <c r="B380" s="58" t="inlineStr">
        <is>
          <t>Bergen</t>
        </is>
      </c>
      <c r="C380" s="58" t="inlineStr">
        <is>
          <t>Paul Mclaughlin</t>
        </is>
      </c>
      <c r="D380" s="58" t="inlineStr">
        <is>
          <t>On-premise</t>
        </is>
      </c>
      <c r="E380" s="53" t="n">
        <v>121</v>
      </c>
      <c r="F380" s="53" t="n">
        <v>158</v>
      </c>
      <c r="G380" s="55" t="n">
        <v>1184.62</v>
      </c>
      <c r="H380" s="55" t="n">
        <v>1575.47</v>
      </c>
      <c r="I380" s="53" t="n">
        <v>39</v>
      </c>
      <c r="J380" s="53" t="n">
        <v>32</v>
      </c>
      <c r="K380" s="53" t="n">
        <v>74</v>
      </c>
      <c r="L380" s="53" t="n">
        <v>95</v>
      </c>
      <c r="M380" s="33">
        <f>F380-E380</f>
        <v/>
      </c>
      <c r="N380" s="33">
        <f>L380-K380</f>
        <v/>
      </c>
    </row>
    <row r="381">
      <c r="A381" s="58" t="inlineStr">
        <is>
          <t>50002 Lushka Liquors</t>
        </is>
      </c>
      <c r="B381" s="58" t="inlineStr">
        <is>
          <t>Bergen</t>
        </is>
      </c>
      <c r="C381" s="58" t="inlineStr">
        <is>
          <t>Phil Ernst</t>
        </is>
      </c>
      <c r="D381" s="58" t="inlineStr">
        <is>
          <t>Off-premise</t>
        </is>
      </c>
      <c r="E381" s="53" t="n">
        <v>326</v>
      </c>
      <c r="F381" s="53" t="n">
        <v>514</v>
      </c>
      <c r="G381" s="55" t="n">
        <v>2961.08</v>
      </c>
      <c r="H381" s="55" t="n">
        <v>4641.160000000001</v>
      </c>
      <c r="I381" s="53" t="n">
        <v>27</v>
      </c>
      <c r="J381" s="53" t="n">
        <v>33</v>
      </c>
      <c r="K381" s="53" t="n">
        <v>41</v>
      </c>
      <c r="L381" s="53" t="n">
        <v>62</v>
      </c>
      <c r="M381" s="33">
        <f>F381-E381</f>
        <v/>
      </c>
      <c r="N381" s="33">
        <f>L381-K381</f>
        <v/>
      </c>
    </row>
    <row r="382">
      <c r="A382" s="58" t="inlineStr">
        <is>
          <t>12056 PF Changs China Bistro (Wayne)</t>
        </is>
      </c>
      <c r="B382" s="58" t="inlineStr">
        <is>
          <t>Passaic</t>
        </is>
      </c>
      <c r="C382" s="58" t="inlineStr">
        <is>
          <t>Allison Scott</t>
        </is>
      </c>
      <c r="D382" s="58" t="inlineStr">
        <is>
          <t>On-premise</t>
        </is>
      </c>
      <c r="E382" s="53" t="n">
        <v>45</v>
      </c>
      <c r="F382" s="53" t="n">
        <v>76</v>
      </c>
      <c r="G382" s="55" t="n">
        <v>347.75</v>
      </c>
      <c r="H382" s="55" t="n">
        <v>580.96</v>
      </c>
      <c r="I382" s="53" t="n">
        <v>26</v>
      </c>
      <c r="J382" s="53" t="n">
        <v>15</v>
      </c>
      <c r="K382" s="53" t="n">
        <v>37</v>
      </c>
      <c r="L382" s="53" t="n">
        <v>57</v>
      </c>
      <c r="M382" s="33">
        <f>F382-E382</f>
        <v/>
      </c>
      <c r="N382" s="33">
        <f>L382-K382</f>
        <v/>
      </c>
    </row>
    <row r="383">
      <c r="A383" s="58" t="inlineStr">
        <is>
          <t>254003 Drinq Linq The Liquor Store</t>
        </is>
      </c>
      <c r="B383" s="58" t="inlineStr">
        <is>
          <t>Union</t>
        </is>
      </c>
      <c r="C383" s="58" t="inlineStr">
        <is>
          <t>Andrew Lundy</t>
        </is>
      </c>
      <c r="D383" s="58" t="inlineStr">
        <is>
          <t>Off-premise</t>
        </is>
      </c>
      <c r="E383" s="53" t="n">
        <v>9</v>
      </c>
      <c r="F383" s="53" t="n">
        <v>29</v>
      </c>
      <c r="G383" s="55" t="n">
        <v>84.54000000000001</v>
      </c>
      <c r="H383" s="55" t="n">
        <v>210.89</v>
      </c>
      <c r="I383" s="53" t="n">
        <v>62</v>
      </c>
      <c r="J383" s="53" t="n">
        <v>113</v>
      </c>
      <c r="K383" s="53" t="n">
        <v>9</v>
      </c>
      <c r="L383" s="53" t="n">
        <v>29</v>
      </c>
      <c r="M383" s="33">
        <f>F383-E383</f>
        <v/>
      </c>
      <c r="N383" s="33">
        <f>L383-K383</f>
        <v/>
      </c>
    </row>
    <row r="384">
      <c r="A384" s="58" t="inlineStr">
        <is>
          <t>231601 Farmstead Golf (P)</t>
        </is>
      </c>
      <c r="B384" s="58" t="inlineStr">
        <is>
          <t>Sussex</t>
        </is>
      </c>
      <c r="C384" s="58" t="inlineStr">
        <is>
          <t>Brian Sengebush</t>
        </is>
      </c>
      <c r="D384" s="58" t="inlineStr">
        <is>
          <t>On-premise</t>
        </is>
      </c>
      <c r="E384" s="53" t="n">
        <v>640</v>
      </c>
      <c r="F384" s="53" t="n">
        <v>601</v>
      </c>
      <c r="G384" s="55" t="n">
        <v>3172.25</v>
      </c>
      <c r="H384" s="55" t="n">
        <v>2905</v>
      </c>
      <c r="I384" s="53" t="n">
        <v>35</v>
      </c>
      <c r="J384" s="53" t="n">
        <v>42</v>
      </c>
      <c r="K384" s="53" t="n">
        <v>30</v>
      </c>
      <c r="L384" s="53" t="n">
        <v>50</v>
      </c>
      <c r="M384" s="33">
        <f>F384-E384</f>
        <v/>
      </c>
      <c r="N384" s="33">
        <f>L384-K384</f>
        <v/>
      </c>
    </row>
    <row r="385">
      <c r="A385" s="58" t="inlineStr">
        <is>
          <t>21001 Rocky's Liquor Store</t>
        </is>
      </c>
      <c r="B385" s="58" t="inlineStr">
        <is>
          <t>Passaic</t>
        </is>
      </c>
      <c r="C385" s="58" t="inlineStr">
        <is>
          <t>Derrick Laws</t>
        </is>
      </c>
      <c r="D385" s="58" t="inlineStr">
        <is>
          <t>Off-premise</t>
        </is>
      </c>
      <c r="E385" s="53" t="n">
        <v>1482</v>
      </c>
      <c r="F385" s="53" t="n">
        <v>1613</v>
      </c>
      <c r="G385" s="55" t="n">
        <v>11583.42</v>
      </c>
      <c r="H385" s="55" t="n">
        <v>12771.06</v>
      </c>
      <c r="I385" s="53" t="n">
        <v>34</v>
      </c>
      <c r="J385" s="53" t="n">
        <v>50</v>
      </c>
      <c r="K385" s="53" t="n">
        <v>117</v>
      </c>
      <c r="L385" s="53" t="n">
        <v>137</v>
      </c>
      <c r="M385" s="33">
        <f>F385-E385</f>
        <v/>
      </c>
      <c r="N385" s="33">
        <f>L385-K385</f>
        <v/>
      </c>
    </row>
    <row r="386">
      <c r="A386" s="58" t="inlineStr">
        <is>
          <t>171335 Latino's Liquor (P)</t>
        </is>
      </c>
      <c r="B386" s="58" t="inlineStr">
        <is>
          <t>Hudson</t>
        </is>
      </c>
      <c r="C386" s="58" t="inlineStr">
        <is>
          <t>Dylan Rubino</t>
        </is>
      </c>
      <c r="D386" s="58" t="inlineStr">
        <is>
          <t>Off-premise</t>
        </is>
      </c>
      <c r="E386" s="53" t="n">
        <v>18</v>
      </c>
      <c r="F386" s="53" t="n">
        <v>38</v>
      </c>
      <c r="G386" s="55" t="n">
        <v>143.05</v>
      </c>
      <c r="H386" s="55" t="n">
        <v>286.21</v>
      </c>
      <c r="I386" s="53" t="n">
        <v>24</v>
      </c>
      <c r="J386" s="53" t="n">
        <v>15</v>
      </c>
      <c r="K386" s="53" t="n">
        <v>18</v>
      </c>
      <c r="L386" s="53" t="n">
        <v>38</v>
      </c>
      <c r="M386" s="33">
        <f>F386-E386</f>
        <v/>
      </c>
      <c r="N386" s="33">
        <f>L386-K386</f>
        <v/>
      </c>
    </row>
    <row r="387">
      <c r="A387" s="58" t="inlineStr">
        <is>
          <t>178010 Weehawken Deli &amp; Liquor</t>
        </is>
      </c>
      <c r="B387" s="58" t="inlineStr">
        <is>
          <t>Hudson</t>
        </is>
      </c>
      <c r="C387" s="58" t="inlineStr">
        <is>
          <t>Dylan Rubino</t>
        </is>
      </c>
      <c r="D387" s="58" t="inlineStr">
        <is>
          <t>Off-premise</t>
        </is>
      </c>
      <c r="E387" s="53" t="n">
        <v>34</v>
      </c>
      <c r="F387" s="53" t="n">
        <v>54</v>
      </c>
      <c r="G387" s="55" t="n">
        <v>222.64</v>
      </c>
      <c r="H387" s="55" t="n">
        <v>365.98</v>
      </c>
      <c r="I387" s="53" t="n">
        <v>17</v>
      </c>
      <c r="J387" s="53" t="n">
        <v>11</v>
      </c>
      <c r="K387" s="53" t="n">
        <v>34</v>
      </c>
      <c r="L387" s="53" t="n">
        <v>54</v>
      </c>
      <c r="M387" s="33">
        <f>F387-E387</f>
        <v/>
      </c>
      <c r="N387" s="33">
        <f>L387-K387</f>
        <v/>
      </c>
    </row>
    <row r="388">
      <c r="A388" s="58" t="inlineStr">
        <is>
          <t>28004 Schuyler Food</t>
        </is>
      </c>
      <c r="B388" s="58" t="inlineStr">
        <is>
          <t>Bergen</t>
        </is>
      </c>
      <c r="C388" s="58" t="inlineStr">
        <is>
          <t>Jim Heaney</t>
        </is>
      </c>
      <c r="D388" s="58" t="inlineStr">
        <is>
          <t>Off-premise</t>
        </is>
      </c>
      <c r="E388" s="53" t="n">
        <v>855</v>
      </c>
      <c r="F388" s="53" t="n">
        <v>903</v>
      </c>
      <c r="G388" s="55" t="n">
        <v>5954.83</v>
      </c>
      <c r="H388" s="55" t="n">
        <v>6459.130000000001</v>
      </c>
      <c r="I388" s="53" t="n">
        <v>119</v>
      </c>
      <c r="J388" s="53" t="n">
        <v>90</v>
      </c>
      <c r="K388" s="53" t="n">
        <v>74</v>
      </c>
      <c r="L388" s="53" t="n">
        <v>94</v>
      </c>
      <c r="M388" s="33">
        <f>F388-E388</f>
        <v/>
      </c>
      <c r="N388" s="33">
        <f>L388-K388</f>
        <v/>
      </c>
    </row>
    <row r="389">
      <c r="A389" s="58" t="inlineStr">
        <is>
          <t>61003 White Beeches Golf Club</t>
        </is>
      </c>
      <c r="B389" s="58" t="inlineStr">
        <is>
          <t>Bergen</t>
        </is>
      </c>
      <c r="C389" s="58" t="inlineStr">
        <is>
          <t>Paul Mclaughlin</t>
        </is>
      </c>
      <c r="D389" s="58" t="inlineStr">
        <is>
          <t>On-premise</t>
        </is>
      </c>
      <c r="E389" s="53" t="n">
        <v>304</v>
      </c>
      <c r="F389" s="53" t="n">
        <v>294</v>
      </c>
      <c r="G389" s="55" t="n">
        <v>2379.64</v>
      </c>
      <c r="H389" s="55" t="n">
        <v>2355.98</v>
      </c>
      <c r="I389" s="53" t="n">
        <v>53</v>
      </c>
      <c r="J389" s="53" t="n">
        <v>90</v>
      </c>
      <c r="K389" s="53" t="n">
        <v>72</v>
      </c>
      <c r="L389" s="53" t="n">
        <v>92</v>
      </c>
      <c r="M389" s="33">
        <f>F389-E389</f>
        <v/>
      </c>
      <c r="N389" s="33">
        <f>L389-K389</f>
        <v/>
      </c>
    </row>
    <row r="390">
      <c r="A390" s="58" t="inlineStr">
        <is>
          <t>192156 Hapgoods Restaurant</t>
        </is>
      </c>
      <c r="B390" s="58" t="inlineStr">
        <is>
          <t>Morris</t>
        </is>
      </c>
      <c r="C390" s="58" t="inlineStr">
        <is>
          <t>Robin Feldman</t>
        </is>
      </c>
      <c r="D390" s="58" t="inlineStr">
        <is>
          <t>On-premise</t>
        </is>
      </c>
      <c r="E390" s="53" t="n">
        <v>83</v>
      </c>
      <c r="F390" s="53" t="n">
        <v>123</v>
      </c>
      <c r="G390" s="55" t="n">
        <v>691.3299999999999</v>
      </c>
      <c r="H390" s="55" t="n">
        <v>1176.92</v>
      </c>
      <c r="I390" s="53" t="n">
        <v>25</v>
      </c>
      <c r="J390" s="53" t="n">
        <v>84</v>
      </c>
      <c r="K390" s="53" t="n">
        <v>49</v>
      </c>
      <c r="L390" s="53" t="n">
        <v>69</v>
      </c>
      <c r="M390" s="33">
        <f>F390-E390</f>
        <v/>
      </c>
      <c r="N390" s="33">
        <f>L390-K390</f>
        <v/>
      </c>
    </row>
    <row r="391">
      <c r="A391" s="58" t="inlineStr">
        <is>
          <t>31009 Vesta Wood Fired Pizza</t>
        </is>
      </c>
      <c r="B391" s="58" t="inlineStr">
        <is>
          <t>Bergen</t>
        </is>
      </c>
      <c r="C391" s="58" t="inlineStr">
        <is>
          <t>Robin Feldman</t>
        </is>
      </c>
      <c r="D391" s="58" t="inlineStr">
        <is>
          <t>On-premise</t>
        </is>
      </c>
      <c r="E391" s="53" t="n">
        <v>78</v>
      </c>
      <c r="F391" s="53" t="n">
        <v>110</v>
      </c>
      <c r="G391" s="55" t="n">
        <v>716.64</v>
      </c>
      <c r="H391" s="55" t="n">
        <v>969.7800000000001</v>
      </c>
      <c r="I391" s="53" t="n">
        <v>4</v>
      </c>
      <c r="J391" s="53" t="n">
        <v>25</v>
      </c>
      <c r="K391" s="53" t="n">
        <v>24</v>
      </c>
      <c r="L391" s="53" t="n">
        <v>44</v>
      </c>
      <c r="M391" s="33">
        <f>F391-E391</f>
        <v/>
      </c>
      <c r="N391" s="33">
        <f>L391-K391</f>
        <v/>
      </c>
    </row>
    <row r="392">
      <c r="A392" s="58" t="inlineStr">
        <is>
          <t>250147 Rye House Spirits</t>
        </is>
      </c>
      <c r="B392" s="58" t="inlineStr">
        <is>
          <t>Union</t>
        </is>
      </c>
      <c r="C392" s="58" t="inlineStr">
        <is>
          <t>Alex Rodriguez</t>
        </is>
      </c>
      <c r="D392" s="58" t="inlineStr">
        <is>
          <t>Off-premise</t>
        </is>
      </c>
      <c r="E392" s="53" t="n">
        <v>9</v>
      </c>
      <c r="F392" s="53" t="n">
        <v>28</v>
      </c>
      <c r="G392" s="55" t="n">
        <v>71.53</v>
      </c>
      <c r="H392" s="55" t="n">
        <v>214.58</v>
      </c>
      <c r="I392" s="53" t="n">
        <v>25</v>
      </c>
      <c r="J392" s="53" t="n">
        <v>42</v>
      </c>
      <c r="K392" s="53" t="n">
        <v>9</v>
      </c>
      <c r="L392" s="53" t="n">
        <v>28</v>
      </c>
      <c r="M392" s="33">
        <f>F392-E392</f>
        <v/>
      </c>
      <c r="N392" s="33">
        <f>L392-K392</f>
        <v/>
      </c>
    </row>
    <row r="393">
      <c r="A393" s="58" t="inlineStr">
        <is>
          <t>170205 Buy-Rite Liquors</t>
        </is>
      </c>
      <c r="B393" s="58" t="inlineStr">
        <is>
          <t>Hudson</t>
        </is>
      </c>
      <c r="C393" s="58" t="inlineStr">
        <is>
          <t>Alisa Acciardi</t>
        </is>
      </c>
      <c r="D393" s="58" t="inlineStr">
        <is>
          <t>Off-premise</t>
        </is>
      </c>
      <c r="E393" s="53" t="n">
        <v>66</v>
      </c>
      <c r="F393" s="53" t="n">
        <v>85</v>
      </c>
      <c r="G393" s="55" t="n">
        <v>463.75</v>
      </c>
      <c r="H393" s="55" t="n">
        <v>640.36</v>
      </c>
      <c r="I393" s="53" t="n">
        <v>380</v>
      </c>
      <c r="J393" s="53" t="n">
        <v>324</v>
      </c>
      <c r="K393" s="53" t="n">
        <v>66</v>
      </c>
      <c r="L393" s="53" t="n">
        <v>85</v>
      </c>
      <c r="M393" s="33">
        <f>F393-E393</f>
        <v/>
      </c>
      <c r="N393" s="33">
        <f>L393-K393</f>
        <v/>
      </c>
    </row>
    <row r="394">
      <c r="A394" s="58" t="inlineStr">
        <is>
          <t>8004 The Side Door (P)</t>
        </is>
      </c>
      <c r="B394" s="58" t="inlineStr">
        <is>
          <t>Passaic</t>
        </is>
      </c>
      <c r="C394" s="58" t="inlineStr">
        <is>
          <t>Allison Scott</t>
        </is>
      </c>
      <c r="D394" s="58" t="inlineStr">
        <is>
          <t>On-premise</t>
        </is>
      </c>
      <c r="E394" s="53" t="n">
        <v>323</v>
      </c>
      <c r="F394" s="53" t="n">
        <v>354</v>
      </c>
      <c r="G394" s="55" t="n">
        <v>2672.440000000001</v>
      </c>
      <c r="H394" s="55" t="n">
        <v>3131.41</v>
      </c>
      <c r="I394" s="53" t="n">
        <v>51</v>
      </c>
      <c r="J394" s="53" t="n">
        <v>47</v>
      </c>
      <c r="K394" s="53" t="n">
        <v>3</v>
      </c>
      <c r="L394" s="53" t="n">
        <v>22</v>
      </c>
      <c r="M394" s="33">
        <f>F394-E394</f>
        <v/>
      </c>
      <c r="N394" s="33">
        <f>L394-K394</f>
        <v/>
      </c>
    </row>
    <row r="395">
      <c r="A395" s="58" t="inlineStr">
        <is>
          <t>250115 Food Express</t>
        </is>
      </c>
      <c r="B395" s="58" t="inlineStr">
        <is>
          <t>Union</t>
        </is>
      </c>
      <c r="C395" s="58" t="inlineStr">
        <is>
          <t>Andrew Lundy</t>
        </is>
      </c>
      <c r="D395" s="58" t="inlineStr">
        <is>
          <t>Off-premise</t>
        </is>
      </c>
      <c r="E395" s="53" t="n">
        <v>9</v>
      </c>
      <c r="F395" s="53" t="n">
        <v>28</v>
      </c>
      <c r="G395" s="55" t="n">
        <v>84.03</v>
      </c>
      <c r="H395" s="55" t="n">
        <v>214.58</v>
      </c>
      <c r="I395" s="53" t="n">
        <v>45</v>
      </c>
      <c r="J395" s="53" t="n">
        <v>0</v>
      </c>
      <c r="K395" s="53" t="n">
        <v>9</v>
      </c>
      <c r="L395" s="53" t="n">
        <v>28</v>
      </c>
      <c r="M395" s="33">
        <f>F395-E395</f>
        <v/>
      </c>
      <c r="N395" s="33">
        <f>L395-K395</f>
        <v/>
      </c>
    </row>
    <row r="396">
      <c r="A396" s="58" t="inlineStr">
        <is>
          <t>191103 Whistle Stop (P)</t>
        </is>
      </c>
      <c r="B396" s="58" t="inlineStr">
        <is>
          <t>Morris</t>
        </is>
      </c>
      <c r="C396" s="58" t="inlineStr">
        <is>
          <t>Anthony Palmisano</t>
        </is>
      </c>
      <c r="D396" s="58" t="inlineStr">
        <is>
          <t>On-premise</t>
        </is>
      </c>
      <c r="E396" s="53" t="n">
        <v>522</v>
      </c>
      <c r="F396" s="53" t="n">
        <v>531</v>
      </c>
      <c r="G396" s="55" t="n">
        <v>3570.17</v>
      </c>
      <c r="H396" s="55" t="n">
        <v>3824.01</v>
      </c>
      <c r="I396" s="53" t="n">
        <v>147</v>
      </c>
      <c r="J396" s="53" t="n">
        <v>144</v>
      </c>
      <c r="K396" s="53" t="n">
        <v>57</v>
      </c>
      <c r="L396" s="53" t="n">
        <v>76</v>
      </c>
      <c r="M396" s="33">
        <f>F396-E396</f>
        <v/>
      </c>
      <c r="N396" s="33">
        <f>L396-K396</f>
        <v/>
      </c>
    </row>
    <row r="397">
      <c r="A397" s="58" t="inlineStr">
        <is>
          <t>231302 Thirsty Farmer</t>
        </is>
      </c>
      <c r="B397" s="58" t="inlineStr">
        <is>
          <t>Sussex</t>
        </is>
      </c>
      <c r="C397" s="58" t="inlineStr">
        <is>
          <t>Anthony Palmisano</t>
        </is>
      </c>
      <c r="D397" s="58" t="inlineStr">
        <is>
          <t>On-premise</t>
        </is>
      </c>
      <c r="E397" s="53" t="n">
        <v>675</v>
      </c>
      <c r="F397" s="53" t="n">
        <v>655</v>
      </c>
      <c r="G397" s="55" t="n">
        <v>4184.15</v>
      </c>
      <c r="H397" s="55" t="n">
        <v>4154.44</v>
      </c>
      <c r="I397" s="53" t="n">
        <v>48</v>
      </c>
      <c r="J397" s="53" t="n">
        <v>55</v>
      </c>
      <c r="K397" s="53" t="n">
        <v>17</v>
      </c>
      <c r="L397" s="53" t="n">
        <v>36</v>
      </c>
      <c r="M397" s="33">
        <f>F397-E397</f>
        <v/>
      </c>
      <c r="N397" s="33">
        <f>L397-K397</f>
        <v/>
      </c>
    </row>
    <row r="398">
      <c r="A398" s="58" t="inlineStr">
        <is>
          <t>190217 Nostrana Ristorante</t>
        </is>
      </c>
      <c r="B398" s="58" t="inlineStr">
        <is>
          <t>Morris</t>
        </is>
      </c>
      <c r="C398" s="58" t="inlineStr">
        <is>
          <t>Brian Sengebush</t>
        </is>
      </c>
      <c r="D398" s="58" t="inlineStr">
        <is>
          <t>On-premise</t>
        </is>
      </c>
      <c r="E398" s="53" t="n">
        <v>8</v>
      </c>
      <c r="F398" s="53" t="n">
        <v>27</v>
      </c>
      <c r="G398" s="55" t="n">
        <v>58.99</v>
      </c>
      <c r="H398" s="55" t="n">
        <v>189.8</v>
      </c>
      <c r="I398" s="53" t="n">
        <v>0</v>
      </c>
      <c r="J398" s="53" t="n">
        <v>0</v>
      </c>
      <c r="K398" s="53" t="n">
        <v>8</v>
      </c>
      <c r="L398" s="53" t="n">
        <v>27</v>
      </c>
      <c r="M398" s="33">
        <f>F398-E398</f>
        <v/>
      </c>
      <c r="N398" s="33">
        <f>L398-K398</f>
        <v/>
      </c>
    </row>
    <row r="399">
      <c r="A399" s="58" t="inlineStr">
        <is>
          <t>38019 Circle Liquors</t>
        </is>
      </c>
      <c r="B399" s="58" t="inlineStr">
        <is>
          <t>Bergen</t>
        </is>
      </c>
      <c r="C399" s="58" t="inlineStr">
        <is>
          <t>Chris Payton</t>
        </is>
      </c>
      <c r="D399" s="58" t="inlineStr">
        <is>
          <t>Off-premise</t>
        </is>
      </c>
      <c r="E399" s="53" t="n">
        <v>907</v>
      </c>
      <c r="F399" s="53" t="n">
        <v>968</v>
      </c>
      <c r="G399" s="55" t="n">
        <v>6398.66</v>
      </c>
      <c r="H399" s="55" t="n">
        <v>7542.16</v>
      </c>
      <c r="I399" s="53" t="n">
        <v>172</v>
      </c>
      <c r="J399" s="53" t="n">
        <v>163</v>
      </c>
      <c r="K399" s="53" t="n">
        <v>112</v>
      </c>
      <c r="L399" s="53" t="n">
        <v>131</v>
      </c>
      <c r="M399" s="33">
        <f>F399-E399</f>
        <v/>
      </c>
      <c r="N399" s="33">
        <f>L399-K399</f>
        <v/>
      </c>
    </row>
    <row r="400">
      <c r="A400" s="58" t="inlineStr">
        <is>
          <t>38001 JR Sports Bar &amp; Liquors(Z)</t>
        </is>
      </c>
      <c r="B400" s="58" t="inlineStr">
        <is>
          <t>Bergen</t>
        </is>
      </c>
      <c r="C400" s="58" t="inlineStr">
        <is>
          <t>Chris Payton</t>
        </is>
      </c>
      <c r="D400" s="58" t="inlineStr">
        <is>
          <t>Off-premise</t>
        </is>
      </c>
      <c r="E400" s="53" t="n">
        <v>1091</v>
      </c>
      <c r="F400" s="53" t="n">
        <v>1153</v>
      </c>
      <c r="G400" s="55" t="n">
        <v>9511.250000000002</v>
      </c>
      <c r="H400" s="55" t="n">
        <v>10388.9</v>
      </c>
      <c r="I400" s="53" t="n">
        <v>67</v>
      </c>
      <c r="J400" s="53" t="n">
        <v>66</v>
      </c>
      <c r="K400" s="53" t="n">
        <v>136</v>
      </c>
      <c r="L400" s="53" t="n">
        <v>155</v>
      </c>
      <c r="M400" s="33">
        <f>F400-E400</f>
        <v/>
      </c>
      <c r="N400" s="33">
        <f>L400-K400</f>
        <v/>
      </c>
    </row>
    <row r="401">
      <c r="A401" s="58" t="inlineStr">
        <is>
          <t>40017 Essex St Liquor and Wine</t>
        </is>
      </c>
      <c r="B401" s="58" t="inlineStr">
        <is>
          <t>Bergen</t>
        </is>
      </c>
      <c r="C401" s="58" t="inlineStr">
        <is>
          <t>Dave Ehlers</t>
        </is>
      </c>
      <c r="D401" s="58" t="inlineStr">
        <is>
          <t>Off-premise</t>
        </is>
      </c>
      <c r="E401" s="53" t="n">
        <v>2590</v>
      </c>
      <c r="F401" s="53" t="n">
        <v>2355</v>
      </c>
      <c r="G401" s="55" t="n">
        <v>17789.23</v>
      </c>
      <c r="H401" s="55" t="n">
        <v>16000.81</v>
      </c>
      <c r="I401" s="53" t="n">
        <v>471</v>
      </c>
      <c r="J401" s="53" t="n">
        <v>350</v>
      </c>
      <c r="K401" s="53" t="n">
        <v>395</v>
      </c>
      <c r="L401" s="53" t="n">
        <v>414</v>
      </c>
      <c r="M401" s="33">
        <f>F401-E401</f>
        <v/>
      </c>
      <c r="N401" s="33">
        <f>L401-K401</f>
        <v/>
      </c>
    </row>
    <row r="402">
      <c r="A402" s="58" t="inlineStr">
        <is>
          <t>170195 Pena Liquor (P)</t>
        </is>
      </c>
      <c r="B402" s="58" t="inlineStr">
        <is>
          <t>Hudson</t>
        </is>
      </c>
      <c r="C402" s="58" t="inlineStr">
        <is>
          <t>Dylan Rubino</t>
        </is>
      </c>
      <c r="D402" s="58" t="inlineStr">
        <is>
          <t>Off-premise</t>
        </is>
      </c>
      <c r="E402" s="53" t="n">
        <v>30</v>
      </c>
      <c r="F402" s="53" t="n">
        <v>49</v>
      </c>
      <c r="G402" s="55" t="n">
        <v>188.66</v>
      </c>
      <c r="H402" s="55" t="n">
        <v>309.19</v>
      </c>
      <c r="I402" s="53" t="n">
        <v>5</v>
      </c>
      <c r="J402" s="53" t="n">
        <v>5</v>
      </c>
      <c r="K402" s="53" t="n">
        <v>30</v>
      </c>
      <c r="L402" s="53" t="n">
        <v>49</v>
      </c>
      <c r="M402" s="33">
        <f>F402-E402</f>
        <v/>
      </c>
      <c r="N402" s="33">
        <f>L402-K402</f>
        <v/>
      </c>
    </row>
    <row r="403">
      <c r="A403" s="58" t="inlineStr">
        <is>
          <t>171346 Crown Liquor</t>
        </is>
      </c>
      <c r="B403" s="58" t="inlineStr">
        <is>
          <t>Hudson</t>
        </is>
      </c>
      <c r="C403" s="58" t="inlineStr">
        <is>
          <t>Dylan Rubino</t>
        </is>
      </c>
      <c r="D403" s="58" t="inlineStr">
        <is>
          <t>Off-premise</t>
        </is>
      </c>
      <c r="E403" s="53" t="n">
        <v>29</v>
      </c>
      <c r="F403" s="53" t="n">
        <v>48</v>
      </c>
      <c r="G403" s="55" t="n">
        <v>211.79</v>
      </c>
      <c r="H403" s="55" t="n">
        <v>322.98</v>
      </c>
      <c r="I403" s="53" t="n">
        <v>23</v>
      </c>
      <c r="J403" s="53" t="n">
        <v>25</v>
      </c>
      <c r="K403" s="53" t="n">
        <v>29</v>
      </c>
      <c r="L403" s="53" t="n">
        <v>48</v>
      </c>
      <c r="M403" s="33">
        <f>F403-E403</f>
        <v/>
      </c>
      <c r="N403" s="33">
        <f>L403-K403</f>
        <v/>
      </c>
    </row>
    <row r="404">
      <c r="A404" s="58" t="inlineStr">
        <is>
          <t>150177 Tonys Liquor Store</t>
        </is>
      </c>
      <c r="B404" s="58" t="inlineStr">
        <is>
          <t>Essex</t>
        </is>
      </c>
      <c r="C404" s="58" t="inlineStr">
        <is>
          <t>Hakan Sadik</t>
        </is>
      </c>
      <c r="D404" s="58" t="inlineStr">
        <is>
          <t>Off-premise</t>
        </is>
      </c>
      <c r="E404" s="53" t="n">
        <v>0</v>
      </c>
      <c r="F404" s="53" t="n">
        <v>19</v>
      </c>
      <c r="G404" s="55" t="n">
        <v>0</v>
      </c>
      <c r="H404" s="55" t="n">
        <v>140.19</v>
      </c>
      <c r="I404" s="53" t="n">
        <v>0</v>
      </c>
      <c r="J404" s="53" t="n">
        <v>59</v>
      </c>
      <c r="K404" s="53" t="n">
        <v>0</v>
      </c>
      <c r="L404" s="53" t="n">
        <v>19</v>
      </c>
      <c r="M404" s="33">
        <f>F404-E404</f>
        <v/>
      </c>
      <c r="N404" s="33">
        <f>L404-K404</f>
        <v/>
      </c>
    </row>
    <row r="405">
      <c r="A405" s="58" t="inlineStr">
        <is>
          <t>173041 Blue Ribbon Wine/Liq/Groc</t>
        </is>
      </c>
      <c r="B405" s="58" t="inlineStr">
        <is>
          <t>Hudson</t>
        </is>
      </c>
      <c r="C405" s="58" t="inlineStr">
        <is>
          <t>Jaime Colonna</t>
        </is>
      </c>
      <c r="D405" s="58" t="inlineStr">
        <is>
          <t>Off-premise</t>
        </is>
      </c>
      <c r="E405" s="53" t="n">
        <v>9</v>
      </c>
      <c r="F405" s="53" t="n">
        <v>28</v>
      </c>
      <c r="G405" s="55" t="n">
        <v>64.40000000000001</v>
      </c>
      <c r="H405" s="55" t="n">
        <v>214.66</v>
      </c>
      <c r="I405" s="53" t="n">
        <v>74</v>
      </c>
      <c r="J405" s="53" t="n">
        <v>124</v>
      </c>
      <c r="K405" s="53" t="n">
        <v>9</v>
      </c>
      <c r="L405" s="53" t="n">
        <v>28</v>
      </c>
      <c r="M405" s="33">
        <f>F405-E405</f>
        <v/>
      </c>
      <c r="N405" s="33">
        <f>L405-K405</f>
        <v/>
      </c>
    </row>
    <row r="406">
      <c r="A406" s="58" t="inlineStr">
        <is>
          <t>20117 El Cantaro Liquors</t>
        </is>
      </c>
      <c r="B406" s="58" t="inlineStr">
        <is>
          <t>Passaic</t>
        </is>
      </c>
      <c r="C406" s="58" t="inlineStr">
        <is>
          <t>Javier Melo</t>
        </is>
      </c>
      <c r="D406" s="58" t="inlineStr">
        <is>
          <t>Unmatched</t>
        </is>
      </c>
      <c r="E406" s="53" t="n">
        <v>1474</v>
      </c>
      <c r="F406" s="53" t="n">
        <v>1396</v>
      </c>
      <c r="G406" s="55" t="n">
        <v>9634.67</v>
      </c>
      <c r="H406" s="55" t="n">
        <v>9769.620000000001</v>
      </c>
      <c r="I406" s="53" t="n">
        <v>29</v>
      </c>
      <c r="J406" s="53" t="n">
        <v>57</v>
      </c>
      <c r="K406" s="53" t="n">
        <v>90</v>
      </c>
      <c r="L406" s="53" t="n">
        <v>109</v>
      </c>
      <c r="M406" s="33">
        <f>F406-E406</f>
        <v/>
      </c>
      <c r="N406" s="33">
        <f>L406-K406</f>
        <v/>
      </c>
    </row>
    <row r="407">
      <c r="A407" s="58" t="inlineStr">
        <is>
          <t>42010 Little Ferry Wines/Liquor</t>
        </is>
      </c>
      <c r="B407" s="58" t="inlineStr">
        <is>
          <t>Bergen</t>
        </is>
      </c>
      <c r="C407" s="58" t="inlineStr">
        <is>
          <t>Matt Powierski</t>
        </is>
      </c>
      <c r="D407" s="58" t="inlineStr">
        <is>
          <t>Off-premise</t>
        </is>
      </c>
      <c r="E407" s="53" t="n">
        <v>1135</v>
      </c>
      <c r="F407" s="53" t="n">
        <v>1049</v>
      </c>
      <c r="G407" s="55" t="n">
        <v>8846.750000000002</v>
      </c>
      <c r="H407" s="55" t="n">
        <v>8514.77</v>
      </c>
      <c r="I407" s="53" t="n">
        <v>127</v>
      </c>
      <c r="J407" s="53" t="n">
        <v>142</v>
      </c>
      <c r="K407" s="53" t="n">
        <v>124</v>
      </c>
      <c r="L407" s="53" t="n">
        <v>143</v>
      </c>
      <c r="M407" s="33">
        <f>F407-E407</f>
        <v/>
      </c>
      <c r="N407" s="33">
        <f>L407-K407</f>
        <v/>
      </c>
    </row>
    <row r="408">
      <c r="A408" s="58" t="inlineStr">
        <is>
          <t>31039 Yard House 8390</t>
        </is>
      </c>
      <c r="B408" s="58" t="inlineStr">
        <is>
          <t>Bergen</t>
        </is>
      </c>
      <c r="C408" s="58" t="inlineStr">
        <is>
          <t>Nick Melissari</t>
        </is>
      </c>
      <c r="D408" s="58" t="inlineStr">
        <is>
          <t>On-premise</t>
        </is>
      </c>
      <c r="E408" s="53" t="n">
        <v>886</v>
      </c>
      <c r="F408" s="53" t="n">
        <v>957</v>
      </c>
      <c r="G408" s="55" t="n">
        <v>6192.800000000001</v>
      </c>
      <c r="H408" s="55" t="n">
        <v>6908.210000000001</v>
      </c>
      <c r="I408" s="53" t="n">
        <v>1192</v>
      </c>
      <c r="J408" s="53" t="n">
        <v>1165</v>
      </c>
      <c r="K408" s="53" t="n">
        <v>342</v>
      </c>
      <c r="L408" s="53" t="n">
        <v>361</v>
      </c>
      <c r="M408" s="33">
        <f>F408-E408</f>
        <v/>
      </c>
      <c r="N408" s="33">
        <f>L408-K408</f>
        <v/>
      </c>
    </row>
    <row r="409">
      <c r="A409" s="58" t="inlineStr">
        <is>
          <t>71001 Peppercorn's</t>
        </is>
      </c>
      <c r="B409" s="58" t="inlineStr">
        <is>
          <t>Bergen</t>
        </is>
      </c>
      <c r="C409" s="58" t="inlineStr">
        <is>
          <t>Paul Mclaughlin</t>
        </is>
      </c>
      <c r="D409" s="58" t="inlineStr">
        <is>
          <t>On-premise</t>
        </is>
      </c>
      <c r="E409" s="53" t="n">
        <v>142</v>
      </c>
      <c r="F409" s="53" t="n">
        <v>172</v>
      </c>
      <c r="G409" s="55" t="n">
        <v>937.3200000000001</v>
      </c>
      <c r="H409" s="55" t="n">
        <v>1216.4</v>
      </c>
      <c r="I409" s="53" t="n">
        <v>98</v>
      </c>
      <c r="J409" s="53" t="n">
        <v>99</v>
      </c>
      <c r="K409" s="53" t="n">
        <v>4</v>
      </c>
      <c r="L409" s="53" t="n">
        <v>23</v>
      </c>
      <c r="M409" s="33">
        <f>F409-E409</f>
        <v/>
      </c>
      <c r="N409" s="33">
        <f>L409-K409</f>
        <v/>
      </c>
    </row>
    <row r="410">
      <c r="A410" s="58" t="inlineStr">
        <is>
          <t>70003 Montvale Wines &amp; Spirits</t>
        </is>
      </c>
      <c r="B410" s="58" t="inlineStr">
        <is>
          <t>Bergen</t>
        </is>
      </c>
      <c r="C410" s="58" t="inlineStr">
        <is>
          <t>Shane Barreca</t>
        </is>
      </c>
      <c r="D410" s="58" t="inlineStr">
        <is>
          <t>Off-premise</t>
        </is>
      </c>
      <c r="E410" s="53" t="n">
        <v>484</v>
      </c>
      <c r="F410" s="53" t="n">
        <v>694</v>
      </c>
      <c r="G410" s="55" t="n">
        <v>4043.849999999999</v>
      </c>
      <c r="H410" s="55" t="n">
        <v>5310.450000000001</v>
      </c>
      <c r="I410" s="53" t="n">
        <v>174</v>
      </c>
      <c r="J410" s="53" t="n">
        <v>193</v>
      </c>
      <c r="K410" s="53" t="n">
        <v>110</v>
      </c>
      <c r="L410" s="53" t="n">
        <v>129</v>
      </c>
      <c r="M410" s="33">
        <f>F410-E410</f>
        <v/>
      </c>
      <c r="N410" s="33">
        <f>L410-K410</f>
        <v/>
      </c>
    </row>
    <row r="411">
      <c r="A411" s="58" t="inlineStr">
        <is>
          <t>9003 B &amp; B Wine&amp;Liq</t>
        </is>
      </c>
      <c r="B411" s="58" t="inlineStr">
        <is>
          <t>Morris</t>
        </is>
      </c>
      <c r="C411" s="58" t="inlineStr">
        <is>
          <t>Anthony Palmisano</t>
        </is>
      </c>
      <c r="D411" s="58" t="inlineStr">
        <is>
          <t>Off-premise</t>
        </is>
      </c>
      <c r="E411" s="53" t="n">
        <v>2264</v>
      </c>
      <c r="F411" s="53" t="n">
        <v>2063</v>
      </c>
      <c r="G411" s="55" t="n">
        <v>15359.3</v>
      </c>
      <c r="H411" s="55" t="n">
        <v>14339.63</v>
      </c>
      <c r="I411" s="53" t="n">
        <v>409</v>
      </c>
      <c r="J411" s="53" t="n">
        <v>459</v>
      </c>
      <c r="K411" s="53" t="n">
        <v>202</v>
      </c>
      <c r="L411" s="53" t="n">
        <v>220</v>
      </c>
      <c r="M411" s="33">
        <f>F411-E411</f>
        <v/>
      </c>
      <c r="N411" s="33">
        <f>L411-K411</f>
        <v/>
      </c>
    </row>
    <row r="412">
      <c r="A412" s="58" t="inlineStr">
        <is>
          <t>231304 The Lamp Post Inn</t>
        </is>
      </c>
      <c r="B412" s="58" t="inlineStr">
        <is>
          <t>Sussex</t>
        </is>
      </c>
      <c r="C412" s="58" t="inlineStr">
        <is>
          <t>Anthony Palmisano</t>
        </is>
      </c>
      <c r="D412" s="58" t="inlineStr">
        <is>
          <t>On-premise</t>
        </is>
      </c>
      <c r="E412" s="53" t="n">
        <v>413</v>
      </c>
      <c r="F412" s="53" t="n">
        <v>289</v>
      </c>
      <c r="G412" s="55" t="n">
        <v>3400.66</v>
      </c>
      <c r="H412" s="55" t="n">
        <v>2436.88</v>
      </c>
      <c r="I412" s="53" t="n">
        <v>99</v>
      </c>
      <c r="J412" s="53" t="n">
        <v>51</v>
      </c>
      <c r="K412" s="53" t="n">
        <v>8</v>
      </c>
      <c r="L412" s="53" t="n">
        <v>26</v>
      </c>
      <c r="M412" s="33">
        <f>F412-E412</f>
        <v/>
      </c>
      <c r="N412" s="33">
        <f>L412-K412</f>
        <v/>
      </c>
    </row>
    <row r="413">
      <c r="A413" s="58" t="inlineStr">
        <is>
          <t>76018 Krauszer Liquor</t>
        </is>
      </c>
      <c r="B413" s="58" t="inlineStr">
        <is>
          <t>Bergen</t>
        </is>
      </c>
      <c r="C413" s="58" t="inlineStr">
        <is>
          <t>Chris Payton</t>
        </is>
      </c>
      <c r="D413" s="58" t="inlineStr">
        <is>
          <t>Off-premise</t>
        </is>
      </c>
      <c r="E413" s="53" t="n">
        <v>1444</v>
      </c>
      <c r="F413" s="53" t="n">
        <v>1482</v>
      </c>
      <c r="G413" s="55" t="n">
        <v>9913.059999999999</v>
      </c>
      <c r="H413" s="55" t="n">
        <v>10554.65</v>
      </c>
      <c r="I413" s="53" t="n">
        <v>263</v>
      </c>
      <c r="J413" s="53" t="n">
        <v>339</v>
      </c>
      <c r="K413" s="53" t="n">
        <v>193</v>
      </c>
      <c r="L413" s="53" t="n">
        <v>211</v>
      </c>
      <c r="M413" s="33">
        <f>F413-E413</f>
        <v/>
      </c>
      <c r="N413" s="33">
        <f>L413-K413</f>
        <v/>
      </c>
    </row>
    <row r="414">
      <c r="A414" s="58" t="inlineStr">
        <is>
          <t>47009 Iga Supermarkets (A)</t>
        </is>
      </c>
      <c r="B414" s="58" t="inlineStr">
        <is>
          <t>Bergen</t>
        </is>
      </c>
      <c r="C414" s="58" t="inlineStr">
        <is>
          <t>Chris Payton</t>
        </is>
      </c>
      <c r="D414" s="58" t="inlineStr">
        <is>
          <t>Off-premise</t>
        </is>
      </c>
      <c r="E414" s="53" t="n">
        <v>256</v>
      </c>
      <c r="F414" s="53" t="n">
        <v>300</v>
      </c>
      <c r="G414" s="55" t="n">
        <v>2236.62</v>
      </c>
      <c r="H414" s="55" t="n">
        <v>2567.83</v>
      </c>
      <c r="I414" s="53" t="n">
        <v>37</v>
      </c>
      <c r="J414" s="53" t="n">
        <v>45</v>
      </c>
      <c r="K414" s="53" t="n">
        <v>37</v>
      </c>
      <c r="L414" s="53" t="n">
        <v>55</v>
      </c>
      <c r="M414" s="33">
        <f>F414-E414</f>
        <v/>
      </c>
      <c r="N414" s="33">
        <f>L414-K414</f>
        <v/>
      </c>
    </row>
    <row r="415">
      <c r="A415" s="58" t="inlineStr">
        <is>
          <t>170198 Heights Liquors</t>
        </is>
      </c>
      <c r="B415" s="58" t="inlineStr">
        <is>
          <t>Hudson</t>
        </is>
      </c>
      <c r="C415" s="58" t="inlineStr">
        <is>
          <t>Dylan Rubino</t>
        </is>
      </c>
      <c r="D415" s="58" t="inlineStr">
        <is>
          <t>Off-premise</t>
        </is>
      </c>
      <c r="E415" s="53" t="n">
        <v>10</v>
      </c>
      <c r="F415" s="53" t="n">
        <v>28</v>
      </c>
      <c r="G415" s="55" t="n">
        <v>70.62</v>
      </c>
      <c r="H415" s="55" t="n">
        <v>212.25</v>
      </c>
      <c r="I415" s="53" t="n">
        <v>27</v>
      </c>
      <c r="J415" s="53" t="n">
        <v>72</v>
      </c>
      <c r="K415" s="53" t="n">
        <v>10</v>
      </c>
      <c r="L415" s="53" t="n">
        <v>28</v>
      </c>
      <c r="M415" s="33">
        <f>F415-E415</f>
        <v/>
      </c>
      <c r="N415" s="33">
        <f>L415-K415</f>
        <v/>
      </c>
    </row>
    <row r="416">
      <c r="A416" s="58" t="inlineStr">
        <is>
          <t>23007 Field Liquors (A)</t>
        </is>
      </c>
      <c r="B416" s="58" t="inlineStr">
        <is>
          <t>Passaic</t>
        </is>
      </c>
      <c r="C416" s="58" t="inlineStr">
        <is>
          <t>Jim Heaney</t>
        </is>
      </c>
      <c r="D416" s="58" t="inlineStr">
        <is>
          <t>Off-premise</t>
        </is>
      </c>
      <c r="E416" s="53" t="n">
        <v>959</v>
      </c>
      <c r="F416" s="53" t="n">
        <v>652</v>
      </c>
      <c r="G416" s="55" t="n">
        <v>6895.84</v>
      </c>
      <c r="H416" s="55" t="n">
        <v>4632.58</v>
      </c>
      <c r="I416" s="53" t="n">
        <v>181</v>
      </c>
      <c r="J416" s="53" t="n">
        <v>145</v>
      </c>
      <c r="K416" s="53" t="n">
        <v>118</v>
      </c>
      <c r="L416" s="53" t="n">
        <v>136</v>
      </c>
      <c r="M416" s="33">
        <f>F416-E416</f>
        <v/>
      </c>
      <c r="N416" s="33">
        <f>L416-K416</f>
        <v/>
      </c>
    </row>
    <row r="417">
      <c r="A417" s="58" t="inlineStr">
        <is>
          <t>191826 Bottle King (Z) Chatham</t>
        </is>
      </c>
      <c r="B417" s="58" t="inlineStr">
        <is>
          <t>Morris</t>
        </is>
      </c>
      <c r="C417" s="58" t="inlineStr">
        <is>
          <t>John O'Donoghue</t>
        </is>
      </c>
      <c r="D417" s="58" t="inlineStr">
        <is>
          <t>Unmatched</t>
        </is>
      </c>
      <c r="E417" s="53" t="n">
        <v>27</v>
      </c>
      <c r="F417" s="53" t="n">
        <v>45</v>
      </c>
      <c r="G417" s="55" t="n">
        <v>201.82</v>
      </c>
      <c r="H417" s="55" t="n">
        <v>317.7</v>
      </c>
      <c r="I417" s="53" t="n">
        <v>494</v>
      </c>
      <c r="J417" s="53" t="n">
        <v>429</v>
      </c>
      <c r="K417" s="53" t="n">
        <v>27</v>
      </c>
      <c r="L417" s="53" t="n">
        <v>45</v>
      </c>
      <c r="M417" s="33">
        <f>F417-E417</f>
        <v/>
      </c>
      <c r="N417" s="33">
        <f>L417-K417</f>
        <v/>
      </c>
    </row>
    <row r="418">
      <c r="A418" s="58" t="inlineStr">
        <is>
          <t>190603 Denville W &amp; L</t>
        </is>
      </c>
      <c r="B418" s="58" t="inlineStr">
        <is>
          <t>Morris</t>
        </is>
      </c>
      <c r="C418" s="58" t="inlineStr">
        <is>
          <t>Klejdi Lamo</t>
        </is>
      </c>
      <c r="D418" s="58" t="inlineStr">
        <is>
          <t>Off-premise</t>
        </is>
      </c>
      <c r="E418" s="53" t="n">
        <v>1426</v>
      </c>
      <c r="F418" s="53" t="n">
        <v>1376</v>
      </c>
      <c r="G418" s="55" t="n">
        <v>10428.08</v>
      </c>
      <c r="H418" s="55" t="n">
        <v>10077.63</v>
      </c>
      <c r="I418" s="53" t="n">
        <v>377</v>
      </c>
      <c r="J418" s="53" t="n">
        <v>419</v>
      </c>
      <c r="K418" s="53" t="n">
        <v>190</v>
      </c>
      <c r="L418" s="53" t="n">
        <v>208</v>
      </c>
      <c r="M418" s="33">
        <f>F418-E418</f>
        <v/>
      </c>
      <c r="N418" s="33">
        <f>L418-K418</f>
        <v/>
      </c>
    </row>
    <row r="419">
      <c r="A419" s="58" t="inlineStr">
        <is>
          <t>1003 23 liquor &amp; Tobacco</t>
        </is>
      </c>
      <c r="B419" s="58" t="inlineStr">
        <is>
          <t>Passaic</t>
        </is>
      </c>
      <c r="C419" s="58" t="inlineStr">
        <is>
          <t>Klejdi Lamo</t>
        </is>
      </c>
      <c r="D419" s="58" t="inlineStr">
        <is>
          <t>Unmatched</t>
        </is>
      </c>
      <c r="E419" s="53" t="n">
        <v>251</v>
      </c>
      <c r="F419" s="53" t="n">
        <v>300</v>
      </c>
      <c r="G419" s="55" t="n">
        <v>1765.51</v>
      </c>
      <c r="H419" s="55" t="n">
        <v>2262.17</v>
      </c>
      <c r="I419" s="53" t="n">
        <v>28</v>
      </c>
      <c r="J419" s="53" t="n">
        <v>66</v>
      </c>
      <c r="K419" s="53" t="n">
        <v>38</v>
      </c>
      <c r="L419" s="53" t="n">
        <v>56</v>
      </c>
      <c r="M419" s="33">
        <f>F419-E419</f>
        <v/>
      </c>
      <c r="N419" s="33">
        <f>L419-K419</f>
        <v/>
      </c>
    </row>
    <row r="420">
      <c r="A420" s="58" t="inlineStr">
        <is>
          <t>84015 The Office 2131 Ridgewood</t>
        </is>
      </c>
      <c r="B420" s="58" t="inlineStr">
        <is>
          <t>Bergen</t>
        </is>
      </c>
      <c r="C420" s="58" t="inlineStr">
        <is>
          <t>Mike Ast</t>
        </is>
      </c>
      <c r="D420" s="58" t="inlineStr">
        <is>
          <t>On-premise</t>
        </is>
      </c>
      <c r="E420" s="53" t="n">
        <v>116</v>
      </c>
      <c r="F420" s="53" t="n">
        <v>139</v>
      </c>
      <c r="G420" s="55" t="n">
        <v>975.58</v>
      </c>
      <c r="H420" s="55" t="n">
        <v>1056.98</v>
      </c>
      <c r="I420" s="53" t="n">
        <v>69</v>
      </c>
      <c r="J420" s="53" t="n">
        <v>119</v>
      </c>
      <c r="K420" s="53" t="n">
        <v>38</v>
      </c>
      <c r="L420" s="53" t="n">
        <v>56</v>
      </c>
      <c r="M420" s="33">
        <f>F420-E420</f>
        <v/>
      </c>
      <c r="N420" s="33">
        <f>L420-K420</f>
        <v/>
      </c>
    </row>
    <row r="421">
      <c r="A421" s="58" t="inlineStr">
        <is>
          <t>31059 Apres Cafe</t>
        </is>
      </c>
      <c r="B421" s="58" t="inlineStr">
        <is>
          <t>Bergen</t>
        </is>
      </c>
      <c r="C421" s="58" t="inlineStr">
        <is>
          <t>Nick Melissari</t>
        </is>
      </c>
      <c r="D421" s="58" t="inlineStr">
        <is>
          <t>On-premise</t>
        </is>
      </c>
      <c r="E421" s="53" t="n">
        <v>0</v>
      </c>
      <c r="F421" s="53" t="n">
        <v>56</v>
      </c>
      <c r="G421" s="55" t="n">
        <v>0</v>
      </c>
      <c r="H421" s="55" t="n">
        <v>441.42</v>
      </c>
      <c r="I421" s="53" t="n">
        <v>0</v>
      </c>
      <c r="J421" s="53" t="n">
        <v>39</v>
      </c>
      <c r="K421" s="53" t="n">
        <v>0</v>
      </c>
      <c r="L421" s="53" t="n">
        <v>18</v>
      </c>
      <c r="M421" s="33">
        <f>F421-E421</f>
        <v/>
      </c>
      <c r="N421" s="33">
        <f>L421-K421</f>
        <v/>
      </c>
    </row>
    <row r="422">
      <c r="A422" s="58" t="inlineStr">
        <is>
          <t>88002 Nellie's Place (P)</t>
        </is>
      </c>
      <c r="B422" s="58" t="inlineStr">
        <is>
          <t>Bergen</t>
        </is>
      </c>
      <c r="C422" s="58" t="inlineStr">
        <is>
          <t>Nick Melissari</t>
        </is>
      </c>
      <c r="D422" s="58" t="inlineStr">
        <is>
          <t>On-premise</t>
        </is>
      </c>
      <c r="E422" s="53" t="n">
        <v>433</v>
      </c>
      <c r="F422" s="53" t="n">
        <v>467</v>
      </c>
      <c r="G422" s="55" t="n">
        <v>2855.27</v>
      </c>
      <c r="H422" s="55" t="n">
        <v>3281.88</v>
      </c>
      <c r="I422" s="53" t="n">
        <v>145</v>
      </c>
      <c r="J422" s="53" t="n">
        <v>122</v>
      </c>
      <c r="K422" s="53" t="n">
        <v>64</v>
      </c>
      <c r="L422" s="53" t="n">
        <v>82</v>
      </c>
      <c r="M422" s="33">
        <f>F422-E422</f>
        <v/>
      </c>
      <c r="N422" s="33">
        <f>L422-K422</f>
        <v/>
      </c>
    </row>
    <row r="423">
      <c r="A423" s="58" t="inlineStr">
        <is>
          <t>94013 Portobello Feasts</t>
        </is>
      </c>
      <c r="B423" s="58" t="inlineStr">
        <is>
          <t>Bergen</t>
        </is>
      </c>
      <c r="C423" s="58" t="inlineStr">
        <is>
          <t>Nick Melissari</t>
        </is>
      </c>
      <c r="D423" s="58" t="inlineStr">
        <is>
          <t>On-premise</t>
        </is>
      </c>
      <c r="E423" s="53" t="n">
        <v>113</v>
      </c>
      <c r="F423" s="53" t="n">
        <v>171</v>
      </c>
      <c r="G423" s="55" t="n">
        <v>1122.07</v>
      </c>
      <c r="H423" s="55" t="n">
        <v>1382.25</v>
      </c>
      <c r="I423" s="53" t="n">
        <v>30</v>
      </c>
      <c r="J423" s="53" t="n">
        <v>39</v>
      </c>
      <c r="K423" s="53" t="n">
        <v>27</v>
      </c>
      <c r="L423" s="53" t="n">
        <v>45</v>
      </c>
      <c r="M423" s="33">
        <f>F423-E423</f>
        <v/>
      </c>
      <c r="N423" s="33">
        <f>L423-K423</f>
        <v/>
      </c>
    </row>
    <row r="424">
      <c r="A424" s="58" t="inlineStr">
        <is>
          <t>60004 La Taberna Steak House</t>
        </is>
      </c>
      <c r="B424" s="58" t="inlineStr">
        <is>
          <t>Bergen</t>
        </is>
      </c>
      <c r="C424" s="58" t="inlineStr">
        <is>
          <t>Paul Mclaughlin</t>
        </is>
      </c>
      <c r="D424" s="58" t="inlineStr">
        <is>
          <t>On-premise</t>
        </is>
      </c>
      <c r="E424" s="53" t="n">
        <v>59</v>
      </c>
      <c r="F424" s="53" t="n">
        <v>74</v>
      </c>
      <c r="G424" s="55" t="n">
        <v>590.8000000000001</v>
      </c>
      <c r="H424" s="55" t="n">
        <v>734.6699999999998</v>
      </c>
      <c r="I424" s="53" t="n">
        <v>9</v>
      </c>
      <c r="J424" s="53" t="n">
        <v>21</v>
      </c>
      <c r="K424" s="53" t="n">
        <v>0</v>
      </c>
      <c r="L424" s="53" t="n">
        <v>18</v>
      </c>
      <c r="M424" s="33">
        <f>F424-E424</f>
        <v/>
      </c>
      <c r="N424" s="33">
        <f>L424-K424</f>
        <v/>
      </c>
    </row>
    <row r="425">
      <c r="A425" s="58" t="inlineStr">
        <is>
          <t>12043 Outback Stkhse(P)Wayne</t>
        </is>
      </c>
      <c r="B425" s="58" t="inlineStr">
        <is>
          <t>Passaic</t>
        </is>
      </c>
      <c r="C425" s="58" t="inlineStr">
        <is>
          <t>Allison Scott</t>
        </is>
      </c>
      <c r="D425" s="58" t="inlineStr">
        <is>
          <t>On-premise</t>
        </is>
      </c>
      <c r="E425" s="53" t="n">
        <v>93</v>
      </c>
      <c r="F425" s="53" t="n">
        <v>101</v>
      </c>
      <c r="G425" s="55" t="n">
        <v>655.01</v>
      </c>
      <c r="H425" s="55" t="n">
        <v>917.1500000000001</v>
      </c>
      <c r="I425" s="53" t="n">
        <v>85</v>
      </c>
      <c r="J425" s="53" t="n">
        <v>111</v>
      </c>
      <c r="K425" s="53" t="n">
        <v>14</v>
      </c>
      <c r="L425" s="53" t="n">
        <v>31</v>
      </c>
      <c r="M425" s="33">
        <f>F425-E425</f>
        <v/>
      </c>
      <c r="N425" s="33">
        <f>L425-K425</f>
        <v/>
      </c>
    </row>
    <row r="426">
      <c r="A426" s="58" t="inlineStr">
        <is>
          <t>1035 Old School Pub P)</t>
        </is>
      </c>
      <c r="B426" s="58" t="inlineStr">
        <is>
          <t>Passaic</t>
        </is>
      </c>
      <c r="C426" s="58" t="inlineStr">
        <is>
          <t>Anthony Palmisano</t>
        </is>
      </c>
      <c r="D426" s="58" t="inlineStr">
        <is>
          <t>On-premise</t>
        </is>
      </c>
      <c r="E426" s="53" t="n">
        <v>563</v>
      </c>
      <c r="F426" s="53" t="n">
        <v>570</v>
      </c>
      <c r="G426" s="55" t="n">
        <v>4217.38</v>
      </c>
      <c r="H426" s="55" t="n">
        <v>3932.98</v>
      </c>
      <c r="I426" s="53" t="n">
        <v>154</v>
      </c>
      <c r="J426" s="53" t="n">
        <v>230</v>
      </c>
      <c r="K426" s="53" t="n">
        <v>37</v>
      </c>
      <c r="L426" s="53" t="n">
        <v>54</v>
      </c>
      <c r="M426" s="33">
        <f>F426-E426</f>
        <v/>
      </c>
      <c r="N426" s="33">
        <f>L426-K426</f>
        <v/>
      </c>
    </row>
    <row r="427">
      <c r="A427" s="58" t="inlineStr">
        <is>
          <t>190923 Knotty Pine Pub (P)</t>
        </is>
      </c>
      <c r="B427" s="58" t="inlineStr">
        <is>
          <t>Morris</t>
        </is>
      </c>
      <c r="C427" s="58" t="inlineStr">
        <is>
          <t>Brian Sengebush</t>
        </is>
      </c>
      <c r="D427" s="58" t="inlineStr">
        <is>
          <t>On-premise</t>
        </is>
      </c>
      <c r="E427" s="53" t="n">
        <v>660</v>
      </c>
      <c r="F427" s="53" t="n">
        <v>511</v>
      </c>
      <c r="G427" s="55" t="n">
        <v>4138.75</v>
      </c>
      <c r="H427" s="55" t="n">
        <v>3438.74</v>
      </c>
      <c r="I427" s="53" t="n">
        <v>125</v>
      </c>
      <c r="J427" s="53" t="n">
        <v>54</v>
      </c>
      <c r="K427" s="53" t="n">
        <v>3</v>
      </c>
      <c r="L427" s="53" t="n">
        <v>20</v>
      </c>
      <c r="M427" s="33">
        <f>F427-E427</f>
        <v/>
      </c>
      <c r="N427" s="33">
        <f>L427-K427</f>
        <v/>
      </c>
    </row>
    <row r="428">
      <c r="A428" s="58" t="inlineStr">
        <is>
          <t>81010 Morlot W &amp; L (A)</t>
        </is>
      </c>
      <c r="B428" s="58" t="inlineStr">
        <is>
          <t>Bergen</t>
        </is>
      </c>
      <c r="C428" s="58" t="inlineStr">
        <is>
          <t>Chris Payton</t>
        </is>
      </c>
      <c r="D428" s="58" t="inlineStr">
        <is>
          <t>Off-premise</t>
        </is>
      </c>
      <c r="E428" s="53" t="n">
        <v>659</v>
      </c>
      <c r="F428" s="53" t="n">
        <v>697</v>
      </c>
      <c r="G428" s="55" t="n">
        <v>4875.25</v>
      </c>
      <c r="H428" s="55" t="n">
        <v>5227.529999999999</v>
      </c>
      <c r="I428" s="53" t="n">
        <v>104</v>
      </c>
      <c r="J428" s="53" t="n">
        <v>68</v>
      </c>
      <c r="K428" s="53" t="n">
        <v>95</v>
      </c>
      <c r="L428" s="53" t="n">
        <v>112</v>
      </c>
      <c r="M428" s="33">
        <f>F428-E428</f>
        <v/>
      </c>
      <c r="N428" s="33">
        <f>L428-K428</f>
        <v/>
      </c>
    </row>
    <row r="429">
      <c r="A429" s="58" t="inlineStr">
        <is>
          <t>170099 Columbia Park Liquors</t>
        </is>
      </c>
      <c r="B429" s="58" t="inlineStr">
        <is>
          <t>Hudson</t>
        </is>
      </c>
      <c r="C429" s="58" t="inlineStr">
        <is>
          <t>Dylan Rubino</t>
        </is>
      </c>
      <c r="D429" s="58" t="inlineStr">
        <is>
          <t>Off-premise</t>
        </is>
      </c>
      <c r="E429" s="53" t="n">
        <v>44</v>
      </c>
      <c r="F429" s="53" t="n">
        <v>61</v>
      </c>
      <c r="G429" s="55" t="n">
        <v>296.03</v>
      </c>
      <c r="H429" s="55" t="n">
        <v>382.13</v>
      </c>
      <c r="I429" s="53" t="n">
        <v>266</v>
      </c>
      <c r="J429" s="53" t="n">
        <v>194</v>
      </c>
      <c r="K429" s="53" t="n">
        <v>44</v>
      </c>
      <c r="L429" s="53" t="n">
        <v>61</v>
      </c>
      <c r="M429" s="33">
        <f>F429-E429</f>
        <v/>
      </c>
      <c r="N429" s="33">
        <f>L429-K429</f>
        <v/>
      </c>
    </row>
    <row r="430">
      <c r="A430" s="58" t="inlineStr">
        <is>
          <t>170151 Cool Vines</t>
        </is>
      </c>
      <c r="B430" s="58" t="inlineStr">
        <is>
          <t>Hudson</t>
        </is>
      </c>
      <c r="C430" s="58" t="inlineStr">
        <is>
          <t>Dylan Rubino</t>
        </is>
      </c>
      <c r="D430" s="58" t="inlineStr">
        <is>
          <t>Off-premise</t>
        </is>
      </c>
      <c r="E430" s="53" t="n">
        <v>0</v>
      </c>
      <c r="F430" s="53" t="n">
        <v>17</v>
      </c>
      <c r="G430" s="55" t="n">
        <v>0</v>
      </c>
      <c r="H430" s="55" t="n">
        <v>126.22</v>
      </c>
      <c r="I430" s="53" t="n">
        <v>237</v>
      </c>
      <c r="J430" s="53" t="n">
        <v>306</v>
      </c>
      <c r="K430" s="53" t="n">
        <v>0</v>
      </c>
      <c r="L430" s="53" t="n">
        <v>17</v>
      </c>
      <c r="M430" s="33">
        <f>F430-E430</f>
        <v/>
      </c>
      <c r="N430" s="33">
        <f>L430-K430</f>
        <v/>
      </c>
    </row>
    <row r="431">
      <c r="A431" s="58" t="inlineStr">
        <is>
          <t>150055 Bottle King Livingston</t>
        </is>
      </c>
      <c r="B431" s="58" t="inlineStr">
        <is>
          <t>Essex</t>
        </is>
      </c>
      <c r="C431" s="58" t="inlineStr">
        <is>
          <t>Hakan Sadik</t>
        </is>
      </c>
      <c r="D431" s="58" t="inlineStr">
        <is>
          <t>Off-premise</t>
        </is>
      </c>
      <c r="E431" s="53" t="n">
        <v>126</v>
      </c>
      <c r="F431" s="53" t="n">
        <v>143</v>
      </c>
      <c r="G431" s="55" t="n">
        <v>759.36</v>
      </c>
      <c r="H431" s="55" t="n">
        <v>904.1799999999999</v>
      </c>
      <c r="I431" s="53" t="n">
        <v>907</v>
      </c>
      <c r="J431" s="53" t="n">
        <v>809</v>
      </c>
      <c r="K431" s="53" t="n">
        <v>126</v>
      </c>
      <c r="L431" s="53" t="n">
        <v>143</v>
      </c>
      <c r="M431" s="33">
        <f>F431-E431</f>
        <v/>
      </c>
      <c r="N431" s="33">
        <f>L431-K431</f>
        <v/>
      </c>
    </row>
    <row r="432">
      <c r="A432" s="58" t="inlineStr">
        <is>
          <t>172015 Daniels Wine And Liq</t>
        </is>
      </c>
      <c r="B432" s="58" t="inlineStr">
        <is>
          <t>Hudson</t>
        </is>
      </c>
      <c r="C432" s="58" t="inlineStr">
        <is>
          <t>Jaime Colonna</t>
        </is>
      </c>
      <c r="D432" s="58" t="inlineStr">
        <is>
          <t>Off-premise</t>
        </is>
      </c>
      <c r="E432" s="53" t="n">
        <v>0</v>
      </c>
      <c r="F432" s="53" t="n">
        <v>17</v>
      </c>
      <c r="G432" s="55" t="n">
        <v>0</v>
      </c>
      <c r="H432" s="55" t="n">
        <v>136.31</v>
      </c>
      <c r="I432" s="53" t="n">
        <v>0</v>
      </c>
      <c r="J432" s="53" t="n">
        <v>45</v>
      </c>
      <c r="K432" s="53" t="n">
        <v>0</v>
      </c>
      <c r="L432" s="53" t="n">
        <v>17</v>
      </c>
      <c r="M432" s="33">
        <f>F432-E432</f>
        <v/>
      </c>
      <c r="N432" s="33">
        <f>L432-K432</f>
        <v/>
      </c>
    </row>
    <row r="433">
      <c r="A433" s="58" t="inlineStr">
        <is>
          <t>49047 LaNoma Italian Steakhouse</t>
        </is>
      </c>
      <c r="B433" s="58" t="inlineStr">
        <is>
          <t>Bergen</t>
        </is>
      </c>
      <c r="C433" s="58" t="inlineStr">
        <is>
          <t>Nick Melissari</t>
        </is>
      </c>
      <c r="D433" s="58" t="inlineStr">
        <is>
          <t>Unmatched</t>
        </is>
      </c>
      <c r="E433" s="53" t="n">
        <v>0</v>
      </c>
      <c r="F433" s="53" t="n">
        <v>17</v>
      </c>
      <c r="G433" s="55" t="n">
        <v>0</v>
      </c>
      <c r="H433" s="55" t="n">
        <v>140.71</v>
      </c>
      <c r="I433" s="53" t="n">
        <v>0</v>
      </c>
      <c r="J433" s="53" t="n">
        <v>2</v>
      </c>
      <c r="K433" s="53" t="n">
        <v>0</v>
      </c>
      <c r="L433" s="53" t="n">
        <v>17</v>
      </c>
      <c r="M433" s="33">
        <f>F433-E433</f>
        <v/>
      </c>
      <c r="N433" s="33">
        <f>L433-K433</f>
        <v/>
      </c>
    </row>
    <row r="434">
      <c r="A434" s="58" t="inlineStr">
        <is>
          <t>49059 Outback Steakhouse(Z)Edg</t>
        </is>
      </c>
      <c r="B434" s="58" t="inlineStr">
        <is>
          <t>Bergen</t>
        </is>
      </c>
      <c r="C434" s="58" t="inlineStr">
        <is>
          <t>Nick Melissari</t>
        </is>
      </c>
      <c r="D434" s="58" t="inlineStr">
        <is>
          <t>On-premise</t>
        </is>
      </c>
      <c r="E434" s="53" t="n">
        <v>101</v>
      </c>
      <c r="F434" s="53" t="n">
        <v>136</v>
      </c>
      <c r="G434" s="55" t="n">
        <v>722.6500000000001</v>
      </c>
      <c r="H434" s="55" t="n">
        <v>1069.36</v>
      </c>
      <c r="I434" s="53" t="n">
        <v>143</v>
      </c>
      <c r="J434" s="53" t="n">
        <v>99</v>
      </c>
      <c r="K434" s="53" t="n">
        <v>0</v>
      </c>
      <c r="L434" s="53" t="n">
        <v>17</v>
      </c>
      <c r="M434" s="33">
        <f>F434-E434</f>
        <v/>
      </c>
      <c r="N434" s="33">
        <f>L434-K434</f>
        <v/>
      </c>
    </row>
    <row r="435">
      <c r="A435" s="58" t="inlineStr">
        <is>
          <t>54011 Knickerbocker Golf (P)</t>
        </is>
      </c>
      <c r="B435" s="58" t="inlineStr">
        <is>
          <t>Bergen</t>
        </is>
      </c>
      <c r="C435" s="58" t="inlineStr">
        <is>
          <t>Paul Mclaughlin</t>
        </is>
      </c>
      <c r="D435" s="58" t="inlineStr">
        <is>
          <t>On-premise</t>
        </is>
      </c>
      <c r="E435" s="53" t="n">
        <v>126</v>
      </c>
      <c r="F435" s="53" t="n">
        <v>149</v>
      </c>
      <c r="G435" s="55" t="n">
        <v>637.21</v>
      </c>
      <c r="H435" s="55" t="n">
        <v>660.37</v>
      </c>
      <c r="I435" s="53" t="n">
        <v>19</v>
      </c>
      <c r="J435" s="53" t="n">
        <v>34</v>
      </c>
      <c r="K435" s="53" t="n">
        <v>19</v>
      </c>
      <c r="L435" s="53" t="n">
        <v>36</v>
      </c>
      <c r="M435" s="33">
        <f>F435-E435</f>
        <v/>
      </c>
      <c r="N435" s="33">
        <f>L435-K435</f>
        <v/>
      </c>
    </row>
    <row r="436">
      <c r="A436" s="58" t="inlineStr">
        <is>
          <t>171305 Liquoram Of Kearny</t>
        </is>
      </c>
      <c r="B436" s="58" t="inlineStr">
        <is>
          <t>Hudson</t>
        </is>
      </c>
      <c r="C436" s="58" t="inlineStr">
        <is>
          <t>Alisa Acciardi</t>
        </is>
      </c>
      <c r="D436" s="58" t="inlineStr">
        <is>
          <t>Off-premise</t>
        </is>
      </c>
      <c r="E436" s="53" t="n">
        <v>29</v>
      </c>
      <c r="F436" s="53" t="n">
        <v>45</v>
      </c>
      <c r="G436" s="55" t="n">
        <v>208.26</v>
      </c>
      <c r="H436" s="55" t="n">
        <v>302.16</v>
      </c>
      <c r="I436" s="53" t="n">
        <v>137</v>
      </c>
      <c r="J436" s="53" t="n">
        <v>106</v>
      </c>
      <c r="K436" s="53" t="n">
        <v>29</v>
      </c>
      <c r="L436" s="53" t="n">
        <v>45</v>
      </c>
      <c r="M436" s="33">
        <f>F436-E436</f>
        <v/>
      </c>
      <c r="N436" s="33">
        <f>L436-K436</f>
        <v/>
      </c>
    </row>
    <row r="437">
      <c r="A437" s="58" t="inlineStr">
        <is>
          <t>24025 The Clif (P)</t>
        </is>
      </c>
      <c r="B437" s="58" t="inlineStr">
        <is>
          <t>Passaic</t>
        </is>
      </c>
      <c r="C437" s="58" t="inlineStr">
        <is>
          <t>Allison Scott</t>
        </is>
      </c>
      <c r="D437" s="58" t="inlineStr">
        <is>
          <t>On-premise</t>
        </is>
      </c>
      <c r="E437" s="53" t="n">
        <v>495</v>
      </c>
      <c r="F437" s="53" t="n">
        <v>597</v>
      </c>
      <c r="G437" s="55" t="n">
        <v>3631.79</v>
      </c>
      <c r="H437" s="55" t="n">
        <v>4314.43</v>
      </c>
      <c r="I437" s="53" t="n">
        <v>77</v>
      </c>
      <c r="J437" s="53" t="n">
        <v>69</v>
      </c>
      <c r="K437" s="53" t="n">
        <v>4</v>
      </c>
      <c r="L437" s="53" t="n">
        <v>20</v>
      </c>
      <c r="M437" s="33">
        <f>F437-E437</f>
        <v/>
      </c>
      <c r="N437" s="33">
        <f>L437-K437</f>
        <v/>
      </c>
    </row>
    <row r="438">
      <c r="A438" s="58" t="inlineStr">
        <is>
          <t>14003 Murph's Bar &amp; Liquor</t>
        </is>
      </c>
      <c r="B438" s="58" t="inlineStr">
        <is>
          <t>Passaic</t>
        </is>
      </c>
      <c r="C438" s="58" t="inlineStr">
        <is>
          <t>Allison Scott</t>
        </is>
      </c>
      <c r="D438" s="58" t="inlineStr">
        <is>
          <t>On-premise</t>
        </is>
      </c>
      <c r="E438" s="53" t="n">
        <v>830</v>
      </c>
      <c r="F438" s="53" t="n">
        <v>729</v>
      </c>
      <c r="G438" s="55" t="n">
        <v>5553.220000000001</v>
      </c>
      <c r="H438" s="55" t="n">
        <v>5047.7</v>
      </c>
      <c r="I438" s="53" t="n">
        <v>136</v>
      </c>
      <c r="J438" s="53" t="n">
        <v>149</v>
      </c>
      <c r="K438" s="53" t="n">
        <v>70</v>
      </c>
      <c r="L438" s="53" t="n">
        <v>86</v>
      </c>
      <c r="M438" s="33">
        <f>F438-E438</f>
        <v/>
      </c>
      <c r="N438" s="33">
        <f>L438-K438</f>
        <v/>
      </c>
    </row>
    <row r="439">
      <c r="A439" s="58" t="inlineStr">
        <is>
          <t>231213 The Kites (P)</t>
        </is>
      </c>
      <c r="B439" s="58" t="inlineStr">
        <is>
          <t>Sussex</t>
        </is>
      </c>
      <c r="C439" s="58" t="inlineStr">
        <is>
          <t>Anthony Palmisano</t>
        </is>
      </c>
      <c r="D439" s="58" t="inlineStr">
        <is>
          <t>On-premise</t>
        </is>
      </c>
      <c r="E439" s="53" t="n">
        <v>650</v>
      </c>
      <c r="F439" s="53" t="n">
        <v>669</v>
      </c>
      <c r="G439" s="55" t="n">
        <v>5356.91</v>
      </c>
      <c r="H439" s="55" t="n">
        <v>5558.59</v>
      </c>
      <c r="I439" s="53" t="n">
        <v>206</v>
      </c>
      <c r="J439" s="53" t="n">
        <v>215</v>
      </c>
      <c r="K439" s="53" t="n">
        <v>83</v>
      </c>
      <c r="L439" s="53" t="n">
        <v>99</v>
      </c>
      <c r="M439" s="33">
        <f>F439-E439</f>
        <v/>
      </c>
      <c r="N439" s="33">
        <f>L439-K439</f>
        <v/>
      </c>
    </row>
    <row r="440">
      <c r="A440" s="58" t="inlineStr">
        <is>
          <t>34001 Meadowland Wine &amp; Liquor</t>
        </is>
      </c>
      <c r="B440" s="58" t="inlineStr">
        <is>
          <t>Bergen</t>
        </is>
      </c>
      <c r="C440" s="58" t="inlineStr">
        <is>
          <t>Chris Payton</t>
        </is>
      </c>
      <c r="D440" s="58" t="inlineStr">
        <is>
          <t>Off-premise</t>
        </is>
      </c>
      <c r="E440" s="53" t="n">
        <v>720</v>
      </c>
      <c r="F440" s="53" t="n">
        <v>658</v>
      </c>
      <c r="G440" s="55" t="n">
        <v>4914.219999999999</v>
      </c>
      <c r="H440" s="55" t="n">
        <v>4823.77</v>
      </c>
      <c r="I440" s="53" t="n">
        <v>182</v>
      </c>
      <c r="J440" s="53" t="n">
        <v>159</v>
      </c>
      <c r="K440" s="53" t="n">
        <v>133</v>
      </c>
      <c r="L440" s="53" t="n">
        <v>149</v>
      </c>
      <c r="M440" s="33">
        <f>F440-E440</f>
        <v/>
      </c>
      <c r="N440" s="33">
        <f>L440-K440</f>
        <v/>
      </c>
    </row>
    <row r="441">
      <c r="A441" s="58" t="inlineStr">
        <is>
          <t>178003 Park Ave Wine &amp; Liq Gros.</t>
        </is>
      </c>
      <c r="B441" s="58" t="inlineStr">
        <is>
          <t>Hudson</t>
        </is>
      </c>
      <c r="C441" s="58" t="inlineStr">
        <is>
          <t>Dylan Rubino</t>
        </is>
      </c>
      <c r="D441" s="58" t="inlineStr">
        <is>
          <t>Off-premise</t>
        </is>
      </c>
      <c r="E441" s="53" t="n">
        <v>9</v>
      </c>
      <c r="F441" s="53" t="n">
        <v>25</v>
      </c>
      <c r="G441" s="55" t="n">
        <v>92.40000000000001</v>
      </c>
      <c r="H441" s="55" t="n">
        <v>201.91</v>
      </c>
      <c r="I441" s="53" t="n">
        <v>119</v>
      </c>
      <c r="J441" s="53" t="n">
        <v>99</v>
      </c>
      <c r="K441" s="53" t="n">
        <v>9</v>
      </c>
      <c r="L441" s="53" t="n">
        <v>25</v>
      </c>
      <c r="M441" s="33">
        <f>F441-E441</f>
        <v/>
      </c>
      <c r="N441" s="33">
        <f>L441-K441</f>
        <v/>
      </c>
    </row>
    <row r="442">
      <c r="A442" s="58" t="inlineStr">
        <is>
          <t>21021 Park Avenue Liquors</t>
        </is>
      </c>
      <c r="B442" s="58" t="inlineStr">
        <is>
          <t>Passaic</t>
        </is>
      </c>
      <c r="C442" s="58" t="inlineStr">
        <is>
          <t>Javier Melo</t>
        </is>
      </c>
      <c r="D442" s="58" t="inlineStr">
        <is>
          <t>Off-premise</t>
        </is>
      </c>
      <c r="E442" s="53" t="n">
        <v>1755</v>
      </c>
      <c r="F442" s="53" t="n">
        <v>1757</v>
      </c>
      <c r="G442" s="55" t="n">
        <v>13409.33</v>
      </c>
      <c r="H442" s="55" t="n">
        <v>13214.73</v>
      </c>
      <c r="I442" s="53" t="n">
        <v>91</v>
      </c>
      <c r="J442" s="53" t="n">
        <v>112</v>
      </c>
      <c r="K442" s="53" t="n">
        <v>110</v>
      </c>
      <c r="L442" s="53" t="n">
        <v>126</v>
      </c>
      <c r="M442" s="33">
        <f>F442-E442</f>
        <v/>
      </c>
      <c r="N442" s="33">
        <f>L442-K442</f>
        <v/>
      </c>
    </row>
    <row r="443">
      <c r="A443" s="58" t="inlineStr">
        <is>
          <t>150040 Krauser's Liquor Locker</t>
        </is>
      </c>
      <c r="B443" s="58" t="inlineStr">
        <is>
          <t>Essex</t>
        </is>
      </c>
      <c r="C443" s="58" t="inlineStr">
        <is>
          <t>Michael Harboy</t>
        </is>
      </c>
      <c r="D443" s="58" t="inlineStr">
        <is>
          <t>Off-premise</t>
        </is>
      </c>
      <c r="E443" s="53" t="n">
        <v>3</v>
      </c>
      <c r="F443" s="53" t="n">
        <v>19</v>
      </c>
      <c r="G443" s="55" t="n">
        <v>28.98</v>
      </c>
      <c r="H443" s="55" t="n">
        <v>141.46</v>
      </c>
      <c r="I443" s="53" t="n">
        <v>154</v>
      </c>
      <c r="J443" s="53" t="n">
        <v>103</v>
      </c>
      <c r="K443" s="53" t="n">
        <v>3</v>
      </c>
      <c r="L443" s="53" t="n">
        <v>19</v>
      </c>
      <c r="M443" s="33">
        <f>F443-E443</f>
        <v/>
      </c>
      <c r="N443" s="33">
        <f>L443-K443</f>
        <v/>
      </c>
    </row>
    <row r="444">
      <c r="A444" s="58" t="inlineStr">
        <is>
          <t>39018 Texas Roadhouse</t>
        </is>
      </c>
      <c r="B444" s="58" t="inlineStr">
        <is>
          <t>Bergen</t>
        </is>
      </c>
      <c r="C444" s="58" t="inlineStr">
        <is>
          <t>Nick Melissari</t>
        </is>
      </c>
      <c r="D444" s="58" t="inlineStr">
        <is>
          <t>On-premise</t>
        </is>
      </c>
      <c r="E444" s="53" t="n">
        <v>568</v>
      </c>
      <c r="F444" s="53" t="n">
        <v>607</v>
      </c>
      <c r="G444" s="55" t="n">
        <v>4012.5</v>
      </c>
      <c r="H444" s="55" t="n">
        <v>4491.42</v>
      </c>
      <c r="I444" s="53" t="n">
        <v>76</v>
      </c>
      <c r="J444" s="53" t="n">
        <v>83</v>
      </c>
      <c r="K444" s="53" t="n">
        <v>30</v>
      </c>
      <c r="L444" s="53" t="n">
        <v>46</v>
      </c>
      <c r="M444" s="33">
        <f>F444-E444</f>
        <v/>
      </c>
      <c r="N444" s="33">
        <f>L444-K444</f>
        <v/>
      </c>
    </row>
    <row r="445">
      <c r="A445" s="58" t="inlineStr">
        <is>
          <t>150016 Nutley Wine Shop</t>
        </is>
      </c>
      <c r="B445" s="58" t="inlineStr">
        <is>
          <t>Essex</t>
        </is>
      </c>
      <c r="C445" s="58" t="inlineStr">
        <is>
          <t>Alisa Acciardi</t>
        </is>
      </c>
      <c r="D445" s="58" t="inlineStr">
        <is>
          <t>Off-premise</t>
        </is>
      </c>
      <c r="E445" s="53" t="n">
        <v>10</v>
      </c>
      <c r="F445" s="53" t="n">
        <v>25</v>
      </c>
      <c r="G445" s="55" t="n">
        <v>78.68000000000001</v>
      </c>
      <c r="H445" s="55" t="n">
        <v>179.56</v>
      </c>
      <c r="I445" s="53" t="n">
        <v>373</v>
      </c>
      <c r="J445" s="53" t="n">
        <v>283</v>
      </c>
      <c r="K445" s="53" t="n">
        <v>10</v>
      </c>
      <c r="L445" s="53" t="n">
        <v>25</v>
      </c>
      <c r="M445" s="33">
        <f>F445-E445</f>
        <v/>
      </c>
      <c r="N445" s="33">
        <f>L445-K445</f>
        <v/>
      </c>
    </row>
    <row r="446">
      <c r="A446" s="58" t="inlineStr">
        <is>
          <t>150129 White Oaks Liquors</t>
        </is>
      </c>
      <c r="B446" s="58" t="inlineStr">
        <is>
          <t>Essex</t>
        </is>
      </c>
      <c r="C446" s="58" t="inlineStr">
        <is>
          <t>Alisa Acciardi</t>
        </is>
      </c>
      <c r="D446" s="58" t="inlineStr">
        <is>
          <t>Off-premise</t>
        </is>
      </c>
      <c r="E446" s="53" t="n">
        <v>9</v>
      </c>
      <c r="F446" s="53" t="n">
        <v>24</v>
      </c>
      <c r="G446" s="55" t="n">
        <v>71.53</v>
      </c>
      <c r="H446" s="55" t="n">
        <v>174.95</v>
      </c>
      <c r="I446" s="53" t="n">
        <v>171</v>
      </c>
      <c r="J446" s="53" t="n">
        <v>92</v>
      </c>
      <c r="K446" s="53" t="n">
        <v>9</v>
      </c>
      <c r="L446" s="53" t="n">
        <v>24</v>
      </c>
      <c r="M446" s="33">
        <f>F446-E446</f>
        <v/>
      </c>
      <c r="N446" s="33">
        <f>L446-K446</f>
        <v/>
      </c>
    </row>
    <row r="447">
      <c r="A447" s="58" t="inlineStr">
        <is>
          <t>12020 Lakeside Drive Tavern</t>
        </is>
      </c>
      <c r="B447" s="58" t="inlineStr">
        <is>
          <t>Passaic</t>
        </is>
      </c>
      <c r="C447" s="58" t="inlineStr">
        <is>
          <t>Allison Scott</t>
        </is>
      </c>
      <c r="D447" s="58" t="inlineStr">
        <is>
          <t>On-premise</t>
        </is>
      </c>
      <c r="E447" s="53" t="n">
        <v>0</v>
      </c>
      <c r="F447" s="53" t="n">
        <v>142</v>
      </c>
      <c r="G447" s="55" t="n">
        <v>0</v>
      </c>
      <c r="H447" s="55" t="n">
        <v>1038.56</v>
      </c>
      <c r="I447" s="53" t="n">
        <v>0</v>
      </c>
      <c r="J447" s="53" t="n">
        <v>55</v>
      </c>
      <c r="K447" s="53" t="n">
        <v>0</v>
      </c>
      <c r="L447" s="53" t="n">
        <v>15</v>
      </c>
      <c r="M447" s="33">
        <f>F447-E447</f>
        <v/>
      </c>
      <c r="N447" s="33">
        <f>L447-K447</f>
        <v/>
      </c>
    </row>
    <row r="448">
      <c r="A448" s="58" t="inlineStr">
        <is>
          <t>24038 J. Alexander's Restaurant</t>
        </is>
      </c>
      <c r="B448" s="58" t="inlineStr">
        <is>
          <t>Passaic</t>
        </is>
      </c>
      <c r="C448" s="58" t="inlineStr">
        <is>
          <t>Allison Scott</t>
        </is>
      </c>
      <c r="D448" s="58" t="inlineStr">
        <is>
          <t>On-premise</t>
        </is>
      </c>
      <c r="E448" s="53" t="n">
        <v>32</v>
      </c>
      <c r="F448" s="53" t="n">
        <v>39</v>
      </c>
      <c r="G448" s="55" t="n">
        <v>329.15</v>
      </c>
      <c r="H448" s="55" t="n">
        <v>424.0299999999999</v>
      </c>
      <c r="I448" s="53" t="n">
        <v>17</v>
      </c>
      <c r="J448" s="53" t="n">
        <v>56</v>
      </c>
      <c r="K448" s="53" t="n">
        <v>4</v>
      </c>
      <c r="L448" s="53" t="n">
        <v>19</v>
      </c>
      <c r="M448" s="33">
        <f>F448-E448</f>
        <v/>
      </c>
      <c r="N448" s="33">
        <f>L448-K448</f>
        <v/>
      </c>
    </row>
    <row r="449">
      <c r="A449" s="58" t="inlineStr">
        <is>
          <t>12061 Raeya's</t>
        </is>
      </c>
      <c r="B449" s="58" t="inlineStr">
        <is>
          <t>Passaic</t>
        </is>
      </c>
      <c r="C449" s="58" t="inlineStr">
        <is>
          <t>Allison Scott</t>
        </is>
      </c>
      <c r="D449" s="58" t="inlineStr">
        <is>
          <t>On-premise</t>
        </is>
      </c>
      <c r="E449" s="53" t="n">
        <v>0</v>
      </c>
      <c r="F449" s="53" t="n">
        <v>31</v>
      </c>
      <c r="G449" s="55" t="n">
        <v>0</v>
      </c>
      <c r="H449" s="55" t="n">
        <v>290.09</v>
      </c>
      <c r="I449" s="53" t="n">
        <v>0</v>
      </c>
      <c r="J449" s="53" t="n">
        <v>15</v>
      </c>
      <c r="K449" s="53" t="n">
        <v>0</v>
      </c>
      <c r="L449" s="53" t="n">
        <v>15</v>
      </c>
      <c r="M449" s="33">
        <f>F449-E449</f>
        <v/>
      </c>
      <c r="N449" s="33">
        <f>L449-K449</f>
        <v/>
      </c>
    </row>
    <row r="450">
      <c r="A450" s="58" t="inlineStr">
        <is>
          <t>230917 Doc's Place (P)</t>
        </is>
      </c>
      <c r="B450" s="58" t="inlineStr">
        <is>
          <t>Sussex</t>
        </is>
      </c>
      <c r="C450" s="58" t="inlineStr">
        <is>
          <t>Anthony Palmisano</t>
        </is>
      </c>
      <c r="D450" s="58" t="inlineStr">
        <is>
          <t>On-premise</t>
        </is>
      </c>
      <c r="E450" s="53" t="n">
        <v>463</v>
      </c>
      <c r="F450" s="53" t="n">
        <v>514</v>
      </c>
      <c r="G450" s="55" t="n">
        <v>2642.48</v>
      </c>
      <c r="H450" s="55" t="n">
        <v>3015.66</v>
      </c>
      <c r="I450" s="53" t="n">
        <v>42</v>
      </c>
      <c r="J450" s="53" t="n">
        <v>42</v>
      </c>
      <c r="K450" s="53" t="n">
        <v>20</v>
      </c>
      <c r="L450" s="53" t="n">
        <v>35</v>
      </c>
      <c r="M450" s="33">
        <f>F450-E450</f>
        <v/>
      </c>
      <c r="N450" s="33">
        <f>L450-K450</f>
        <v/>
      </c>
    </row>
    <row r="451">
      <c r="A451" s="58" t="inlineStr">
        <is>
          <t>190104 Black Rabbit Saloon LLC</t>
        </is>
      </c>
      <c r="B451" s="58" t="inlineStr">
        <is>
          <t>Morris</t>
        </is>
      </c>
      <c r="C451" s="58" t="inlineStr">
        <is>
          <t>Brian Sengebush</t>
        </is>
      </c>
      <c r="D451" s="58" t="inlineStr">
        <is>
          <t>On-premise</t>
        </is>
      </c>
      <c r="E451" s="53" t="n">
        <v>69</v>
      </c>
      <c r="F451" s="53" t="n">
        <v>112</v>
      </c>
      <c r="G451" s="55" t="n">
        <v>432.1200000000001</v>
      </c>
      <c r="H451" s="55" t="n">
        <v>747.77</v>
      </c>
      <c r="I451" s="53" t="n">
        <v>11</v>
      </c>
      <c r="J451" s="53" t="n">
        <v>11</v>
      </c>
      <c r="K451" s="53" t="n">
        <v>14</v>
      </c>
      <c r="L451" s="53" t="n">
        <v>29</v>
      </c>
      <c r="M451" s="33">
        <f>F451-E451</f>
        <v/>
      </c>
      <c r="N451" s="33">
        <f>L451-K451</f>
        <v/>
      </c>
    </row>
    <row r="452">
      <c r="A452" s="58" t="inlineStr">
        <is>
          <t>170013 Universal Liquors (A)</t>
        </is>
      </c>
      <c r="B452" s="58" t="inlineStr">
        <is>
          <t>Hudson</t>
        </is>
      </c>
      <c r="C452" s="58" t="inlineStr">
        <is>
          <t>Dylan Rubino</t>
        </is>
      </c>
      <c r="D452" s="58" t="inlineStr">
        <is>
          <t>Off-premise</t>
        </is>
      </c>
      <c r="E452" s="53" t="n">
        <v>39</v>
      </c>
      <c r="F452" s="53" t="n">
        <v>54</v>
      </c>
      <c r="G452" s="55" t="n">
        <v>306.74</v>
      </c>
      <c r="H452" s="55" t="n">
        <v>386.26</v>
      </c>
      <c r="I452" s="53" t="n">
        <v>99</v>
      </c>
      <c r="J452" s="53" t="n">
        <v>124</v>
      </c>
      <c r="K452" s="53" t="n">
        <v>39</v>
      </c>
      <c r="L452" s="53" t="n">
        <v>54</v>
      </c>
      <c r="M452" s="33">
        <f>F452-E452</f>
        <v/>
      </c>
      <c r="N452" s="33">
        <f>L452-K452</f>
        <v/>
      </c>
    </row>
    <row r="453">
      <c r="A453" s="58" t="inlineStr">
        <is>
          <t>170046 Palisade Wine &amp; Liquor</t>
        </is>
      </c>
      <c r="B453" s="58" t="inlineStr">
        <is>
          <t>Hudson</t>
        </is>
      </c>
      <c r="C453" s="58" t="inlineStr">
        <is>
          <t>Dylan Rubino</t>
        </is>
      </c>
      <c r="D453" s="58" t="inlineStr">
        <is>
          <t>Unmatched</t>
        </is>
      </c>
      <c r="E453" s="53" t="n">
        <v>47</v>
      </c>
      <c r="F453" s="53" t="n">
        <v>62</v>
      </c>
      <c r="G453" s="55" t="n">
        <v>338.77</v>
      </c>
      <c r="H453" s="55" t="n">
        <v>453.49</v>
      </c>
      <c r="I453" s="53" t="n">
        <v>203</v>
      </c>
      <c r="J453" s="53" t="n">
        <v>169</v>
      </c>
      <c r="K453" s="53" t="n">
        <v>47</v>
      </c>
      <c r="L453" s="53" t="n">
        <v>62</v>
      </c>
      <c r="M453" s="33">
        <f>F453-E453</f>
        <v/>
      </c>
      <c r="N453" s="33">
        <f>L453-K453</f>
        <v/>
      </c>
    </row>
    <row r="454">
      <c r="A454" s="58" t="inlineStr">
        <is>
          <t>170212 Empire Liq (P)</t>
        </is>
      </c>
      <c r="B454" s="58" t="inlineStr">
        <is>
          <t>Hudson</t>
        </is>
      </c>
      <c r="C454" s="58" t="inlineStr">
        <is>
          <t>Dylan Rubino</t>
        </is>
      </c>
      <c r="D454" s="58" t="inlineStr">
        <is>
          <t>Off-premise</t>
        </is>
      </c>
      <c r="E454" s="53" t="n">
        <v>34</v>
      </c>
      <c r="F454" s="53" t="n">
        <v>49</v>
      </c>
      <c r="G454" s="55" t="n">
        <v>224.44</v>
      </c>
      <c r="H454" s="55" t="n">
        <v>310.9</v>
      </c>
      <c r="I454" s="53" t="n">
        <v>115</v>
      </c>
      <c r="J454" s="53" t="n">
        <v>26</v>
      </c>
      <c r="K454" s="53" t="n">
        <v>34</v>
      </c>
      <c r="L454" s="53" t="n">
        <v>49</v>
      </c>
      <c r="M454" s="33">
        <f>F454-E454</f>
        <v/>
      </c>
      <c r="N454" s="33">
        <f>L454-K454</f>
        <v/>
      </c>
    </row>
    <row r="455">
      <c r="A455" s="58" t="inlineStr">
        <is>
          <t>29008 Krauszers Food</t>
        </is>
      </c>
      <c r="B455" s="58" t="inlineStr">
        <is>
          <t>Bergen</t>
        </is>
      </c>
      <c r="C455" s="58" t="inlineStr">
        <is>
          <t>Jim Heaney</t>
        </is>
      </c>
      <c r="D455" s="58" t="inlineStr">
        <is>
          <t>Off-premise</t>
        </is>
      </c>
      <c r="E455" s="53" t="n">
        <v>424</v>
      </c>
      <c r="F455" s="53" t="n">
        <v>369</v>
      </c>
      <c r="G455" s="55" t="n">
        <v>3234.350000000001</v>
      </c>
      <c r="H455" s="55" t="n">
        <v>2870.44</v>
      </c>
      <c r="I455" s="53" t="n">
        <v>31</v>
      </c>
      <c r="J455" s="53" t="n">
        <v>31</v>
      </c>
      <c r="K455" s="53" t="n">
        <v>84</v>
      </c>
      <c r="L455" s="53" t="n">
        <v>99</v>
      </c>
      <c r="M455" s="33">
        <f>F455-E455</f>
        <v/>
      </c>
      <c r="N455" s="33">
        <f>L455-K455</f>
        <v/>
      </c>
    </row>
    <row r="456">
      <c r="A456" s="58" t="inlineStr">
        <is>
          <t>190907 Wharton Liquor Store</t>
        </is>
      </c>
      <c r="B456" s="58" t="inlineStr">
        <is>
          <t>Morris</t>
        </is>
      </c>
      <c r="C456" s="58" t="inlineStr">
        <is>
          <t>Klejdi Lamo</t>
        </is>
      </c>
      <c r="D456" s="58" t="inlineStr">
        <is>
          <t>Off-premise</t>
        </is>
      </c>
      <c r="E456" s="53" t="n">
        <v>2380</v>
      </c>
      <c r="F456" s="53" t="n">
        <v>2238</v>
      </c>
      <c r="G456" s="55" t="n">
        <v>16854.45</v>
      </c>
      <c r="H456" s="55" t="n">
        <v>16603.39</v>
      </c>
      <c r="I456" s="53" t="n">
        <v>259</v>
      </c>
      <c r="J456" s="53" t="n">
        <v>311</v>
      </c>
      <c r="K456" s="53" t="n">
        <v>319</v>
      </c>
      <c r="L456" s="53" t="n">
        <v>334</v>
      </c>
      <c r="M456" s="33">
        <f>F456-E456</f>
        <v/>
      </c>
      <c r="N456" s="33">
        <f>L456-K456</f>
        <v/>
      </c>
    </row>
    <row r="457">
      <c r="A457" s="58" t="inlineStr">
        <is>
          <t>84002 GREEN WAY MARKETS</t>
        </is>
      </c>
      <c r="B457" s="58" t="inlineStr">
        <is>
          <t>Bergen</t>
        </is>
      </c>
      <c r="C457" s="58" t="inlineStr">
        <is>
          <t>Mike Ast</t>
        </is>
      </c>
      <c r="D457" s="58" t="inlineStr">
        <is>
          <t>Off-premise</t>
        </is>
      </c>
      <c r="E457" s="53" t="n">
        <v>472</v>
      </c>
      <c r="F457" s="53" t="n">
        <v>432</v>
      </c>
      <c r="G457" s="55" t="n">
        <v>3629.76</v>
      </c>
      <c r="H457" s="55" t="n">
        <v>3299.89</v>
      </c>
      <c r="I457" s="53" t="n">
        <v>207</v>
      </c>
      <c r="J457" s="53" t="n">
        <v>167</v>
      </c>
      <c r="K457" s="53" t="n">
        <v>127</v>
      </c>
      <c r="L457" s="53" t="n">
        <v>142</v>
      </c>
      <c r="M457" s="33">
        <f>F457-E457</f>
        <v/>
      </c>
      <c r="N457" s="33">
        <f>L457-K457</f>
        <v/>
      </c>
    </row>
    <row r="458">
      <c r="A458" s="58" t="inlineStr">
        <is>
          <t>93005 Mason Jar Restaurant</t>
        </is>
      </c>
      <c r="B458" s="58" t="inlineStr">
        <is>
          <t>Bergen</t>
        </is>
      </c>
      <c r="C458" s="58" t="inlineStr">
        <is>
          <t>Nick Melissari</t>
        </is>
      </c>
      <c r="D458" s="58" t="inlineStr">
        <is>
          <t>On-premise</t>
        </is>
      </c>
      <c r="E458" s="53" t="n">
        <v>370</v>
      </c>
      <c r="F458" s="53" t="n">
        <v>403</v>
      </c>
      <c r="G458" s="55" t="n">
        <v>2542.54</v>
      </c>
      <c r="H458" s="55" t="n">
        <v>3407.029999999999</v>
      </c>
      <c r="I458" s="53" t="n">
        <v>208</v>
      </c>
      <c r="J458" s="53" t="n">
        <v>174</v>
      </c>
      <c r="K458" s="53" t="n">
        <v>43</v>
      </c>
      <c r="L458" s="53" t="n">
        <v>58</v>
      </c>
      <c r="M458" s="33">
        <f>F458-E458</f>
        <v/>
      </c>
      <c r="N458" s="33">
        <f>L458-K458</f>
        <v/>
      </c>
    </row>
    <row r="459">
      <c r="A459" s="58" t="inlineStr">
        <is>
          <t>20004 Bocaditos Bistro</t>
        </is>
      </c>
      <c r="B459" s="58" t="inlineStr">
        <is>
          <t>Passaic</t>
        </is>
      </c>
      <c r="C459" s="58" t="inlineStr">
        <is>
          <t>Pablo Lopez</t>
        </is>
      </c>
      <c r="D459" s="58" t="inlineStr">
        <is>
          <t>On-premise</t>
        </is>
      </c>
      <c r="E459" s="53" t="n">
        <v>395</v>
      </c>
      <c r="F459" s="53" t="n">
        <v>473</v>
      </c>
      <c r="G459" s="55" t="n">
        <v>3448.49</v>
      </c>
      <c r="H459" s="55" t="n">
        <v>3958.27</v>
      </c>
      <c r="I459" s="53" t="n">
        <v>8</v>
      </c>
      <c r="J459" s="53" t="n">
        <v>3</v>
      </c>
      <c r="K459" s="53" t="n">
        <v>3</v>
      </c>
      <c r="L459" s="53" t="n">
        <v>18</v>
      </c>
      <c r="M459" s="33">
        <f>F459-E459</f>
        <v/>
      </c>
      <c r="N459" s="33">
        <f>L459-K459</f>
        <v/>
      </c>
    </row>
    <row r="460">
      <c r="A460" s="58" t="inlineStr">
        <is>
          <t>60002 QB's Bar and Grill</t>
        </is>
      </c>
      <c r="B460" s="58" t="inlineStr">
        <is>
          <t>Bergen</t>
        </is>
      </c>
      <c r="C460" s="58" t="inlineStr">
        <is>
          <t>Paul Mclaughlin</t>
        </is>
      </c>
      <c r="D460" s="58" t="inlineStr">
        <is>
          <t>Unmatched</t>
        </is>
      </c>
      <c r="E460" s="53" t="n">
        <v>595</v>
      </c>
      <c r="F460" s="53" t="n">
        <v>558</v>
      </c>
      <c r="G460" s="55" t="n">
        <v>3837.19</v>
      </c>
      <c r="H460" s="55" t="n">
        <v>3635.35</v>
      </c>
      <c r="I460" s="53" t="n">
        <v>60</v>
      </c>
      <c r="J460" s="53" t="n">
        <v>50</v>
      </c>
      <c r="K460" s="53" t="n">
        <v>55</v>
      </c>
      <c r="L460" s="53" t="n">
        <v>70</v>
      </c>
      <c r="M460" s="33">
        <f>F460-E460</f>
        <v/>
      </c>
      <c r="N460" s="33">
        <f>L460-K460</f>
        <v/>
      </c>
    </row>
    <row r="461">
      <c r="A461" s="58" t="inlineStr">
        <is>
          <t>85002 Acme Markets (Midland Park)</t>
        </is>
      </c>
      <c r="B461" s="58" t="inlineStr">
        <is>
          <t>Bergen</t>
        </is>
      </c>
      <c r="C461" s="58" t="inlineStr">
        <is>
          <t>Phil Ernst</t>
        </is>
      </c>
      <c r="D461" s="58" t="inlineStr">
        <is>
          <t>Unmatched</t>
        </is>
      </c>
      <c r="E461" s="53" t="n">
        <v>1797</v>
      </c>
      <c r="F461" s="53" t="n">
        <v>1598</v>
      </c>
      <c r="G461" s="55" t="n">
        <v>15371.12</v>
      </c>
      <c r="H461" s="55" t="n">
        <v>13563.74</v>
      </c>
      <c r="I461" s="53" t="n">
        <v>788</v>
      </c>
      <c r="J461" s="53" t="n">
        <v>653</v>
      </c>
      <c r="K461" s="53" t="n">
        <v>269</v>
      </c>
      <c r="L461" s="53" t="n">
        <v>284</v>
      </c>
      <c r="M461" s="33">
        <f>F461-E461</f>
        <v/>
      </c>
      <c r="N461" s="33">
        <f>L461-K461</f>
        <v/>
      </c>
    </row>
    <row r="462">
      <c r="A462" s="58" t="inlineStr">
        <is>
          <t>59003 Oradell Mini Mart(P)</t>
        </is>
      </c>
      <c r="B462" s="58" t="inlineStr">
        <is>
          <t>Bergen</t>
        </is>
      </c>
      <c r="C462" s="58" t="inlineStr">
        <is>
          <t>Shane Barreca</t>
        </is>
      </c>
      <c r="D462" s="58" t="inlineStr">
        <is>
          <t>Off-premise</t>
        </is>
      </c>
      <c r="E462" s="53" t="n">
        <v>871</v>
      </c>
      <c r="F462" s="53" t="n">
        <v>747</v>
      </c>
      <c r="G462" s="55" t="n">
        <v>6522.31</v>
      </c>
      <c r="H462" s="55" t="n">
        <v>5836.97</v>
      </c>
      <c r="I462" s="53" t="n">
        <v>73</v>
      </c>
      <c r="J462" s="53" t="n">
        <v>62</v>
      </c>
      <c r="K462" s="53" t="n">
        <v>102</v>
      </c>
      <c r="L462" s="53" t="n">
        <v>117</v>
      </c>
      <c r="M462" s="33">
        <f>F462-E462</f>
        <v/>
      </c>
      <c r="N462" s="33">
        <f>L462-K462</f>
        <v/>
      </c>
    </row>
    <row r="463">
      <c r="A463" s="58" t="inlineStr">
        <is>
          <t>250032 Rotondo's Liquor</t>
        </is>
      </c>
      <c r="B463" s="58" t="inlineStr">
        <is>
          <t>Union</t>
        </is>
      </c>
      <c r="C463" s="58" t="inlineStr">
        <is>
          <t>Andrew Lundy</t>
        </is>
      </c>
      <c r="D463" s="58" t="inlineStr">
        <is>
          <t>Off-premise</t>
        </is>
      </c>
      <c r="E463" s="53" t="n">
        <v>27</v>
      </c>
      <c r="F463" s="53" t="n">
        <v>41</v>
      </c>
      <c r="G463" s="55" t="n">
        <v>219.04</v>
      </c>
      <c r="H463" s="55" t="n">
        <v>304.31</v>
      </c>
      <c r="I463" s="53" t="n">
        <v>102</v>
      </c>
      <c r="J463" s="53" t="n">
        <v>144</v>
      </c>
      <c r="K463" s="53" t="n">
        <v>27</v>
      </c>
      <c r="L463" s="53" t="n">
        <v>41</v>
      </c>
      <c r="M463" s="33">
        <f>F463-E463</f>
        <v/>
      </c>
      <c r="N463" s="33">
        <f>L463-K463</f>
        <v/>
      </c>
    </row>
    <row r="464">
      <c r="A464" s="58" t="inlineStr">
        <is>
          <t>190807 The Club (NAFIB4-22-A-0036)</t>
        </is>
      </c>
      <c r="B464" s="58" t="inlineStr">
        <is>
          <t>Morris</t>
        </is>
      </c>
      <c r="C464" s="58" t="inlineStr">
        <is>
          <t>Brian Sengebush</t>
        </is>
      </c>
      <c r="D464" s="58" t="inlineStr">
        <is>
          <t>On-premise</t>
        </is>
      </c>
      <c r="E464" s="53" t="n">
        <v>91</v>
      </c>
      <c r="F464" s="53" t="n">
        <v>87</v>
      </c>
      <c r="G464" s="55" t="n">
        <v>649.28</v>
      </c>
      <c r="H464" s="55" t="n">
        <v>632.88</v>
      </c>
      <c r="I464" s="53" t="n">
        <v>43</v>
      </c>
      <c r="J464" s="53" t="n">
        <v>15</v>
      </c>
      <c r="K464" s="53" t="n">
        <v>0</v>
      </c>
      <c r="L464" s="53" t="n">
        <v>14</v>
      </c>
      <c r="M464" s="33">
        <f>F464-E464</f>
        <v/>
      </c>
      <c r="N464" s="33">
        <f>L464-K464</f>
        <v/>
      </c>
    </row>
    <row r="465">
      <c r="A465" s="58" t="inlineStr">
        <is>
          <t>48005 Leonia Wine &amp; Spirits</t>
        </is>
      </c>
      <c r="B465" s="58" t="inlineStr">
        <is>
          <t>Bergen</t>
        </is>
      </c>
      <c r="C465" s="58" t="inlineStr">
        <is>
          <t>Dan Lagala</t>
        </is>
      </c>
      <c r="D465" s="58" t="inlineStr">
        <is>
          <t>Off-premise</t>
        </is>
      </c>
      <c r="E465" s="53" t="n">
        <v>247</v>
      </c>
      <c r="F465" s="53" t="n">
        <v>293</v>
      </c>
      <c r="G465" s="55" t="n">
        <v>1960.21</v>
      </c>
      <c r="H465" s="55" t="n">
        <v>2395.599999999999</v>
      </c>
      <c r="I465" s="53" t="n">
        <v>87</v>
      </c>
      <c r="J465" s="53" t="n">
        <v>80</v>
      </c>
      <c r="K465" s="53" t="n">
        <v>69</v>
      </c>
      <c r="L465" s="53" t="n">
        <v>83</v>
      </c>
      <c r="M465" s="33">
        <f>F465-E465</f>
        <v/>
      </c>
      <c r="N465" s="33">
        <f>L465-K465</f>
        <v/>
      </c>
    </row>
    <row r="466">
      <c r="A466" s="58" t="inlineStr">
        <is>
          <t>49056 Hmart Fresh (P)</t>
        </is>
      </c>
      <c r="B466" s="58" t="inlineStr">
        <is>
          <t>Bergen</t>
        </is>
      </c>
      <c r="C466" s="58" t="inlineStr">
        <is>
          <t>Dan Lagala</t>
        </is>
      </c>
      <c r="D466" s="58" t="inlineStr">
        <is>
          <t>Off-premise</t>
        </is>
      </c>
      <c r="E466" s="53" t="n">
        <v>463</v>
      </c>
      <c r="F466" s="53" t="n">
        <v>442</v>
      </c>
      <c r="G466" s="55" t="n">
        <v>3723.16</v>
      </c>
      <c r="H466" s="55" t="n">
        <v>3560.24</v>
      </c>
      <c r="I466" s="53" t="n">
        <v>64</v>
      </c>
      <c r="J466" s="53" t="n">
        <v>50</v>
      </c>
      <c r="K466" s="53" t="n">
        <v>106</v>
      </c>
      <c r="L466" s="53" t="n">
        <v>120</v>
      </c>
      <c r="M466" s="33">
        <f>F466-E466</f>
        <v/>
      </c>
      <c r="N466" s="33">
        <f>L466-K466</f>
        <v/>
      </c>
    </row>
    <row r="467">
      <c r="A467" s="58" t="inlineStr">
        <is>
          <t>49069 Pho 32</t>
        </is>
      </c>
      <c r="B467" s="58" t="inlineStr">
        <is>
          <t>Bergen</t>
        </is>
      </c>
      <c r="C467" s="58" t="inlineStr">
        <is>
          <t>Dan Lagala</t>
        </is>
      </c>
      <c r="D467" s="58" t="inlineStr">
        <is>
          <t>On-premise</t>
        </is>
      </c>
      <c r="E467" s="53" t="n">
        <v>10</v>
      </c>
      <c r="F467" s="53" t="n">
        <v>19</v>
      </c>
      <c r="G467" s="55" t="n">
        <v>70.39</v>
      </c>
      <c r="H467" s="55" t="n">
        <v>214.87</v>
      </c>
      <c r="I467" s="53" t="n">
        <v>0</v>
      </c>
      <c r="J467" s="53" t="n">
        <v>13</v>
      </c>
      <c r="K467" s="53" t="n">
        <v>0</v>
      </c>
      <c r="L467" s="53" t="n">
        <v>14</v>
      </c>
      <c r="M467" s="33">
        <f>F467-E467</f>
        <v/>
      </c>
      <c r="N467" s="33">
        <f>L467-K467</f>
        <v/>
      </c>
    </row>
    <row r="468">
      <c r="A468" s="58" t="inlineStr">
        <is>
          <t>170367 Punjab Meet House</t>
        </is>
      </c>
      <c r="B468" s="58" t="inlineStr">
        <is>
          <t>Hudson</t>
        </is>
      </c>
      <c r="C468" s="58" t="inlineStr">
        <is>
          <t>Dylan Rubino</t>
        </is>
      </c>
      <c r="D468" s="58" t="inlineStr">
        <is>
          <t>On-premise</t>
        </is>
      </c>
      <c r="E468" s="53" t="n">
        <v>0</v>
      </c>
      <c r="F468" s="53" t="n">
        <v>14</v>
      </c>
      <c r="G468" s="55" t="n">
        <v>0</v>
      </c>
      <c r="H468" s="55" t="n">
        <v>138.05</v>
      </c>
      <c r="I468" s="53" t="n">
        <v>0</v>
      </c>
      <c r="J468" s="53" t="n">
        <v>9</v>
      </c>
      <c r="K468" s="53" t="n">
        <v>0</v>
      </c>
      <c r="L468" s="53" t="n">
        <v>14</v>
      </c>
      <c r="M468" s="33">
        <f>F468-E468</f>
        <v/>
      </c>
      <c r="N468" s="33">
        <f>L468-K468</f>
        <v/>
      </c>
    </row>
    <row r="469">
      <c r="A469" s="58" t="inlineStr">
        <is>
          <t>150135 Home Liquors(520 East Orange)</t>
        </is>
      </c>
      <c r="B469" s="58" t="inlineStr">
        <is>
          <t>Essex</t>
        </is>
      </c>
      <c r="C469" s="58" t="inlineStr">
        <is>
          <t>Hakan Sadik</t>
        </is>
      </c>
      <c r="D469" s="58" t="inlineStr">
        <is>
          <t>Off-premise</t>
        </is>
      </c>
      <c r="E469" s="53" t="n">
        <v>14</v>
      </c>
      <c r="F469" s="53" t="n">
        <v>28</v>
      </c>
      <c r="G469" s="55" t="n">
        <v>114.83</v>
      </c>
      <c r="H469" s="55" t="n">
        <v>214.65</v>
      </c>
      <c r="I469" s="53" t="n">
        <v>1003</v>
      </c>
      <c r="J469" s="53" t="n">
        <v>817</v>
      </c>
      <c r="K469" s="53" t="n">
        <v>14</v>
      </c>
      <c r="L469" s="53" t="n">
        <v>28</v>
      </c>
      <c r="M469" s="33">
        <f>F469-E469</f>
        <v/>
      </c>
      <c r="N469" s="33">
        <f>L469-K469</f>
        <v/>
      </c>
    </row>
    <row r="470">
      <c r="A470" s="58" t="inlineStr">
        <is>
          <t>170076 Grand View Wine &amp; Liquor</t>
        </is>
      </c>
      <c r="B470" s="58" t="inlineStr">
        <is>
          <t>Hudson</t>
        </is>
      </c>
      <c r="C470" s="58" t="inlineStr">
        <is>
          <t>Jaime Colonna</t>
        </is>
      </c>
      <c r="D470" s="58" t="inlineStr">
        <is>
          <t>Off-premise</t>
        </is>
      </c>
      <c r="E470" s="53" t="n">
        <v>0</v>
      </c>
      <c r="F470" s="53" t="n">
        <v>14</v>
      </c>
      <c r="G470" s="55" t="n">
        <v>0</v>
      </c>
      <c r="H470" s="55" t="n">
        <v>122.29</v>
      </c>
      <c r="I470" s="53" t="n">
        <v>0</v>
      </c>
      <c r="J470" s="53" t="n">
        <v>16</v>
      </c>
      <c r="K470" s="53" t="n">
        <v>0</v>
      </c>
      <c r="L470" s="53" t="n">
        <v>14</v>
      </c>
      <c r="M470" s="33">
        <f>F470-E470</f>
        <v/>
      </c>
      <c r="N470" s="33">
        <f>L470-K470</f>
        <v/>
      </c>
    </row>
    <row r="471">
      <c r="A471" s="58" t="inlineStr">
        <is>
          <t>170248 Coolvines Powerhouse</t>
        </is>
      </c>
      <c r="B471" s="58" t="inlineStr">
        <is>
          <t>Hudson</t>
        </is>
      </c>
      <c r="C471" s="58" t="inlineStr">
        <is>
          <t>Jaime Colonna</t>
        </is>
      </c>
      <c r="D471" s="58" t="inlineStr">
        <is>
          <t>Off-premise</t>
        </is>
      </c>
      <c r="E471" s="53" t="n">
        <v>0</v>
      </c>
      <c r="F471" s="53" t="n">
        <v>14</v>
      </c>
      <c r="G471" s="55" t="n">
        <v>0</v>
      </c>
      <c r="H471" s="55" t="n">
        <v>127.33</v>
      </c>
      <c r="I471" s="53" t="n">
        <v>126</v>
      </c>
      <c r="J471" s="53" t="n">
        <v>136</v>
      </c>
      <c r="K471" s="53" t="n">
        <v>0</v>
      </c>
      <c r="L471" s="53" t="n">
        <v>14</v>
      </c>
      <c r="M471" s="33">
        <f>F471-E471</f>
        <v/>
      </c>
      <c r="N471" s="33">
        <f>L471-K471</f>
        <v/>
      </c>
    </row>
    <row r="472">
      <c r="A472" s="58" t="inlineStr">
        <is>
          <t>178011 The Highwood</t>
        </is>
      </c>
      <c r="B472" s="58" t="inlineStr">
        <is>
          <t>Hudson</t>
        </is>
      </c>
      <c r="C472" s="58" t="inlineStr">
        <is>
          <t>Jaime Colonna</t>
        </is>
      </c>
      <c r="D472" s="58" t="inlineStr">
        <is>
          <t>On-premise</t>
        </is>
      </c>
      <c r="E472" s="53" t="n">
        <v>34</v>
      </c>
      <c r="F472" s="53" t="n">
        <v>48</v>
      </c>
      <c r="G472" s="55" t="n">
        <v>202.25</v>
      </c>
      <c r="H472" s="55" t="n">
        <v>277.75</v>
      </c>
      <c r="I472" s="53" t="n">
        <v>155</v>
      </c>
      <c r="J472" s="53" t="n">
        <v>337</v>
      </c>
      <c r="K472" s="53" t="n">
        <v>34</v>
      </c>
      <c r="L472" s="53" t="n">
        <v>48</v>
      </c>
      <c r="M472" s="33">
        <f>F472-E472</f>
        <v/>
      </c>
      <c r="N472" s="33">
        <f>L472-K472</f>
        <v/>
      </c>
    </row>
    <row r="473">
      <c r="A473" s="58" t="inlineStr">
        <is>
          <t>190650 Shop Rite Wines &amp; Spirits of Roxbury#832</t>
        </is>
      </c>
      <c r="B473" s="58" t="inlineStr">
        <is>
          <t>Morris</t>
        </is>
      </c>
      <c r="C473" s="58" t="inlineStr">
        <is>
          <t>John O'Donoghue</t>
        </is>
      </c>
      <c r="D473" s="58" t="inlineStr">
        <is>
          <t>Unmatched</t>
        </is>
      </c>
      <c r="E473" s="53" t="n">
        <v>29</v>
      </c>
      <c r="F473" s="53" t="n">
        <v>43</v>
      </c>
      <c r="G473" s="55" t="n">
        <v>211.61</v>
      </c>
      <c r="H473" s="55" t="n">
        <v>314.26</v>
      </c>
      <c r="I473" s="53" t="n">
        <v>668</v>
      </c>
      <c r="J473" s="53" t="n">
        <v>716</v>
      </c>
      <c r="K473" s="53" t="n">
        <v>29</v>
      </c>
      <c r="L473" s="53" t="n">
        <v>43</v>
      </c>
      <c r="M473" s="33">
        <f>F473-E473</f>
        <v/>
      </c>
      <c r="N473" s="33">
        <f>L473-K473</f>
        <v/>
      </c>
    </row>
    <row r="474">
      <c r="A474" s="58" t="inlineStr">
        <is>
          <t>34002 Heights Bar (P)</t>
        </is>
      </c>
      <c r="B474" s="58" t="inlineStr">
        <is>
          <t>Bergen</t>
        </is>
      </c>
      <c r="C474" s="58" t="inlineStr">
        <is>
          <t>Nick Melissari</t>
        </is>
      </c>
      <c r="D474" s="58" t="inlineStr">
        <is>
          <t>On-premise</t>
        </is>
      </c>
      <c r="E474" s="53" t="n">
        <v>294</v>
      </c>
      <c r="F474" s="53" t="n">
        <v>403</v>
      </c>
      <c r="G474" s="55" t="n">
        <v>2082.83</v>
      </c>
      <c r="H474" s="55" t="n">
        <v>2741.12</v>
      </c>
      <c r="I474" s="53" t="n">
        <v>57</v>
      </c>
      <c r="J474" s="53" t="n">
        <v>47</v>
      </c>
      <c r="K474" s="53" t="n">
        <v>14</v>
      </c>
      <c r="L474" s="53" t="n">
        <v>28</v>
      </c>
      <c r="M474" s="33">
        <f>F474-E474</f>
        <v/>
      </c>
      <c r="N474" s="33">
        <f>L474-K474</f>
        <v/>
      </c>
    </row>
    <row r="475">
      <c r="A475" s="58" t="inlineStr">
        <is>
          <t>92007 Brady's At(A)The Station</t>
        </is>
      </c>
      <c r="B475" s="58" t="inlineStr">
        <is>
          <t>Bergen</t>
        </is>
      </c>
      <c r="C475" s="58" t="inlineStr">
        <is>
          <t>Nick Melissari</t>
        </is>
      </c>
      <c r="D475" s="58" t="inlineStr">
        <is>
          <t>On-premise</t>
        </is>
      </c>
      <c r="E475" s="53" t="n">
        <v>544</v>
      </c>
      <c r="F475" s="53" t="n">
        <v>637</v>
      </c>
      <c r="G475" s="55" t="n">
        <v>4000.18</v>
      </c>
      <c r="H475" s="55" t="n">
        <v>4672.559999999999</v>
      </c>
      <c r="I475" s="53" t="n">
        <v>236</v>
      </c>
      <c r="J475" s="53" t="n">
        <v>208</v>
      </c>
      <c r="K475" s="53" t="n">
        <v>16</v>
      </c>
      <c r="L475" s="53" t="n">
        <v>30</v>
      </c>
      <c r="M475" s="33">
        <f>F475-E475</f>
        <v/>
      </c>
      <c r="N475" s="33">
        <f>L475-K475</f>
        <v/>
      </c>
    </row>
    <row r="476">
      <c r="A476" s="58" t="inlineStr">
        <is>
          <t>41025 Morton's The Stkhse Hacke</t>
        </is>
      </c>
      <c r="B476" s="58" t="inlineStr">
        <is>
          <t>Bergen</t>
        </is>
      </c>
      <c r="C476" s="58" t="inlineStr">
        <is>
          <t>Nick Melissari</t>
        </is>
      </c>
      <c r="D476" s="58" t="inlineStr">
        <is>
          <t>On-premise</t>
        </is>
      </c>
      <c r="E476" s="53" t="n">
        <v>19</v>
      </c>
      <c r="F476" s="53" t="n">
        <v>31</v>
      </c>
      <c r="G476" s="55" t="n">
        <v>186.47</v>
      </c>
      <c r="H476" s="55" t="n">
        <v>312.76</v>
      </c>
      <c r="I476" s="53" t="n">
        <v>9</v>
      </c>
      <c r="J476" s="53" t="n">
        <v>6</v>
      </c>
      <c r="K476" s="53" t="n">
        <v>3</v>
      </c>
      <c r="L476" s="53" t="n">
        <v>17</v>
      </c>
      <c r="M476" s="33">
        <f>F476-E476</f>
        <v/>
      </c>
      <c r="N476" s="33">
        <f>L476-K476</f>
        <v/>
      </c>
    </row>
    <row r="477">
      <c r="A477" s="58" t="inlineStr">
        <is>
          <t>41013 Viva Margarita Hackensack</t>
        </is>
      </c>
      <c r="B477" s="58" t="inlineStr">
        <is>
          <t>Bergen</t>
        </is>
      </c>
      <c r="C477" s="58" t="inlineStr">
        <is>
          <t>Nick Melissari</t>
        </is>
      </c>
      <c r="D477" s="58" t="inlineStr">
        <is>
          <t>On-premise</t>
        </is>
      </c>
      <c r="E477" s="53" t="n">
        <v>210</v>
      </c>
      <c r="F477" s="53" t="n">
        <v>208</v>
      </c>
      <c r="G477" s="55" t="n">
        <v>1776.15</v>
      </c>
      <c r="H477" s="55" t="n">
        <v>1833</v>
      </c>
      <c r="I477" s="53" t="n">
        <v>10</v>
      </c>
      <c r="J477" s="53" t="n">
        <v>12</v>
      </c>
      <c r="K477" s="53" t="n">
        <v>37</v>
      </c>
      <c r="L477" s="53" t="n">
        <v>51</v>
      </c>
      <c r="M477" s="33">
        <f>F477-E477</f>
        <v/>
      </c>
      <c r="N477" s="33">
        <f>L477-K477</f>
        <v/>
      </c>
    </row>
    <row r="478">
      <c r="A478" s="58" t="inlineStr">
        <is>
          <t>47004 Wides Deli &amp; Liquor</t>
        </is>
      </c>
      <c r="B478" s="58" t="inlineStr">
        <is>
          <t>Bergen</t>
        </is>
      </c>
      <c r="C478" s="58" t="inlineStr">
        <is>
          <t>Phil Ernst</t>
        </is>
      </c>
      <c r="D478" s="58" t="inlineStr">
        <is>
          <t>Off-premise</t>
        </is>
      </c>
      <c r="E478" s="53" t="n">
        <v>630</v>
      </c>
      <c r="F478" s="53" t="n">
        <v>522</v>
      </c>
      <c r="G478" s="55" t="n">
        <v>5043.62</v>
      </c>
      <c r="H478" s="55" t="n">
        <v>4295.650000000001</v>
      </c>
      <c r="I478" s="53" t="n">
        <v>67</v>
      </c>
      <c r="J478" s="53" t="n">
        <v>58</v>
      </c>
      <c r="K478" s="53" t="n">
        <v>41</v>
      </c>
      <c r="L478" s="53" t="n">
        <v>55</v>
      </c>
      <c r="M478" s="33">
        <f>F478-E478</f>
        <v/>
      </c>
      <c r="N478" s="33">
        <f>L478-K478</f>
        <v/>
      </c>
    </row>
    <row r="479">
      <c r="A479" s="58" t="inlineStr">
        <is>
          <t>15049 Francesco's In The Park</t>
        </is>
      </c>
      <c r="B479" s="58" t="inlineStr">
        <is>
          <t>Passaic</t>
        </is>
      </c>
      <c r="C479" s="58" t="inlineStr">
        <is>
          <t>Robin Feldman</t>
        </is>
      </c>
      <c r="D479" s="58" t="inlineStr">
        <is>
          <t>On-premise</t>
        </is>
      </c>
      <c r="E479" s="53" t="n">
        <v>18</v>
      </c>
      <c r="F479" s="53" t="n">
        <v>50</v>
      </c>
      <c r="G479" s="55" t="n">
        <v>159.76</v>
      </c>
      <c r="H479" s="55" t="n">
        <v>511.3800000000001</v>
      </c>
      <c r="I479" s="53" t="n">
        <v>3</v>
      </c>
      <c r="J479" s="53" t="n">
        <v>1</v>
      </c>
      <c r="K479" s="53" t="n">
        <v>6</v>
      </c>
      <c r="L479" s="53" t="n">
        <v>20</v>
      </c>
      <c r="M479" s="33">
        <f>F479-E479</f>
        <v/>
      </c>
      <c r="N479" s="33">
        <f>L479-K479</f>
        <v/>
      </c>
    </row>
    <row r="480">
      <c r="A480" s="58" t="inlineStr">
        <is>
          <t>191207 Daily Planet (A)</t>
        </is>
      </c>
      <c r="B480" s="58" t="inlineStr">
        <is>
          <t>Morris</t>
        </is>
      </c>
      <c r="C480" s="58" t="inlineStr">
        <is>
          <t>Anthony Palmisano</t>
        </is>
      </c>
      <c r="D480" s="58" t="inlineStr">
        <is>
          <t>On-premise</t>
        </is>
      </c>
      <c r="E480" s="53" t="n">
        <v>214</v>
      </c>
      <c r="F480" s="53" t="n">
        <v>291</v>
      </c>
      <c r="G480" s="55" t="n">
        <v>1465.09</v>
      </c>
      <c r="H480" s="55" t="n">
        <v>2119.58</v>
      </c>
      <c r="I480" s="53" t="n">
        <v>41</v>
      </c>
      <c r="J480" s="53" t="n">
        <v>62</v>
      </c>
      <c r="K480" s="53" t="n">
        <v>17</v>
      </c>
      <c r="L480" s="53" t="n">
        <v>30</v>
      </c>
      <c r="M480" s="33">
        <f>F480-E480</f>
        <v/>
      </c>
      <c r="N480" s="33">
        <f>L480-K480</f>
        <v/>
      </c>
    </row>
    <row r="481">
      <c r="A481" s="58" t="inlineStr">
        <is>
          <t>230306 AG Pizza &amp; Restaurant - Newton</t>
        </is>
      </c>
      <c r="B481" s="58" t="inlineStr">
        <is>
          <t>Sussex</t>
        </is>
      </c>
      <c r="C481" s="58" t="inlineStr">
        <is>
          <t>Brian Sengebush</t>
        </is>
      </c>
      <c r="D481" s="58" t="inlineStr">
        <is>
          <t>On-premise</t>
        </is>
      </c>
      <c r="E481" s="53" t="n">
        <v>106</v>
      </c>
      <c r="F481" s="53" t="n">
        <v>77</v>
      </c>
      <c r="G481" s="55" t="n">
        <v>746.3</v>
      </c>
      <c r="H481" s="55" t="n">
        <v>584.53</v>
      </c>
      <c r="I481" s="53" t="n">
        <v>22</v>
      </c>
      <c r="J481" s="53" t="n">
        <v>17</v>
      </c>
      <c r="K481" s="53" t="n">
        <v>2</v>
      </c>
      <c r="L481" s="53" t="n">
        <v>15</v>
      </c>
      <c r="M481" s="33">
        <f>F481-E481</f>
        <v/>
      </c>
      <c r="N481" s="33">
        <f>L481-K481</f>
        <v/>
      </c>
    </row>
    <row r="482">
      <c r="A482" s="58" t="inlineStr">
        <is>
          <t>81012 Dutch House</t>
        </is>
      </c>
      <c r="B482" s="58" t="inlineStr">
        <is>
          <t>Bergen</t>
        </is>
      </c>
      <c r="C482" s="58" t="inlineStr">
        <is>
          <t>Chris Payton</t>
        </is>
      </c>
      <c r="D482" s="58" t="inlineStr">
        <is>
          <t>On-premise</t>
        </is>
      </c>
      <c r="E482" s="53" t="n">
        <v>158</v>
      </c>
      <c r="F482" s="53" t="n">
        <v>172</v>
      </c>
      <c r="G482" s="55" t="n">
        <v>1442.03</v>
      </c>
      <c r="H482" s="55" t="n">
        <v>1417.81</v>
      </c>
      <c r="I482" s="53" t="n">
        <v>92</v>
      </c>
      <c r="J482" s="53" t="n">
        <v>56</v>
      </c>
      <c r="K482" s="53" t="n">
        <v>3</v>
      </c>
      <c r="L482" s="53" t="n">
        <v>16</v>
      </c>
      <c r="M482" s="33">
        <f>F482-E482</f>
        <v/>
      </c>
      <c r="N482" s="33">
        <f>L482-K482</f>
        <v/>
      </c>
    </row>
    <row r="483">
      <c r="A483" s="58" t="inlineStr">
        <is>
          <t>44005 Winston Wine &amp; Liq</t>
        </is>
      </c>
      <c r="B483" s="58" t="inlineStr">
        <is>
          <t>Bergen</t>
        </is>
      </c>
      <c r="C483" s="58" t="inlineStr">
        <is>
          <t>Dan Lagala</t>
        </is>
      </c>
      <c r="D483" s="58" t="inlineStr">
        <is>
          <t>Off-premise</t>
        </is>
      </c>
      <c r="E483" s="53" t="n">
        <v>451</v>
      </c>
      <c r="F483" s="53" t="n">
        <v>498</v>
      </c>
      <c r="G483" s="55" t="n">
        <v>3708.65</v>
      </c>
      <c r="H483" s="55" t="n">
        <v>4449.05</v>
      </c>
      <c r="I483" s="53" t="n">
        <v>37</v>
      </c>
      <c r="J483" s="53" t="n">
        <v>45</v>
      </c>
      <c r="K483" s="53" t="n">
        <v>29</v>
      </c>
      <c r="L483" s="53" t="n">
        <v>42</v>
      </c>
      <c r="M483" s="33">
        <f>F483-E483</f>
        <v/>
      </c>
      <c r="N483" s="33">
        <f>L483-K483</f>
        <v/>
      </c>
    </row>
    <row r="484">
      <c r="A484" s="58" t="inlineStr">
        <is>
          <t>22053 Rincon Centroamericano</t>
        </is>
      </c>
      <c r="B484" s="58" t="inlineStr">
        <is>
          <t>Passaic</t>
        </is>
      </c>
      <c r="C484" s="58" t="inlineStr">
        <is>
          <t>Derrick Laws</t>
        </is>
      </c>
      <c r="D484" s="58" t="inlineStr">
        <is>
          <t>On-premise</t>
        </is>
      </c>
      <c r="E484" s="53" t="n">
        <v>99</v>
      </c>
      <c r="F484" s="53" t="n">
        <v>157</v>
      </c>
      <c r="G484" s="55" t="n">
        <v>929.9299999999999</v>
      </c>
      <c r="H484" s="55" t="n">
        <v>1399.23</v>
      </c>
      <c r="I484" s="53" t="n">
        <v>0</v>
      </c>
      <c r="J484" s="53" t="n">
        <v>0</v>
      </c>
      <c r="K484" s="53" t="n">
        <v>0</v>
      </c>
      <c r="L484" s="53" t="n">
        <v>13</v>
      </c>
      <c r="M484" s="33">
        <f>F484-E484</f>
        <v/>
      </c>
      <c r="N484" s="33">
        <f>L484-K484</f>
        <v/>
      </c>
    </row>
    <row r="485">
      <c r="A485" s="58" t="inlineStr">
        <is>
          <t>170029 Hollywood Liqs (P)</t>
        </is>
      </c>
      <c r="B485" s="58" t="inlineStr">
        <is>
          <t>Hudson</t>
        </is>
      </c>
      <c r="C485" s="58" t="inlineStr">
        <is>
          <t>Dylan Rubino</t>
        </is>
      </c>
      <c r="D485" s="58" t="inlineStr">
        <is>
          <t>Off-premise</t>
        </is>
      </c>
      <c r="E485" s="53" t="n">
        <v>81</v>
      </c>
      <c r="F485" s="53" t="n">
        <v>94</v>
      </c>
      <c r="G485" s="55" t="n">
        <v>572.29</v>
      </c>
      <c r="H485" s="55" t="n">
        <v>628.48</v>
      </c>
      <c r="I485" s="53" t="n">
        <v>256</v>
      </c>
      <c r="J485" s="53" t="n">
        <v>175</v>
      </c>
      <c r="K485" s="53" t="n">
        <v>81</v>
      </c>
      <c r="L485" s="53" t="n">
        <v>94</v>
      </c>
      <c r="M485" s="33">
        <f>F485-E485</f>
        <v/>
      </c>
      <c r="N485" s="33">
        <f>L485-K485</f>
        <v/>
      </c>
    </row>
    <row r="486">
      <c r="A486" s="58" t="inlineStr">
        <is>
          <t>170429 Village W &amp; L (P)</t>
        </is>
      </c>
      <c r="B486" s="58" t="inlineStr">
        <is>
          <t>Hudson</t>
        </is>
      </c>
      <c r="C486" s="58" t="inlineStr">
        <is>
          <t>Jaime Colonna</t>
        </is>
      </c>
      <c r="D486" s="58" t="inlineStr">
        <is>
          <t>Off-premise</t>
        </is>
      </c>
      <c r="E486" s="53" t="n">
        <v>32</v>
      </c>
      <c r="F486" s="53" t="n">
        <v>45</v>
      </c>
      <c r="G486" s="55" t="n">
        <v>218.77</v>
      </c>
      <c r="H486" s="55" t="n">
        <v>318.93</v>
      </c>
      <c r="I486" s="53" t="n">
        <v>13</v>
      </c>
      <c r="J486" s="53" t="n">
        <v>48</v>
      </c>
      <c r="K486" s="53" t="n">
        <v>32</v>
      </c>
      <c r="L486" s="53" t="n">
        <v>45</v>
      </c>
      <c r="M486" s="33">
        <f>F486-E486</f>
        <v/>
      </c>
      <c r="N486" s="33">
        <f>L486-K486</f>
        <v/>
      </c>
    </row>
    <row r="487">
      <c r="A487" s="58" t="inlineStr">
        <is>
          <t>171013 Hoboken Liquor &amp; Grocery</t>
        </is>
      </c>
      <c r="B487" s="58" t="inlineStr">
        <is>
          <t>Hudson</t>
        </is>
      </c>
      <c r="C487" s="58" t="inlineStr">
        <is>
          <t>Jaime Colonna</t>
        </is>
      </c>
      <c r="D487" s="58" t="inlineStr">
        <is>
          <t>Off-premise</t>
        </is>
      </c>
      <c r="E487" s="53" t="n">
        <v>5</v>
      </c>
      <c r="F487" s="53" t="n">
        <v>18</v>
      </c>
      <c r="G487" s="55" t="n">
        <v>42.01</v>
      </c>
      <c r="H487" s="55" t="n">
        <v>143.05</v>
      </c>
      <c r="I487" s="53" t="n">
        <v>17</v>
      </c>
      <c r="J487" s="53" t="n">
        <v>39</v>
      </c>
      <c r="K487" s="53" t="n">
        <v>5</v>
      </c>
      <c r="L487" s="53" t="n">
        <v>18</v>
      </c>
      <c r="M487" s="33">
        <f>F487-E487</f>
        <v/>
      </c>
      <c r="N487" s="33">
        <f>L487-K487</f>
        <v/>
      </c>
    </row>
    <row r="488">
      <c r="A488" s="58" t="inlineStr">
        <is>
          <t>27037 Shanik Liqs.(P)</t>
        </is>
      </c>
      <c r="B488" s="58" t="inlineStr">
        <is>
          <t>Passaic</t>
        </is>
      </c>
      <c r="C488" s="58" t="inlineStr">
        <is>
          <t>Javier Melo</t>
        </is>
      </c>
      <c r="D488" s="58" t="inlineStr">
        <is>
          <t>Off-premise</t>
        </is>
      </c>
      <c r="E488" s="53" t="n">
        <v>4298</v>
      </c>
      <c r="F488" s="53" t="n">
        <v>4291</v>
      </c>
      <c r="G488" s="55" t="n">
        <v>27776.5</v>
      </c>
      <c r="H488" s="55" t="n">
        <v>28792.19</v>
      </c>
      <c r="I488" s="53" t="n">
        <v>494</v>
      </c>
      <c r="J488" s="53" t="n">
        <v>366</v>
      </c>
      <c r="K488" s="53" t="n">
        <v>683</v>
      </c>
      <c r="L488" s="53" t="n">
        <v>696</v>
      </c>
      <c r="M488" s="33">
        <f>F488-E488</f>
        <v/>
      </c>
      <c r="N488" s="33">
        <f>L488-K488</f>
        <v/>
      </c>
    </row>
    <row r="489">
      <c r="A489" s="58" t="inlineStr">
        <is>
          <t>31011 Blarney Station</t>
        </is>
      </c>
      <c r="B489" s="58" t="inlineStr">
        <is>
          <t>Bergen</t>
        </is>
      </c>
      <c r="C489" s="58" t="inlineStr">
        <is>
          <t>Nick Melissari</t>
        </is>
      </c>
      <c r="D489" s="58" t="inlineStr">
        <is>
          <t>On-premise</t>
        </is>
      </c>
      <c r="E489" s="53" t="n">
        <v>480</v>
      </c>
      <c r="F489" s="53" t="n">
        <v>438</v>
      </c>
      <c r="G489" s="55" t="n">
        <v>3488.05</v>
      </c>
      <c r="H489" s="55" t="n">
        <v>2835.92</v>
      </c>
      <c r="I489" s="53" t="n">
        <v>196</v>
      </c>
      <c r="J489" s="53" t="n">
        <v>194</v>
      </c>
      <c r="K489" s="53" t="n">
        <v>28</v>
      </c>
      <c r="L489" s="53" t="n">
        <v>41</v>
      </c>
      <c r="M489" s="33">
        <f>F489-E489</f>
        <v/>
      </c>
      <c r="N489" s="33">
        <f>L489-K489</f>
        <v/>
      </c>
    </row>
    <row r="490">
      <c r="A490" s="58" t="inlineStr">
        <is>
          <t>28013 Penelope's Pizzeria &amp; Sports Bar</t>
        </is>
      </c>
      <c r="B490" s="58" t="inlineStr">
        <is>
          <t>Bergen</t>
        </is>
      </c>
      <c r="C490" s="58" t="inlineStr">
        <is>
          <t>Nick Melissari</t>
        </is>
      </c>
      <c r="D490" s="58" t="inlineStr">
        <is>
          <t>On-premise</t>
        </is>
      </c>
      <c r="E490" s="53" t="n">
        <v>45</v>
      </c>
      <c r="F490" s="53" t="n">
        <v>42</v>
      </c>
      <c r="G490" s="55" t="n">
        <v>355.26</v>
      </c>
      <c r="H490" s="55" t="n">
        <v>485.2600000000001</v>
      </c>
      <c r="I490" s="53" t="n">
        <v>0</v>
      </c>
      <c r="J490" s="53" t="n">
        <v>14</v>
      </c>
      <c r="K490" s="53" t="n">
        <v>2</v>
      </c>
      <c r="L490" s="53" t="n">
        <v>15</v>
      </c>
      <c r="M490" s="33">
        <f>F490-E490</f>
        <v/>
      </c>
      <c r="N490" s="33">
        <f>L490-K490</f>
        <v/>
      </c>
    </row>
    <row r="491">
      <c r="A491" s="58" t="inlineStr">
        <is>
          <t>37063 Jojo's Bar &amp; Grill</t>
        </is>
      </c>
      <c r="B491" s="58" t="inlineStr">
        <is>
          <t>Bergen</t>
        </is>
      </c>
      <c r="C491" s="58" t="inlineStr">
        <is>
          <t>Nick Melissari</t>
        </is>
      </c>
      <c r="D491" s="58" t="inlineStr">
        <is>
          <t>On-premise</t>
        </is>
      </c>
      <c r="E491" s="53" t="n">
        <v>184</v>
      </c>
      <c r="F491" s="53" t="n">
        <v>264</v>
      </c>
      <c r="G491" s="55" t="n">
        <v>1811.23</v>
      </c>
      <c r="H491" s="55" t="n">
        <v>2565.79</v>
      </c>
      <c r="I491" s="53" t="n">
        <v>8</v>
      </c>
      <c r="J491" s="53" t="n">
        <v>5</v>
      </c>
      <c r="K491" s="53" t="n">
        <v>10</v>
      </c>
      <c r="L491" s="53" t="n">
        <v>23</v>
      </c>
      <c r="M491" s="33">
        <f>F491-E491</f>
        <v/>
      </c>
      <c r="N491" s="33">
        <f>L491-K491</f>
        <v/>
      </c>
    </row>
    <row r="492">
      <c r="A492" s="58" t="inlineStr">
        <is>
          <t>150060 Belleville Liquors</t>
        </is>
      </c>
      <c r="B492" s="58" t="inlineStr">
        <is>
          <t>Essex</t>
        </is>
      </c>
      <c r="C492" s="58" t="inlineStr">
        <is>
          <t>Alisa Acciardi</t>
        </is>
      </c>
      <c r="D492" s="58" t="inlineStr">
        <is>
          <t>Off-premise</t>
        </is>
      </c>
      <c r="E492" s="53" t="n">
        <v>19</v>
      </c>
      <c r="F492" s="53" t="n">
        <v>31</v>
      </c>
      <c r="G492" s="55" t="n">
        <v>143.09</v>
      </c>
      <c r="H492" s="55" t="n">
        <v>254.12</v>
      </c>
      <c r="I492" s="53" t="n">
        <v>170</v>
      </c>
      <c r="J492" s="53" t="n">
        <v>118</v>
      </c>
      <c r="K492" s="53" t="n">
        <v>19</v>
      </c>
      <c r="L492" s="53" t="n">
        <v>31</v>
      </c>
      <c r="M492" s="33">
        <f>F492-E492</f>
        <v/>
      </c>
      <c r="N492" s="33">
        <f>L492-K492</f>
        <v/>
      </c>
    </row>
    <row r="493">
      <c r="A493" s="58" t="inlineStr">
        <is>
          <t>191808 La Mezcalita</t>
        </is>
      </c>
      <c r="B493" s="58" t="inlineStr">
        <is>
          <t>Morris</t>
        </is>
      </c>
      <c r="C493" s="58" t="inlineStr">
        <is>
          <t>Brian Sengebush</t>
        </is>
      </c>
      <c r="D493" s="58" t="inlineStr">
        <is>
          <t>On-premise</t>
        </is>
      </c>
      <c r="E493" s="53" t="n">
        <v>182</v>
      </c>
      <c r="F493" s="53" t="n">
        <v>192</v>
      </c>
      <c r="G493" s="55" t="n">
        <v>1730.41</v>
      </c>
      <c r="H493" s="55" t="n">
        <v>1710.46</v>
      </c>
      <c r="I493" s="53" t="n">
        <v>25</v>
      </c>
      <c r="J493" s="53" t="n">
        <v>24</v>
      </c>
      <c r="K493" s="53" t="n">
        <v>41</v>
      </c>
      <c r="L493" s="53" t="n">
        <v>53</v>
      </c>
      <c r="M493" s="33">
        <f>F493-E493</f>
        <v/>
      </c>
      <c r="N493" s="33">
        <f>L493-K493</f>
        <v/>
      </c>
    </row>
    <row r="494">
      <c r="A494" s="58" t="inlineStr">
        <is>
          <t>44031 Viva La Margarita Cliffside Park</t>
        </is>
      </c>
      <c r="B494" s="58" t="inlineStr">
        <is>
          <t>Bergen</t>
        </is>
      </c>
      <c r="C494" s="58" t="inlineStr">
        <is>
          <t>Dan Lagala</t>
        </is>
      </c>
      <c r="D494" s="58" t="inlineStr">
        <is>
          <t>On-premise</t>
        </is>
      </c>
      <c r="E494" s="53" t="n">
        <v>70</v>
      </c>
      <c r="F494" s="53" t="n">
        <v>97</v>
      </c>
      <c r="G494" s="55" t="n">
        <v>758.11</v>
      </c>
      <c r="H494" s="55" t="n">
        <v>871.8</v>
      </c>
      <c r="I494" s="53" t="n">
        <v>10</v>
      </c>
      <c r="J494" s="53" t="n">
        <v>3</v>
      </c>
      <c r="K494" s="53" t="n">
        <v>14</v>
      </c>
      <c r="L494" s="53" t="n">
        <v>26</v>
      </c>
      <c r="M494" s="33">
        <f>F494-E494</f>
        <v/>
      </c>
      <c r="N494" s="33">
        <f>L494-K494</f>
        <v/>
      </c>
    </row>
    <row r="495">
      <c r="A495" s="58" t="inlineStr">
        <is>
          <t>80003 The Capital Grille (A)</t>
        </is>
      </c>
      <c r="B495" s="58" t="inlineStr">
        <is>
          <t>Bergen</t>
        </is>
      </c>
      <c r="C495" s="58" t="inlineStr">
        <is>
          <t>Nick Melissari</t>
        </is>
      </c>
      <c r="D495" s="58" t="inlineStr">
        <is>
          <t>On-premise</t>
        </is>
      </c>
      <c r="E495" s="53" t="n">
        <v>26</v>
      </c>
      <c r="F495" s="53" t="n">
        <v>37</v>
      </c>
      <c r="G495" s="55" t="n">
        <v>269.56</v>
      </c>
      <c r="H495" s="55" t="n">
        <v>367.6199999999999</v>
      </c>
      <c r="I495" s="53" t="n">
        <v>7</v>
      </c>
      <c r="J495" s="53" t="n">
        <v>17</v>
      </c>
      <c r="K495" s="53" t="n">
        <v>6</v>
      </c>
      <c r="L495" s="53" t="n">
        <v>18</v>
      </c>
      <c r="M495" s="33">
        <f>F495-E495</f>
        <v/>
      </c>
      <c r="N495" s="33">
        <f>L495-K495</f>
        <v/>
      </c>
    </row>
    <row r="496">
      <c r="A496" s="58" t="inlineStr">
        <is>
          <t>88003 W's Village Grille</t>
        </is>
      </c>
      <c r="B496" s="58" t="inlineStr">
        <is>
          <t>Bergen</t>
        </is>
      </c>
      <c r="C496" s="58" t="inlineStr">
        <is>
          <t>Nick Melissari</t>
        </is>
      </c>
      <c r="D496" s="58" t="inlineStr">
        <is>
          <t>On-premise</t>
        </is>
      </c>
      <c r="E496" s="53" t="n">
        <v>232</v>
      </c>
      <c r="F496" s="53" t="n">
        <v>205</v>
      </c>
      <c r="G496" s="55" t="n">
        <v>1805.95</v>
      </c>
      <c r="H496" s="55" t="n">
        <v>1527.33</v>
      </c>
      <c r="I496" s="53" t="n">
        <v>36</v>
      </c>
      <c r="J496" s="53" t="n">
        <v>51</v>
      </c>
      <c r="K496" s="53" t="n">
        <v>10</v>
      </c>
      <c r="L496" s="53" t="n">
        <v>22</v>
      </c>
      <c r="M496" s="33">
        <f>F496-E496</f>
        <v/>
      </c>
      <c r="N496" s="33">
        <f>L496-K496</f>
        <v/>
      </c>
    </row>
    <row r="497">
      <c r="A497" s="58" t="inlineStr">
        <is>
          <t>20081 Hacienda (P)</t>
        </is>
      </c>
      <c r="B497" s="58" t="inlineStr">
        <is>
          <t>Passaic</t>
        </is>
      </c>
      <c r="C497" s="58" t="inlineStr">
        <is>
          <t>Pablo Lopez</t>
        </is>
      </c>
      <c r="D497" s="58" t="inlineStr">
        <is>
          <t>On-premise</t>
        </is>
      </c>
      <c r="E497" s="53" t="n">
        <v>224</v>
      </c>
      <c r="F497" s="53" t="n">
        <v>187</v>
      </c>
      <c r="G497" s="55" t="n">
        <v>2163.96</v>
      </c>
      <c r="H497" s="55" t="n">
        <v>1699.74</v>
      </c>
      <c r="I497" s="53" t="n">
        <v>33</v>
      </c>
      <c r="J497" s="53" t="n">
        <v>8</v>
      </c>
      <c r="K497" s="53" t="n">
        <v>5</v>
      </c>
      <c r="L497" s="53" t="n">
        <v>17</v>
      </c>
      <c r="M497" s="33">
        <f>F497-E497</f>
        <v/>
      </c>
      <c r="N497" s="33">
        <f>L497-K497</f>
        <v/>
      </c>
    </row>
    <row r="498">
      <c r="A498" s="58" t="inlineStr">
        <is>
          <t>59004 Royal Wine &amp; Spirits II</t>
        </is>
      </c>
      <c r="B498" s="58" t="inlineStr">
        <is>
          <t>Bergen</t>
        </is>
      </c>
      <c r="C498" s="58" t="inlineStr">
        <is>
          <t>Shane Barreca</t>
        </is>
      </c>
      <c r="D498" s="58" t="inlineStr">
        <is>
          <t>Off-premise</t>
        </is>
      </c>
      <c r="E498" s="53" t="n">
        <v>975</v>
      </c>
      <c r="F498" s="53" t="n">
        <v>895</v>
      </c>
      <c r="G498" s="55" t="n">
        <v>6828.62</v>
      </c>
      <c r="H498" s="55" t="n">
        <v>6111.4</v>
      </c>
      <c r="I498" s="53" t="n">
        <v>553</v>
      </c>
      <c r="J498" s="53" t="n">
        <v>575</v>
      </c>
      <c r="K498" s="53" t="n">
        <v>205</v>
      </c>
      <c r="L498" s="53" t="n">
        <v>217</v>
      </c>
      <c r="M498" s="33">
        <f>F498-E498</f>
        <v/>
      </c>
      <c r="N498" s="33">
        <f>L498-K498</f>
        <v/>
      </c>
    </row>
    <row r="499">
      <c r="A499" s="58" t="inlineStr">
        <is>
          <t>250137 Elmora Liquors</t>
        </is>
      </c>
      <c r="B499" s="58" t="inlineStr">
        <is>
          <t>Union</t>
        </is>
      </c>
      <c r="C499" s="58" t="inlineStr">
        <is>
          <t>Alex Rodriguez</t>
        </is>
      </c>
      <c r="D499" s="58" t="inlineStr">
        <is>
          <t>Off-premise</t>
        </is>
      </c>
      <c r="E499" s="53" t="n">
        <v>0</v>
      </c>
      <c r="F499" s="53" t="n">
        <v>11</v>
      </c>
      <c r="G499" s="55" t="n">
        <v>0</v>
      </c>
      <c r="H499" s="55" t="n">
        <v>85.84999999999999</v>
      </c>
      <c r="I499" s="53" t="n">
        <v>40</v>
      </c>
      <c r="J499" s="53" t="n">
        <v>16</v>
      </c>
      <c r="K499" s="53" t="n">
        <v>0</v>
      </c>
      <c r="L499" s="53" t="n">
        <v>11</v>
      </c>
      <c r="M499" s="33">
        <f>F499-E499</f>
        <v/>
      </c>
      <c r="N499" s="33">
        <f>L499-K499</f>
        <v/>
      </c>
    </row>
    <row r="500">
      <c r="A500" s="58" t="inlineStr">
        <is>
          <t>250193 Bella Wine and Spirits</t>
        </is>
      </c>
      <c r="B500" s="58" t="inlineStr">
        <is>
          <t>Union</t>
        </is>
      </c>
      <c r="C500" s="58" t="inlineStr">
        <is>
          <t>Alex Rodriguez</t>
        </is>
      </c>
      <c r="D500" s="58" t="inlineStr">
        <is>
          <t>Off-premise</t>
        </is>
      </c>
      <c r="E500" s="53" t="n">
        <v>0</v>
      </c>
      <c r="F500" s="53" t="n">
        <v>11</v>
      </c>
      <c r="G500" s="55" t="n">
        <v>0</v>
      </c>
      <c r="H500" s="55" t="n">
        <v>103.75</v>
      </c>
      <c r="I500" s="53" t="n">
        <v>32</v>
      </c>
      <c r="J500" s="53" t="n">
        <v>32</v>
      </c>
      <c r="K500" s="53" t="n">
        <v>0</v>
      </c>
      <c r="L500" s="53" t="n">
        <v>11</v>
      </c>
      <c r="M500" s="33">
        <f>F500-E500</f>
        <v/>
      </c>
      <c r="N500" s="33">
        <f>L500-K500</f>
        <v/>
      </c>
    </row>
    <row r="501">
      <c r="A501" s="58" t="inlineStr">
        <is>
          <t>24029 Dingo's Den (P)</t>
        </is>
      </c>
      <c r="B501" s="58" t="inlineStr">
        <is>
          <t>Passaic</t>
        </is>
      </c>
      <c r="C501" s="58" t="inlineStr">
        <is>
          <t>Allison Scott</t>
        </is>
      </c>
      <c r="D501" s="58" t="inlineStr">
        <is>
          <t>On-premise</t>
        </is>
      </c>
      <c r="E501" s="53" t="n">
        <v>641</v>
      </c>
      <c r="F501" s="53" t="n">
        <v>695</v>
      </c>
      <c r="G501" s="55" t="n">
        <v>4988.200000000001</v>
      </c>
      <c r="H501" s="55" t="n">
        <v>5103.839999999999</v>
      </c>
      <c r="I501" s="53" t="n">
        <v>172</v>
      </c>
      <c r="J501" s="53" t="n">
        <v>126</v>
      </c>
      <c r="K501" s="53" t="n">
        <v>41</v>
      </c>
      <c r="L501" s="53" t="n">
        <v>52</v>
      </c>
      <c r="M501" s="33">
        <f>F501-E501</f>
        <v/>
      </c>
      <c r="N501" s="33">
        <f>L501-K501</f>
        <v/>
      </c>
    </row>
    <row r="502">
      <c r="A502" s="58" t="inlineStr">
        <is>
          <t>14016 JINYA Ramen Bar</t>
        </is>
      </c>
      <c r="B502" s="58" t="inlineStr">
        <is>
          <t>Passaic</t>
        </is>
      </c>
      <c r="C502" s="58" t="inlineStr">
        <is>
          <t>Allison Scott</t>
        </is>
      </c>
      <c r="D502" s="58" t="inlineStr">
        <is>
          <t>On-premise</t>
        </is>
      </c>
      <c r="E502" s="53" t="n">
        <v>69</v>
      </c>
      <c r="F502" s="53" t="n">
        <v>79</v>
      </c>
      <c r="G502" s="55" t="n">
        <v>502.38</v>
      </c>
      <c r="H502" s="55" t="n">
        <v>491.46</v>
      </c>
      <c r="I502" s="53" t="n">
        <v>0</v>
      </c>
      <c r="J502" s="53" t="n">
        <v>0</v>
      </c>
      <c r="K502" s="53" t="n">
        <v>69</v>
      </c>
      <c r="L502" s="53" t="n">
        <v>80</v>
      </c>
      <c r="M502" s="33">
        <f>F502-E502</f>
        <v/>
      </c>
      <c r="N502" s="33">
        <f>L502-K502</f>
        <v/>
      </c>
    </row>
    <row r="503">
      <c r="A503" s="58" t="inlineStr">
        <is>
          <t>23020 Clifton City Tavern(P)</t>
        </is>
      </c>
      <c r="B503" s="58" t="inlineStr">
        <is>
          <t>Passaic</t>
        </is>
      </c>
      <c r="C503" s="58" t="inlineStr">
        <is>
          <t>Allison Scott</t>
        </is>
      </c>
      <c r="D503" s="58" t="inlineStr">
        <is>
          <t>On-premise</t>
        </is>
      </c>
      <c r="E503" s="53" t="n">
        <v>123</v>
      </c>
      <c r="F503" s="53" t="n">
        <v>137</v>
      </c>
      <c r="G503" s="55" t="n">
        <v>1192.92</v>
      </c>
      <c r="H503" s="55" t="n">
        <v>1353.05</v>
      </c>
      <c r="I503" s="53" t="n">
        <v>10</v>
      </c>
      <c r="J503" s="53" t="n">
        <v>3</v>
      </c>
      <c r="K503" s="53" t="n">
        <v>6</v>
      </c>
      <c r="L503" s="53" t="n">
        <v>17</v>
      </c>
      <c r="M503" s="33">
        <f>F503-E503</f>
        <v/>
      </c>
      <c r="N503" s="33">
        <f>L503-K503</f>
        <v/>
      </c>
    </row>
    <row r="504">
      <c r="A504" s="58" t="inlineStr">
        <is>
          <t>251008 Home Wines &amp; Liquors (2401 Union)</t>
        </is>
      </c>
      <c r="B504" s="58" t="inlineStr">
        <is>
          <t>Union</t>
        </is>
      </c>
      <c r="C504" s="58" t="inlineStr">
        <is>
          <t>Andrew Lundy</t>
        </is>
      </c>
      <c r="D504" s="58" t="inlineStr">
        <is>
          <t>Off-premise</t>
        </is>
      </c>
      <c r="E504" s="53" t="n">
        <v>23</v>
      </c>
      <c r="F504" s="53" t="n">
        <v>34</v>
      </c>
      <c r="G504" s="55" t="n">
        <v>168.65</v>
      </c>
      <c r="H504" s="55" t="n">
        <v>223.68</v>
      </c>
      <c r="I504" s="53" t="n">
        <v>59</v>
      </c>
      <c r="J504" s="53" t="n">
        <v>80</v>
      </c>
      <c r="K504" s="53" t="n">
        <v>23</v>
      </c>
      <c r="L504" s="53" t="n">
        <v>34</v>
      </c>
      <c r="M504" s="33">
        <f>F504-E504</f>
        <v/>
      </c>
      <c r="N504" s="33">
        <f>L504-K504</f>
        <v/>
      </c>
    </row>
    <row r="505">
      <c r="A505" s="58" t="inlineStr">
        <is>
          <t>231309 The Stuffed Olive_2</t>
        </is>
      </c>
      <c r="B505" s="58" t="inlineStr">
        <is>
          <t>Sussex</t>
        </is>
      </c>
      <c r="C505" s="58" t="inlineStr">
        <is>
          <t>Anthony Palmisano</t>
        </is>
      </c>
      <c r="D505" s="58" t="inlineStr">
        <is>
          <t>On-premise</t>
        </is>
      </c>
      <c r="E505" s="53" t="n">
        <v>248</v>
      </c>
      <c r="F505" s="53" t="n">
        <v>192</v>
      </c>
      <c r="G505" s="55" t="n">
        <v>1857.36</v>
      </c>
      <c r="H505" s="55" t="n">
        <v>1412.99</v>
      </c>
      <c r="I505" s="53" t="n">
        <v>64</v>
      </c>
      <c r="J505" s="53" t="n">
        <v>55</v>
      </c>
      <c r="K505" s="53" t="n">
        <v>9</v>
      </c>
      <c r="L505" s="53" t="n">
        <v>20</v>
      </c>
      <c r="M505" s="33">
        <f>F505-E505</f>
        <v/>
      </c>
      <c r="N505" s="33">
        <f>L505-K505</f>
        <v/>
      </c>
    </row>
    <row r="506">
      <c r="A506" s="58" t="inlineStr">
        <is>
          <t>231303 The Sussex Saloon</t>
        </is>
      </c>
      <c r="B506" s="58" t="inlineStr">
        <is>
          <t>Sussex</t>
        </is>
      </c>
      <c r="C506" s="58" t="inlineStr">
        <is>
          <t>Anthony Palmisano</t>
        </is>
      </c>
      <c r="D506" s="58" t="inlineStr">
        <is>
          <t>Unmatched</t>
        </is>
      </c>
      <c r="E506" s="53" t="n">
        <v>0</v>
      </c>
      <c r="F506" s="53" t="n">
        <v>92</v>
      </c>
      <c r="G506" s="55" t="n">
        <v>0</v>
      </c>
      <c r="H506" s="55" t="n">
        <v>617.1800000000001</v>
      </c>
      <c r="I506" s="53" t="n">
        <v>0</v>
      </c>
      <c r="J506" s="53" t="n">
        <v>13</v>
      </c>
      <c r="K506" s="53" t="n">
        <v>0</v>
      </c>
      <c r="L506" s="53" t="n">
        <v>11</v>
      </c>
      <c r="M506" s="33">
        <f>F506-E506</f>
        <v/>
      </c>
      <c r="N506" s="33">
        <f>L506-K506</f>
        <v/>
      </c>
    </row>
    <row r="507">
      <c r="A507" s="58" t="inlineStr">
        <is>
          <t>81017 JJ's Pub</t>
        </is>
      </c>
      <c r="B507" s="58" t="inlineStr">
        <is>
          <t>Bergen</t>
        </is>
      </c>
      <c r="C507" s="58" t="inlineStr">
        <is>
          <t>Chris Payton</t>
        </is>
      </c>
      <c r="D507" s="58" t="inlineStr">
        <is>
          <t>On-premise</t>
        </is>
      </c>
      <c r="E507" s="53" t="n">
        <v>251</v>
      </c>
      <c r="F507" s="53" t="n">
        <v>205</v>
      </c>
      <c r="G507" s="55" t="n">
        <v>1660.53</v>
      </c>
      <c r="H507" s="55" t="n">
        <v>1312.32</v>
      </c>
      <c r="I507" s="53" t="n">
        <v>38</v>
      </c>
      <c r="J507" s="53" t="n">
        <v>47</v>
      </c>
      <c r="K507" s="53" t="n">
        <v>-4</v>
      </c>
      <c r="L507" s="53" t="n">
        <v>7</v>
      </c>
      <c r="M507" s="33">
        <f>F507-E507</f>
        <v/>
      </c>
      <c r="N507" s="33">
        <f>L507-K507</f>
        <v/>
      </c>
    </row>
    <row r="508">
      <c r="A508" s="58" t="inlineStr">
        <is>
          <t>49090 Homewood Suites Edgewater</t>
        </is>
      </c>
      <c r="B508" s="58" t="inlineStr">
        <is>
          <t>Bergen</t>
        </is>
      </c>
      <c r="C508" s="58" t="inlineStr">
        <is>
          <t>Dan Lagala</t>
        </is>
      </c>
      <c r="D508" s="58" t="inlineStr">
        <is>
          <t>On-premise</t>
        </is>
      </c>
      <c r="E508" s="53" t="n">
        <v>50</v>
      </c>
      <c r="F508" s="53" t="n">
        <v>67</v>
      </c>
      <c r="G508" s="55" t="n">
        <v>452.28</v>
      </c>
      <c r="H508" s="55" t="n">
        <v>724.98</v>
      </c>
      <c r="I508" s="53" t="n">
        <v>20</v>
      </c>
      <c r="J508" s="53" t="n">
        <v>11</v>
      </c>
      <c r="K508" s="53" t="n">
        <v>6</v>
      </c>
      <c r="L508" s="53" t="n">
        <v>17</v>
      </c>
      <c r="M508" s="33">
        <f>F508-E508</f>
        <v/>
      </c>
      <c r="N508" s="33">
        <f>L508-K508</f>
        <v/>
      </c>
    </row>
    <row r="509">
      <c r="A509" s="58" t="inlineStr">
        <is>
          <t>44008 GOGIYA</t>
        </is>
      </c>
      <c r="B509" s="58" t="inlineStr">
        <is>
          <t>Bergen</t>
        </is>
      </c>
      <c r="C509" s="58" t="inlineStr">
        <is>
          <t>Dan Lagala</t>
        </is>
      </c>
      <c r="D509" s="58" t="inlineStr">
        <is>
          <t>On-premise</t>
        </is>
      </c>
      <c r="E509" s="53" t="n">
        <v>12</v>
      </c>
      <c r="F509" s="53" t="n">
        <v>51</v>
      </c>
      <c r="G509" s="55" t="n">
        <v>103.38</v>
      </c>
      <c r="H509" s="55" t="n">
        <v>454.66</v>
      </c>
      <c r="I509" s="53" t="n">
        <v>0</v>
      </c>
      <c r="J509" s="53" t="n">
        <v>0</v>
      </c>
      <c r="K509" s="53" t="n">
        <v>12</v>
      </c>
      <c r="L509" s="53" t="n">
        <v>23</v>
      </c>
      <c r="M509" s="33">
        <f>F509-E509</f>
        <v/>
      </c>
      <c r="N509" s="33">
        <f>L509-K509</f>
        <v/>
      </c>
    </row>
    <row r="510">
      <c r="A510" s="58" t="inlineStr">
        <is>
          <t>170027 Discount Liquors West New York</t>
        </is>
      </c>
      <c r="B510" s="58" t="inlineStr">
        <is>
          <t>Hudson</t>
        </is>
      </c>
      <c r="C510" s="58" t="inlineStr">
        <is>
          <t>Dylan Rubino</t>
        </is>
      </c>
      <c r="D510" s="58" t="inlineStr">
        <is>
          <t>Off-premise</t>
        </is>
      </c>
      <c r="E510" s="53" t="n">
        <v>18</v>
      </c>
      <c r="F510" s="53" t="n">
        <v>29</v>
      </c>
      <c r="G510" s="55" t="n">
        <v>143.05</v>
      </c>
      <c r="H510" s="55" t="n">
        <v>228.88</v>
      </c>
      <c r="I510" s="53" t="n">
        <v>150</v>
      </c>
      <c r="J510" s="53" t="n">
        <v>67</v>
      </c>
      <c r="K510" s="53" t="n">
        <v>18</v>
      </c>
      <c r="L510" s="53" t="n">
        <v>29</v>
      </c>
      <c r="M510" s="33">
        <f>F510-E510</f>
        <v/>
      </c>
      <c r="N510" s="33">
        <f>L510-K510</f>
        <v/>
      </c>
    </row>
    <row r="511">
      <c r="A511" s="58" t="inlineStr">
        <is>
          <t>170031 City Liquors</t>
        </is>
      </c>
      <c r="B511" s="58" t="inlineStr">
        <is>
          <t>Hudson</t>
        </is>
      </c>
      <c r="C511" s="58" t="inlineStr">
        <is>
          <t>Dylan Rubino</t>
        </is>
      </c>
      <c r="D511" s="58" t="inlineStr">
        <is>
          <t>Off-premise</t>
        </is>
      </c>
      <c r="E511" s="53" t="n">
        <v>30</v>
      </c>
      <c r="F511" s="53" t="n">
        <v>41</v>
      </c>
      <c r="G511" s="55" t="n">
        <v>214.76</v>
      </c>
      <c r="H511" s="55" t="n">
        <v>300.59</v>
      </c>
      <c r="I511" s="53" t="n">
        <v>441</v>
      </c>
      <c r="J511" s="53" t="n">
        <v>364</v>
      </c>
      <c r="K511" s="53" t="n">
        <v>30</v>
      </c>
      <c r="L511" s="53" t="n">
        <v>41</v>
      </c>
      <c r="M511" s="33">
        <f>F511-E511</f>
        <v/>
      </c>
      <c r="N511" s="33">
        <f>L511-K511</f>
        <v/>
      </c>
    </row>
    <row r="512">
      <c r="A512" s="58" t="inlineStr">
        <is>
          <t>170122 Liquor Boss</t>
        </is>
      </c>
      <c r="B512" s="58" t="inlineStr">
        <is>
          <t>Hudson</t>
        </is>
      </c>
      <c r="C512" s="58" t="inlineStr">
        <is>
          <t>Dylan Rubino</t>
        </is>
      </c>
      <c r="D512" s="58" t="inlineStr">
        <is>
          <t>Off-premise</t>
        </is>
      </c>
      <c r="E512" s="53" t="n">
        <v>40</v>
      </c>
      <c r="F512" s="53" t="n">
        <v>51</v>
      </c>
      <c r="G512" s="55" t="n">
        <v>277.5</v>
      </c>
      <c r="H512" s="55" t="n">
        <v>363.85</v>
      </c>
      <c r="I512" s="53" t="n">
        <v>8</v>
      </c>
      <c r="J512" s="53" t="n">
        <v>25</v>
      </c>
      <c r="K512" s="53" t="n">
        <v>40</v>
      </c>
      <c r="L512" s="53" t="n">
        <v>51</v>
      </c>
      <c r="M512" s="33">
        <f>F512-E512</f>
        <v/>
      </c>
      <c r="N512" s="33">
        <f>L512-K512</f>
        <v/>
      </c>
    </row>
    <row r="513">
      <c r="A513" s="58" t="inlineStr">
        <is>
          <t>170146 Jenny's Liq</t>
        </is>
      </c>
      <c r="B513" s="58" t="inlineStr">
        <is>
          <t>Hudson</t>
        </is>
      </c>
      <c r="C513" s="58" t="inlineStr">
        <is>
          <t>Dylan Rubino</t>
        </is>
      </c>
      <c r="D513" s="58" t="inlineStr">
        <is>
          <t>Off-premise</t>
        </is>
      </c>
      <c r="E513" s="53" t="n">
        <v>9</v>
      </c>
      <c r="F513" s="53" t="n">
        <v>20</v>
      </c>
      <c r="G513" s="55" t="n">
        <v>71.53</v>
      </c>
      <c r="H513" s="55" t="n">
        <v>128.6</v>
      </c>
      <c r="I513" s="53" t="n">
        <v>120</v>
      </c>
      <c r="J513" s="53" t="n">
        <v>65</v>
      </c>
      <c r="K513" s="53" t="n">
        <v>9</v>
      </c>
      <c r="L513" s="53" t="n">
        <v>20</v>
      </c>
      <c r="M513" s="33">
        <f>F513-E513</f>
        <v/>
      </c>
      <c r="N513" s="33">
        <f>L513-K513</f>
        <v/>
      </c>
    </row>
    <row r="514">
      <c r="A514" s="58" t="inlineStr">
        <is>
          <t>17027 FOOD BAZAAR</t>
        </is>
      </c>
      <c r="B514" s="58" t="inlineStr">
        <is>
          <t>Hudson</t>
        </is>
      </c>
      <c r="C514" s="58" t="inlineStr">
        <is>
          <t>Dylan Rubino</t>
        </is>
      </c>
      <c r="D514" s="58" t="inlineStr">
        <is>
          <t>Off-premise</t>
        </is>
      </c>
      <c r="E514" s="53" t="n">
        <v>33</v>
      </c>
      <c r="F514" s="53" t="n">
        <v>44</v>
      </c>
      <c r="G514" s="55" t="n">
        <v>235.23</v>
      </c>
      <c r="H514" s="55" t="n">
        <v>266.09</v>
      </c>
      <c r="I514" s="53" t="n">
        <v>81</v>
      </c>
      <c r="J514" s="53" t="n">
        <v>50</v>
      </c>
      <c r="K514" s="53" t="n">
        <v>33</v>
      </c>
      <c r="L514" s="53" t="n">
        <v>44</v>
      </c>
      <c r="M514" s="33">
        <f>F514-E514</f>
        <v/>
      </c>
      <c r="N514" s="33">
        <f>L514-K514</f>
        <v/>
      </c>
    </row>
    <row r="515">
      <c r="A515" s="58" t="inlineStr">
        <is>
          <t>230902 Buy Rite Liquors Franklin</t>
        </is>
      </c>
      <c r="B515" s="58" t="inlineStr">
        <is>
          <t>Sussex</t>
        </is>
      </c>
      <c r="C515" s="58" t="inlineStr">
        <is>
          <t>Jayson Romine</t>
        </is>
      </c>
      <c r="D515" s="58" t="inlineStr">
        <is>
          <t>Off-premise</t>
        </is>
      </c>
      <c r="E515" s="53" t="n">
        <v>2296</v>
      </c>
      <c r="F515" s="53" t="n">
        <v>2243</v>
      </c>
      <c r="G515" s="55" t="n">
        <v>14612.93</v>
      </c>
      <c r="H515" s="55" t="n">
        <v>15038.28</v>
      </c>
      <c r="I515" s="53" t="n">
        <v>824</v>
      </c>
      <c r="J515" s="53" t="n">
        <v>817</v>
      </c>
      <c r="K515" s="53" t="n">
        <v>305</v>
      </c>
      <c r="L515" s="53" t="n">
        <v>316</v>
      </c>
      <c r="M515" s="33">
        <f>F515-E515</f>
        <v/>
      </c>
      <c r="N515" s="33">
        <f>L515-K515</f>
        <v/>
      </c>
    </row>
    <row r="516">
      <c r="A516" s="58" t="inlineStr">
        <is>
          <t>29003 Liquor Shed</t>
        </is>
      </c>
      <c r="B516" s="58" t="inlineStr">
        <is>
          <t>Bergen</t>
        </is>
      </c>
      <c r="C516" s="58" t="inlineStr">
        <is>
          <t>Jim Heaney</t>
        </is>
      </c>
      <c r="D516" s="58" t="inlineStr">
        <is>
          <t>Off-premise</t>
        </is>
      </c>
      <c r="E516" s="53" t="n">
        <v>2063</v>
      </c>
      <c r="F516" s="53" t="n">
        <v>1700</v>
      </c>
      <c r="G516" s="55" t="n">
        <v>13862.37</v>
      </c>
      <c r="H516" s="55" t="n">
        <v>11869.7</v>
      </c>
      <c r="I516" s="53" t="n">
        <v>328</v>
      </c>
      <c r="J516" s="53" t="n">
        <v>357</v>
      </c>
      <c r="K516" s="53" t="n">
        <v>182</v>
      </c>
      <c r="L516" s="53" t="n">
        <v>193</v>
      </c>
      <c r="M516" s="33">
        <f>F516-E516</f>
        <v/>
      </c>
      <c r="N516" s="33">
        <f>L516-K516</f>
        <v/>
      </c>
    </row>
    <row r="517">
      <c r="A517" s="58" t="inlineStr">
        <is>
          <t>191827 Best Cellars(Ledgewood)</t>
        </is>
      </c>
      <c r="B517" s="58" t="inlineStr">
        <is>
          <t>Morris</t>
        </is>
      </c>
      <c r="C517" s="58" t="inlineStr">
        <is>
          <t>John O'Donoghue</t>
        </is>
      </c>
      <c r="D517" s="58" t="inlineStr">
        <is>
          <t>Unmatched</t>
        </is>
      </c>
      <c r="E517" s="53" t="n">
        <v>58</v>
      </c>
      <c r="F517" s="53" t="n">
        <v>69</v>
      </c>
      <c r="G517" s="55" t="n">
        <v>418.24</v>
      </c>
      <c r="H517" s="55" t="n">
        <v>488.81</v>
      </c>
      <c r="I517" s="53" t="n">
        <v>370</v>
      </c>
      <c r="J517" s="53" t="n">
        <v>385</v>
      </c>
      <c r="K517" s="53" t="n">
        <v>58</v>
      </c>
      <c r="L517" s="53" t="n">
        <v>69</v>
      </c>
      <c r="M517" s="33">
        <f>F517-E517</f>
        <v/>
      </c>
      <c r="N517" s="33">
        <f>L517-K517</f>
        <v/>
      </c>
    </row>
    <row r="518">
      <c r="A518" s="58" t="inlineStr">
        <is>
          <t>191803 Kingston Liquors</t>
        </is>
      </c>
      <c r="B518" s="58" t="inlineStr">
        <is>
          <t>Morris</t>
        </is>
      </c>
      <c r="C518" s="58" t="inlineStr">
        <is>
          <t>Klejdi Lamo</t>
        </is>
      </c>
      <c r="D518" s="58" t="inlineStr">
        <is>
          <t>Off-premise</t>
        </is>
      </c>
      <c r="E518" s="53" t="n">
        <v>1814</v>
      </c>
      <c r="F518" s="53" t="n">
        <v>1727</v>
      </c>
      <c r="G518" s="55" t="n">
        <v>12916.74</v>
      </c>
      <c r="H518" s="55" t="n">
        <v>12490.56</v>
      </c>
      <c r="I518" s="53" t="n">
        <v>411</v>
      </c>
      <c r="J518" s="53" t="n">
        <v>394</v>
      </c>
      <c r="K518" s="53" t="n">
        <v>223</v>
      </c>
      <c r="L518" s="53" t="n">
        <v>234</v>
      </c>
      <c r="M518" s="33">
        <f>F518-E518</f>
        <v/>
      </c>
      <c r="N518" s="33">
        <f>L518-K518</f>
        <v/>
      </c>
    </row>
    <row r="519">
      <c r="A519" s="58" t="inlineStr">
        <is>
          <t>80007 The Orange Lantern</t>
        </is>
      </c>
      <c r="B519" s="58" t="inlineStr">
        <is>
          <t>Bergen</t>
        </is>
      </c>
      <c r="C519" s="58" t="inlineStr">
        <is>
          <t>Nick Melissari</t>
        </is>
      </c>
      <c r="D519" s="58" t="inlineStr">
        <is>
          <t>On-premise</t>
        </is>
      </c>
      <c r="E519" s="53" t="n">
        <v>633</v>
      </c>
      <c r="F519" s="53" t="n">
        <v>561</v>
      </c>
      <c r="G519" s="55" t="n">
        <v>4156.95</v>
      </c>
      <c r="H519" s="55" t="n">
        <v>3884.71</v>
      </c>
      <c r="I519" s="53" t="n">
        <v>107</v>
      </c>
      <c r="J519" s="53" t="n">
        <v>165</v>
      </c>
      <c r="K519" s="53" t="n">
        <v>78</v>
      </c>
      <c r="L519" s="53" t="n">
        <v>89</v>
      </c>
      <c r="M519" s="33">
        <f>F519-E519</f>
        <v/>
      </c>
      <c r="N519" s="33">
        <f>L519-K519</f>
        <v/>
      </c>
    </row>
    <row r="520">
      <c r="A520" s="58" t="inlineStr">
        <is>
          <t>77003 Blue 42 Restaurant &amp; Bar</t>
        </is>
      </c>
      <c r="B520" s="58" t="inlineStr">
        <is>
          <t>Bergen</t>
        </is>
      </c>
      <c r="C520" s="58" t="inlineStr">
        <is>
          <t>Nick Melissari</t>
        </is>
      </c>
      <c r="D520" s="58" t="inlineStr">
        <is>
          <t>On-premise</t>
        </is>
      </c>
      <c r="E520" s="53" t="n">
        <v>621</v>
      </c>
      <c r="F520" s="53" t="n">
        <v>666</v>
      </c>
      <c r="G520" s="55" t="n">
        <v>4308.599999999999</v>
      </c>
      <c r="H520" s="55" t="n">
        <v>5226.619999999999</v>
      </c>
      <c r="I520" s="53" t="n">
        <v>151</v>
      </c>
      <c r="J520" s="53" t="n">
        <v>124</v>
      </c>
      <c r="K520" s="53" t="n">
        <v>5</v>
      </c>
      <c r="L520" s="53" t="n">
        <v>16</v>
      </c>
      <c r="M520" s="33">
        <f>F520-E520</f>
        <v/>
      </c>
      <c r="N520" s="33">
        <f>L520-K520</f>
        <v/>
      </c>
    </row>
    <row r="521">
      <c r="A521" s="58" t="inlineStr">
        <is>
          <t>24032 El Dorado Rest (Z)</t>
        </is>
      </c>
      <c r="B521" s="58" t="inlineStr">
        <is>
          <t>Passaic</t>
        </is>
      </c>
      <c r="C521" s="58" t="inlineStr">
        <is>
          <t>Pablo Lopez</t>
        </is>
      </c>
      <c r="D521" s="58" t="inlineStr">
        <is>
          <t>On-premise</t>
        </is>
      </c>
      <c r="E521" s="53" t="n">
        <v>179</v>
      </c>
      <c r="F521" s="53" t="n">
        <v>198</v>
      </c>
      <c r="G521" s="55" t="n">
        <v>1407.72</v>
      </c>
      <c r="H521" s="55" t="n">
        <v>1518.81</v>
      </c>
      <c r="I521" s="53" t="n">
        <v>13</v>
      </c>
      <c r="J521" s="53" t="n">
        <v>3</v>
      </c>
      <c r="K521" s="53" t="n">
        <v>17</v>
      </c>
      <c r="L521" s="53" t="n">
        <v>28</v>
      </c>
      <c r="M521" s="33">
        <f>F521-E521</f>
        <v/>
      </c>
      <c r="N521" s="33">
        <f>L521-K521</f>
        <v/>
      </c>
    </row>
    <row r="522">
      <c r="A522" s="58" t="inlineStr">
        <is>
          <t>41020 Lidos Restaurant (P)</t>
        </is>
      </c>
      <c r="B522" s="58" t="inlineStr">
        <is>
          <t>Bergen</t>
        </is>
      </c>
      <c r="C522" s="58" t="inlineStr">
        <is>
          <t>Paul Mclaughlin</t>
        </is>
      </c>
      <c r="D522" s="58" t="inlineStr">
        <is>
          <t>On-premise</t>
        </is>
      </c>
      <c r="E522" s="53" t="n">
        <v>80</v>
      </c>
      <c r="F522" s="53" t="n">
        <v>82</v>
      </c>
      <c r="G522" s="55" t="n">
        <v>634.4799999999999</v>
      </c>
      <c r="H522" s="55" t="n">
        <v>777.4000000000001</v>
      </c>
      <c r="I522" s="53" t="n">
        <v>34</v>
      </c>
      <c r="J522" s="53" t="n">
        <v>42</v>
      </c>
      <c r="K522" s="53" t="n">
        <v>10</v>
      </c>
      <c r="L522" s="53" t="n">
        <v>21</v>
      </c>
      <c r="M522" s="33">
        <f>F522-E522</f>
        <v/>
      </c>
      <c r="N522" s="33">
        <f>L522-K522</f>
        <v/>
      </c>
    </row>
    <row r="523">
      <c r="A523" s="58" t="inlineStr">
        <is>
          <t>52018 Aumm Aumm @The Brownstone</t>
        </is>
      </c>
      <c r="B523" s="58" t="inlineStr">
        <is>
          <t>Bergen</t>
        </is>
      </c>
      <c r="C523" s="58" t="inlineStr">
        <is>
          <t>Paul Mclaughlin</t>
        </is>
      </c>
      <c r="D523" s="58" t="inlineStr">
        <is>
          <t>On-premise</t>
        </is>
      </c>
      <c r="E523" s="53" t="n">
        <v>91</v>
      </c>
      <c r="F523" s="53" t="n">
        <v>110</v>
      </c>
      <c r="G523" s="55" t="n">
        <v>844.55</v>
      </c>
      <c r="H523" s="55" t="n">
        <v>1123.17</v>
      </c>
      <c r="I523" s="53" t="n">
        <v>27</v>
      </c>
      <c r="J523" s="53" t="n">
        <v>25</v>
      </c>
      <c r="K523" s="53" t="n">
        <v>45</v>
      </c>
      <c r="L523" s="53" t="n">
        <v>56</v>
      </c>
      <c r="M523" s="33">
        <f>F523-E523</f>
        <v/>
      </c>
      <c r="N523" s="33">
        <f>L523-K523</f>
        <v/>
      </c>
    </row>
    <row r="524">
      <c r="A524" s="58" t="inlineStr">
        <is>
          <t>76004 Marriot Hotel(A)Saddle Bk</t>
        </is>
      </c>
      <c r="B524" s="58" t="inlineStr">
        <is>
          <t>Bergen</t>
        </is>
      </c>
      <c r="C524" s="58" t="inlineStr">
        <is>
          <t>Robin Feldman</t>
        </is>
      </c>
      <c r="D524" s="58" t="inlineStr">
        <is>
          <t>On-premise</t>
        </is>
      </c>
      <c r="E524" s="53" t="n">
        <v>50</v>
      </c>
      <c r="F524" s="53" t="n">
        <v>86</v>
      </c>
      <c r="G524" s="55" t="n">
        <v>422.01</v>
      </c>
      <c r="H524" s="55" t="n">
        <v>886.99</v>
      </c>
      <c r="I524" s="53" t="n">
        <v>42</v>
      </c>
      <c r="J524" s="53" t="n">
        <v>34</v>
      </c>
      <c r="K524" s="53" t="n">
        <v>14</v>
      </c>
      <c r="L524" s="53" t="n">
        <v>25</v>
      </c>
      <c r="M524" s="33">
        <f>F524-E524</f>
        <v/>
      </c>
      <c r="N524" s="33">
        <f>L524-K524</f>
        <v/>
      </c>
    </row>
    <row r="525">
      <c r="A525" s="58" t="inlineStr">
        <is>
          <t>250049 New Seaport Liquors</t>
        </is>
      </c>
      <c r="B525" s="58" t="inlineStr">
        <is>
          <t>Union</t>
        </is>
      </c>
      <c r="C525" s="58" t="inlineStr">
        <is>
          <t>Alex Rodriguez</t>
        </is>
      </c>
      <c r="D525" s="58" t="inlineStr">
        <is>
          <t>Off-premise</t>
        </is>
      </c>
      <c r="E525" s="53" t="n">
        <v>0</v>
      </c>
      <c r="F525" s="53" t="n">
        <v>10</v>
      </c>
      <c r="G525" s="55" t="n">
        <v>0</v>
      </c>
      <c r="H525" s="55" t="n">
        <v>71.56999999999999</v>
      </c>
      <c r="I525" s="53" t="n">
        <v>159</v>
      </c>
      <c r="J525" s="53" t="n">
        <v>239</v>
      </c>
      <c r="K525" s="53" t="n">
        <v>0</v>
      </c>
      <c r="L525" s="53" t="n">
        <v>10</v>
      </c>
      <c r="M525" s="33">
        <f>F525-E525</f>
        <v/>
      </c>
      <c r="N525" s="33">
        <f>L525-K525</f>
        <v/>
      </c>
    </row>
    <row r="526">
      <c r="A526" s="58" t="inlineStr">
        <is>
          <t>250070 Pereira's Liquor</t>
        </is>
      </c>
      <c r="B526" s="58" t="inlineStr">
        <is>
          <t>Union</t>
        </is>
      </c>
      <c r="C526" s="58" t="inlineStr">
        <is>
          <t>Alex Rodriguez</t>
        </is>
      </c>
      <c r="D526" s="58" t="inlineStr">
        <is>
          <t>Off-premise</t>
        </is>
      </c>
      <c r="E526" s="53" t="n">
        <v>0</v>
      </c>
      <c r="F526" s="53" t="n">
        <v>10</v>
      </c>
      <c r="G526" s="55" t="n">
        <v>0</v>
      </c>
      <c r="H526" s="55" t="n">
        <v>77.97</v>
      </c>
      <c r="I526" s="53" t="n">
        <v>68</v>
      </c>
      <c r="J526" s="53" t="n">
        <v>50</v>
      </c>
      <c r="K526" s="53" t="n">
        <v>0</v>
      </c>
      <c r="L526" s="53" t="n">
        <v>10</v>
      </c>
      <c r="M526" s="33">
        <f>F526-E526</f>
        <v/>
      </c>
      <c r="N526" s="33">
        <f>L526-K526</f>
        <v/>
      </c>
    </row>
    <row r="527">
      <c r="A527" s="58" t="inlineStr">
        <is>
          <t>250132 Butlers Liquor Store</t>
        </is>
      </c>
      <c r="B527" s="58" t="inlineStr">
        <is>
          <t>Union</t>
        </is>
      </c>
      <c r="C527" s="58" t="inlineStr">
        <is>
          <t>Alex Rodriguez</t>
        </is>
      </c>
      <c r="D527" s="58" t="inlineStr">
        <is>
          <t>Off-premise</t>
        </is>
      </c>
      <c r="E527" s="53" t="n">
        <v>18</v>
      </c>
      <c r="F527" s="53" t="n">
        <v>28</v>
      </c>
      <c r="G527" s="55" t="n">
        <v>143.05</v>
      </c>
      <c r="H527" s="55" t="n">
        <v>214.58</v>
      </c>
      <c r="I527" s="53" t="n">
        <v>25</v>
      </c>
      <c r="J527" s="53" t="n">
        <v>9</v>
      </c>
      <c r="K527" s="53" t="n">
        <v>18</v>
      </c>
      <c r="L527" s="53" t="n">
        <v>28</v>
      </c>
      <c r="M527" s="33">
        <f>F527-E527</f>
        <v/>
      </c>
      <c r="N527" s="33">
        <f>L527-K527</f>
        <v/>
      </c>
    </row>
    <row r="528">
      <c r="A528" s="58" t="inlineStr">
        <is>
          <t>250149 South Ave Liquors</t>
        </is>
      </c>
      <c r="B528" s="58" t="inlineStr">
        <is>
          <t>Union</t>
        </is>
      </c>
      <c r="C528" s="58" t="inlineStr">
        <is>
          <t>Alex Rodriguez</t>
        </is>
      </c>
      <c r="D528" s="58" t="inlineStr">
        <is>
          <t>Off-premise</t>
        </is>
      </c>
      <c r="E528" s="53" t="n">
        <v>10</v>
      </c>
      <c r="F528" s="53" t="n">
        <v>20</v>
      </c>
      <c r="G528" s="55" t="n">
        <v>70.36</v>
      </c>
      <c r="H528" s="55" t="n">
        <v>139.8</v>
      </c>
      <c r="I528" s="53" t="n">
        <v>133</v>
      </c>
      <c r="J528" s="53" t="n">
        <v>114</v>
      </c>
      <c r="K528" s="53" t="n">
        <v>10</v>
      </c>
      <c r="L528" s="53" t="n">
        <v>20</v>
      </c>
      <c r="M528" s="33">
        <f>F528-E528</f>
        <v/>
      </c>
      <c r="N528" s="33">
        <f>L528-K528</f>
        <v/>
      </c>
    </row>
    <row r="529">
      <c r="A529" s="58" t="inlineStr">
        <is>
          <t>250152 C &amp; B Liquors</t>
        </is>
      </c>
      <c r="B529" s="58" t="inlineStr">
        <is>
          <t>Union</t>
        </is>
      </c>
      <c r="C529" s="58" t="inlineStr">
        <is>
          <t>Alex Rodriguez</t>
        </is>
      </c>
      <c r="D529" s="58" t="inlineStr">
        <is>
          <t>Off-premise</t>
        </is>
      </c>
      <c r="E529" s="53" t="n">
        <v>0</v>
      </c>
      <c r="F529" s="53" t="n">
        <v>10</v>
      </c>
      <c r="G529" s="55" t="n">
        <v>0</v>
      </c>
      <c r="H529" s="55" t="n">
        <v>70.36</v>
      </c>
      <c r="I529" s="53" t="n">
        <v>42</v>
      </c>
      <c r="J529" s="53" t="n">
        <v>34</v>
      </c>
      <c r="K529" s="53" t="n">
        <v>0</v>
      </c>
      <c r="L529" s="53" t="n">
        <v>10</v>
      </c>
      <c r="M529" s="33">
        <f>F529-E529</f>
        <v/>
      </c>
      <c r="N529" s="33">
        <f>L529-K529</f>
        <v/>
      </c>
    </row>
    <row r="530">
      <c r="A530" s="58" t="inlineStr">
        <is>
          <t>250191 Roselle Park Liquors</t>
        </is>
      </c>
      <c r="B530" s="58" t="inlineStr">
        <is>
          <t>Union</t>
        </is>
      </c>
      <c r="C530" s="58" t="inlineStr">
        <is>
          <t>Alex Rodriguez</t>
        </is>
      </c>
      <c r="D530" s="58" t="inlineStr">
        <is>
          <t>Off-premise</t>
        </is>
      </c>
      <c r="E530" s="53" t="n">
        <v>9</v>
      </c>
      <c r="F530" s="53" t="n">
        <v>19</v>
      </c>
      <c r="G530" s="55" t="n">
        <v>71.53</v>
      </c>
      <c r="H530" s="55" t="n">
        <v>142.85</v>
      </c>
      <c r="I530" s="53" t="n">
        <v>18</v>
      </c>
      <c r="J530" s="53" t="n">
        <v>30</v>
      </c>
      <c r="K530" s="53" t="n">
        <v>9</v>
      </c>
      <c r="L530" s="53" t="n">
        <v>19</v>
      </c>
      <c r="M530" s="33">
        <f>F530-E530</f>
        <v/>
      </c>
      <c r="N530" s="33">
        <f>L530-K530</f>
        <v/>
      </c>
    </row>
    <row r="531">
      <c r="A531" s="58" t="inlineStr">
        <is>
          <t>150128 C &amp; I Liquors(Superfresh)</t>
        </is>
      </c>
      <c r="B531" s="58" t="inlineStr">
        <is>
          <t>Essex</t>
        </is>
      </c>
      <c r="C531" s="58" t="inlineStr">
        <is>
          <t>Alisa Acciardi</t>
        </is>
      </c>
      <c r="D531" s="58" t="inlineStr">
        <is>
          <t>Off-premise</t>
        </is>
      </c>
      <c r="E531" s="53" t="n">
        <v>0</v>
      </c>
      <c r="F531" s="53" t="n">
        <v>10</v>
      </c>
      <c r="G531" s="55" t="n">
        <v>0</v>
      </c>
      <c r="H531" s="55" t="n">
        <v>70.15000000000001</v>
      </c>
      <c r="I531" s="53" t="n">
        <v>0</v>
      </c>
      <c r="J531" s="53" t="n">
        <v>116</v>
      </c>
      <c r="K531" s="53" t="n">
        <v>0</v>
      </c>
      <c r="L531" s="53" t="n">
        <v>10</v>
      </c>
      <c r="M531" s="33">
        <f>F531-E531</f>
        <v/>
      </c>
      <c r="N531" s="33">
        <f>L531-K531</f>
        <v/>
      </c>
    </row>
    <row r="532">
      <c r="A532" s="58" t="inlineStr">
        <is>
          <t>152026 Mulberry Liquors</t>
        </is>
      </c>
      <c r="B532" s="58" t="inlineStr">
        <is>
          <t>Essex</t>
        </is>
      </c>
      <c r="C532" s="58" t="inlineStr">
        <is>
          <t>Alisa Acciardi</t>
        </is>
      </c>
      <c r="D532" s="58" t="inlineStr">
        <is>
          <t>Off-premise</t>
        </is>
      </c>
      <c r="E532" s="53" t="n">
        <v>0</v>
      </c>
      <c r="F532" s="53" t="n">
        <v>10</v>
      </c>
      <c r="G532" s="55" t="n">
        <v>0</v>
      </c>
      <c r="H532" s="55" t="n">
        <v>69.2</v>
      </c>
      <c r="I532" s="53" t="n">
        <v>0</v>
      </c>
      <c r="J532" s="53" t="n">
        <v>38</v>
      </c>
      <c r="K532" s="53" t="n">
        <v>0</v>
      </c>
      <c r="L532" s="53" t="n">
        <v>10</v>
      </c>
      <c r="M532" s="33">
        <f>F532-E532</f>
        <v/>
      </c>
      <c r="N532" s="33">
        <f>L532-K532</f>
        <v/>
      </c>
    </row>
    <row r="533">
      <c r="A533" s="58" t="inlineStr">
        <is>
          <t>170056 Golden Beer &amp; Liquor</t>
        </is>
      </c>
      <c r="B533" s="58" t="inlineStr">
        <is>
          <t>Hudson</t>
        </is>
      </c>
      <c r="C533" s="58" t="inlineStr">
        <is>
          <t>Alisa Acciardi</t>
        </is>
      </c>
      <c r="D533" s="58" t="inlineStr">
        <is>
          <t>Off-premise</t>
        </is>
      </c>
      <c r="E533" s="53" t="n">
        <v>0</v>
      </c>
      <c r="F533" s="53" t="n">
        <v>10</v>
      </c>
      <c r="G533" s="55" t="n">
        <v>0</v>
      </c>
      <c r="H533" s="55" t="n">
        <v>71.56</v>
      </c>
      <c r="I533" s="53" t="n">
        <v>0</v>
      </c>
      <c r="J533" s="53" t="n">
        <v>25</v>
      </c>
      <c r="K533" s="53" t="n">
        <v>0</v>
      </c>
      <c r="L533" s="53" t="n">
        <v>10</v>
      </c>
      <c r="M533" s="33">
        <f>F533-E533</f>
        <v/>
      </c>
      <c r="N533" s="33">
        <f>L533-K533</f>
        <v/>
      </c>
    </row>
    <row r="534">
      <c r="A534" s="58" t="inlineStr">
        <is>
          <t>24056 Jaime's (A)</t>
        </is>
      </c>
      <c r="B534" s="58" t="inlineStr">
        <is>
          <t>Passaic</t>
        </is>
      </c>
      <c r="C534" s="58" t="inlineStr">
        <is>
          <t>Allison Scott</t>
        </is>
      </c>
      <c r="D534" s="58" t="inlineStr">
        <is>
          <t>On-premise</t>
        </is>
      </c>
      <c r="E534" s="53" t="n">
        <v>53</v>
      </c>
      <c r="F534" s="53" t="n">
        <v>77</v>
      </c>
      <c r="G534" s="55" t="n">
        <v>539.79</v>
      </c>
      <c r="H534" s="55" t="n">
        <v>737.47</v>
      </c>
      <c r="I534" s="53" t="n">
        <v>16</v>
      </c>
      <c r="J534" s="53" t="n">
        <v>8</v>
      </c>
      <c r="K534" s="53" t="n">
        <v>9</v>
      </c>
      <c r="L534" s="53" t="n">
        <v>19</v>
      </c>
      <c r="M534" s="33">
        <f>F534-E534</f>
        <v/>
      </c>
      <c r="N534" s="33">
        <f>L534-K534</f>
        <v/>
      </c>
    </row>
    <row r="535">
      <c r="A535" s="58" t="inlineStr">
        <is>
          <t>25036 Dingbatz (P)</t>
        </is>
      </c>
      <c r="B535" s="58" t="inlineStr">
        <is>
          <t>Passaic</t>
        </is>
      </c>
      <c r="C535" s="58" t="inlineStr">
        <is>
          <t>Allison Scott</t>
        </is>
      </c>
      <c r="D535" s="58" t="inlineStr">
        <is>
          <t>On-premise</t>
        </is>
      </c>
      <c r="E535" s="53" t="n">
        <v>200</v>
      </c>
      <c r="F535" s="53" t="n">
        <v>194</v>
      </c>
      <c r="G535" s="55" t="n">
        <v>1502.38</v>
      </c>
      <c r="H535" s="55" t="n">
        <v>1415.56</v>
      </c>
      <c r="I535" s="53" t="n">
        <v>35</v>
      </c>
      <c r="J535" s="53" t="n">
        <v>36</v>
      </c>
      <c r="K535" s="53" t="n">
        <v>10</v>
      </c>
      <c r="L535" s="53" t="n">
        <v>20</v>
      </c>
      <c r="M535" s="33">
        <f>F535-E535</f>
        <v/>
      </c>
      <c r="N535" s="33">
        <f>L535-K535</f>
        <v/>
      </c>
    </row>
    <row r="536">
      <c r="A536" s="58" t="inlineStr">
        <is>
          <t>250069 Mega Liquors</t>
        </is>
      </c>
      <c r="B536" s="58" t="inlineStr">
        <is>
          <t>Union</t>
        </is>
      </c>
      <c r="C536" s="58" t="inlineStr">
        <is>
          <t>Andrew Lundy</t>
        </is>
      </c>
      <c r="D536" s="58" t="inlineStr">
        <is>
          <t>Off-premise</t>
        </is>
      </c>
      <c r="E536" s="53" t="n">
        <v>33</v>
      </c>
      <c r="F536" s="53" t="n">
        <v>43</v>
      </c>
      <c r="G536" s="55" t="n">
        <v>266.85</v>
      </c>
      <c r="H536" s="55" t="n">
        <v>314.51</v>
      </c>
      <c r="I536" s="53" t="n">
        <v>188</v>
      </c>
      <c r="J536" s="53" t="n">
        <v>147</v>
      </c>
      <c r="K536" s="53" t="n">
        <v>33</v>
      </c>
      <c r="L536" s="53" t="n">
        <v>43</v>
      </c>
      <c r="M536" s="33">
        <f>F536-E536</f>
        <v/>
      </c>
      <c r="N536" s="33">
        <f>L536-K536</f>
        <v/>
      </c>
    </row>
    <row r="537">
      <c r="A537" s="58" t="inlineStr">
        <is>
          <t>250101 Luis Liquors</t>
        </is>
      </c>
      <c r="B537" s="58" t="inlineStr">
        <is>
          <t>Union</t>
        </is>
      </c>
      <c r="C537" s="58" t="inlineStr">
        <is>
          <t>Andrew Lundy</t>
        </is>
      </c>
      <c r="D537" s="58" t="inlineStr">
        <is>
          <t>Off-premise</t>
        </is>
      </c>
      <c r="E537" s="53" t="n">
        <v>0</v>
      </c>
      <c r="F537" s="53" t="n">
        <v>10</v>
      </c>
      <c r="G537" s="55" t="n">
        <v>0</v>
      </c>
      <c r="H537" s="55" t="n">
        <v>69.90000000000001</v>
      </c>
      <c r="I537" s="53" t="n">
        <v>0</v>
      </c>
      <c r="J537" s="53" t="n">
        <v>0</v>
      </c>
      <c r="K537" s="53" t="n">
        <v>0</v>
      </c>
      <c r="L537" s="53" t="n">
        <v>10</v>
      </c>
      <c r="M537" s="33">
        <f>F537-E537</f>
        <v/>
      </c>
      <c r="N537" s="33">
        <f>L537-K537</f>
        <v/>
      </c>
    </row>
    <row r="538">
      <c r="A538" s="58" t="inlineStr">
        <is>
          <t>250183 Chestnut St Spirits LLC</t>
        </is>
      </c>
      <c r="B538" s="58" t="inlineStr">
        <is>
          <t>Union</t>
        </is>
      </c>
      <c r="C538" s="58" t="inlineStr">
        <is>
          <t>Andrew Lundy</t>
        </is>
      </c>
      <c r="D538" s="58" t="inlineStr">
        <is>
          <t>Off-premise</t>
        </is>
      </c>
      <c r="E538" s="53" t="n">
        <v>0</v>
      </c>
      <c r="F538" s="53" t="n">
        <v>10</v>
      </c>
      <c r="G538" s="55" t="n">
        <v>0</v>
      </c>
      <c r="H538" s="55" t="n">
        <v>85.31</v>
      </c>
      <c r="I538" s="53" t="n">
        <v>235</v>
      </c>
      <c r="J538" s="53" t="n">
        <v>278</v>
      </c>
      <c r="K538" s="53" t="n">
        <v>0</v>
      </c>
      <c r="L538" s="53" t="n">
        <v>10</v>
      </c>
      <c r="M538" s="33">
        <f>F538-E538</f>
        <v/>
      </c>
      <c r="N538" s="33">
        <f>L538-K538</f>
        <v/>
      </c>
    </row>
    <row r="539">
      <c r="A539" s="58" t="inlineStr">
        <is>
          <t>251004 Payless Liquor_2</t>
        </is>
      </c>
      <c r="B539" s="58" t="inlineStr">
        <is>
          <t>Union</t>
        </is>
      </c>
      <c r="C539" s="58" t="inlineStr">
        <is>
          <t>Andrew Lundy</t>
        </is>
      </c>
      <c r="D539" s="58" t="inlineStr">
        <is>
          <t>Off-premise</t>
        </is>
      </c>
      <c r="E539" s="53" t="n">
        <v>0</v>
      </c>
      <c r="F539" s="53" t="n">
        <v>10</v>
      </c>
      <c r="G539" s="55" t="n">
        <v>0</v>
      </c>
      <c r="H539" s="55" t="n">
        <v>71.56</v>
      </c>
      <c r="I539" s="53" t="n">
        <v>312</v>
      </c>
      <c r="J539" s="53" t="n">
        <v>171</v>
      </c>
      <c r="K539" s="53" t="n">
        <v>0</v>
      </c>
      <c r="L539" s="53" t="n">
        <v>10</v>
      </c>
      <c r="M539" s="33">
        <f>F539-E539</f>
        <v/>
      </c>
      <c r="N539" s="33">
        <f>L539-K539</f>
        <v/>
      </c>
    </row>
    <row r="540">
      <c r="A540" s="58" t="inlineStr">
        <is>
          <t>230702 Hyde-Away Rest &amp; Tap Room</t>
        </is>
      </c>
      <c r="B540" s="58" t="inlineStr">
        <is>
          <t>Sussex</t>
        </is>
      </c>
      <c r="C540" s="58" t="inlineStr">
        <is>
          <t>Brian Sengebush</t>
        </is>
      </c>
      <c r="D540" s="58" t="inlineStr">
        <is>
          <t>On-premise</t>
        </is>
      </c>
      <c r="E540" s="53" t="n">
        <v>54</v>
      </c>
      <c r="F540" s="53" t="n">
        <v>58</v>
      </c>
      <c r="G540" s="55" t="n">
        <v>401.9300000000001</v>
      </c>
      <c r="H540" s="55" t="n">
        <v>542.55</v>
      </c>
      <c r="I540" s="53" t="n">
        <v>25</v>
      </c>
      <c r="J540" s="53" t="n">
        <v>70</v>
      </c>
      <c r="K540" s="53" t="n">
        <v>12</v>
      </c>
      <c r="L540" s="53" t="n">
        <v>22</v>
      </c>
      <c r="M540" s="33">
        <f>F540-E540</f>
        <v/>
      </c>
      <c r="N540" s="33">
        <f>L540-K540</f>
        <v/>
      </c>
    </row>
    <row r="541">
      <c r="A541" s="58" t="inlineStr">
        <is>
          <t>190214 Johnnie's Tavern</t>
        </is>
      </c>
      <c r="B541" s="58" t="inlineStr">
        <is>
          <t>Morris</t>
        </is>
      </c>
      <c r="C541" s="58" t="inlineStr">
        <is>
          <t>Brian Sengebush</t>
        </is>
      </c>
      <c r="D541" s="58" t="inlineStr">
        <is>
          <t>On-premise</t>
        </is>
      </c>
      <c r="E541" s="53" t="n">
        <v>1471</v>
      </c>
      <c r="F541" s="53" t="n">
        <v>1308</v>
      </c>
      <c r="G541" s="55" t="n">
        <v>8728.49</v>
      </c>
      <c r="H541" s="55" t="n">
        <v>8170.5</v>
      </c>
      <c r="I541" s="53" t="n">
        <v>165</v>
      </c>
      <c r="J541" s="53" t="n">
        <v>110</v>
      </c>
      <c r="K541" s="53" t="n">
        <v>38</v>
      </c>
      <c r="L541" s="53" t="n">
        <v>48</v>
      </c>
      <c r="M541" s="33">
        <f>F541-E541</f>
        <v/>
      </c>
      <c r="N541" s="33">
        <f>L541-K541</f>
        <v/>
      </c>
    </row>
    <row r="542">
      <c r="A542" s="58" t="inlineStr">
        <is>
          <t>43019 Cast Iron Pot (A)</t>
        </is>
      </c>
      <c r="B542" s="58" t="inlineStr">
        <is>
          <t>Bergen</t>
        </is>
      </c>
      <c r="C542" s="58" t="inlineStr">
        <is>
          <t>Dan Lagala</t>
        </is>
      </c>
      <c r="D542" s="58" t="inlineStr">
        <is>
          <t>On-premise</t>
        </is>
      </c>
      <c r="E542" s="53" t="n">
        <v>67</v>
      </c>
      <c r="F542" s="53" t="n">
        <v>85</v>
      </c>
      <c r="G542" s="55" t="n">
        <v>633.6800000000001</v>
      </c>
      <c r="H542" s="55" t="n">
        <v>736.66</v>
      </c>
      <c r="I542" s="53" t="n">
        <v>0</v>
      </c>
      <c r="J542" s="53" t="n">
        <v>0</v>
      </c>
      <c r="K542" s="53" t="n">
        <v>30</v>
      </c>
      <c r="L542" s="53" t="n">
        <v>40</v>
      </c>
      <c r="M542" s="33">
        <f>F542-E542</f>
        <v/>
      </c>
      <c r="N542" s="33">
        <f>L542-K542</f>
        <v/>
      </c>
    </row>
    <row r="543">
      <c r="A543" s="58" t="inlineStr">
        <is>
          <t>170001 Jersey Wine &amp; Spirits</t>
        </is>
      </c>
      <c r="B543" s="58" t="inlineStr">
        <is>
          <t>Hudson</t>
        </is>
      </c>
      <c r="C543" s="58" t="inlineStr">
        <is>
          <t>Dylan Rubino</t>
        </is>
      </c>
      <c r="D543" s="58" t="inlineStr">
        <is>
          <t>Off-premise</t>
        </is>
      </c>
      <c r="E543" s="53" t="n">
        <v>29</v>
      </c>
      <c r="F543" s="53" t="n">
        <v>39</v>
      </c>
      <c r="G543" s="55" t="n">
        <v>213.27</v>
      </c>
      <c r="H543" s="55" t="n">
        <v>284.38</v>
      </c>
      <c r="I543" s="53" t="n">
        <v>156</v>
      </c>
      <c r="J543" s="53" t="n">
        <v>110</v>
      </c>
      <c r="K543" s="53" t="n">
        <v>29</v>
      </c>
      <c r="L543" s="53" t="n">
        <v>39</v>
      </c>
      <c r="M543" s="33">
        <f>F543-E543</f>
        <v/>
      </c>
      <c r="N543" s="33">
        <f>L543-K543</f>
        <v/>
      </c>
    </row>
    <row r="544">
      <c r="A544" s="58" t="inlineStr">
        <is>
          <t>170033 Fulton Liquors (P)</t>
        </is>
      </c>
      <c r="B544" s="58" t="inlineStr">
        <is>
          <t>Hudson</t>
        </is>
      </c>
      <c r="C544" s="58" t="inlineStr">
        <is>
          <t>Dylan Rubino</t>
        </is>
      </c>
      <c r="D544" s="58" t="inlineStr">
        <is>
          <t>Off-premise</t>
        </is>
      </c>
      <c r="E544" s="53" t="n">
        <v>0</v>
      </c>
      <c r="F544" s="53" t="n">
        <v>10</v>
      </c>
      <c r="G544" s="55" t="n">
        <v>0</v>
      </c>
      <c r="H544" s="55" t="n">
        <v>85.83</v>
      </c>
      <c r="I544" s="53" t="n">
        <v>94</v>
      </c>
      <c r="J544" s="53" t="n">
        <v>82</v>
      </c>
      <c r="K544" s="53" t="n">
        <v>0</v>
      </c>
      <c r="L544" s="53" t="n">
        <v>10</v>
      </c>
      <c r="M544" s="33">
        <f>F544-E544</f>
        <v/>
      </c>
      <c r="N544" s="33">
        <f>L544-K544</f>
        <v/>
      </c>
    </row>
    <row r="545">
      <c r="A545" s="58" t="inlineStr">
        <is>
          <t>170106 Paulino Liquors</t>
        </is>
      </c>
      <c r="B545" s="58" t="inlineStr">
        <is>
          <t>Hudson</t>
        </is>
      </c>
      <c r="C545" s="58" t="inlineStr">
        <is>
          <t>Dylan Rubino</t>
        </is>
      </c>
      <c r="D545" s="58" t="inlineStr">
        <is>
          <t>Off-premise</t>
        </is>
      </c>
      <c r="E545" s="53" t="n">
        <v>0</v>
      </c>
      <c r="F545" s="53" t="n">
        <v>10</v>
      </c>
      <c r="G545" s="55" t="n">
        <v>0</v>
      </c>
      <c r="H545" s="55" t="n">
        <v>78.69</v>
      </c>
      <c r="I545" s="53" t="n">
        <v>0</v>
      </c>
      <c r="J545" s="53" t="n">
        <v>10</v>
      </c>
      <c r="K545" s="53" t="n">
        <v>0</v>
      </c>
      <c r="L545" s="53" t="n">
        <v>10</v>
      </c>
      <c r="M545" s="33">
        <f>F545-E545</f>
        <v/>
      </c>
      <c r="N545" s="33">
        <f>L545-K545</f>
        <v/>
      </c>
    </row>
    <row r="546">
      <c r="A546" s="58" t="inlineStr">
        <is>
          <t>170178 Reuben Liq (Uc) (P)</t>
        </is>
      </c>
      <c r="B546" s="58" t="inlineStr">
        <is>
          <t>Hudson</t>
        </is>
      </c>
      <c r="C546" s="58" t="inlineStr">
        <is>
          <t>Dylan Rubino</t>
        </is>
      </c>
      <c r="D546" s="58" t="inlineStr">
        <is>
          <t>Off-premise</t>
        </is>
      </c>
      <c r="E546" s="53" t="n">
        <v>9</v>
      </c>
      <c r="F546" s="53" t="n">
        <v>19</v>
      </c>
      <c r="G546" s="55" t="n">
        <v>71.53</v>
      </c>
      <c r="H546" s="55" t="n">
        <v>143.07</v>
      </c>
      <c r="I546" s="53" t="n">
        <v>69</v>
      </c>
      <c r="J546" s="53" t="n">
        <v>40</v>
      </c>
      <c r="K546" s="53" t="n">
        <v>9</v>
      </c>
      <c r="L546" s="53" t="n">
        <v>19</v>
      </c>
      <c r="M546" s="33">
        <f>F546-E546</f>
        <v/>
      </c>
      <c r="N546" s="33">
        <f>L546-K546</f>
        <v/>
      </c>
    </row>
    <row r="547">
      <c r="A547" s="58" t="inlineStr">
        <is>
          <t>170252 Baldwin W &amp; L</t>
        </is>
      </c>
      <c r="B547" s="58" t="inlineStr">
        <is>
          <t>Hudson</t>
        </is>
      </c>
      <c r="C547" s="58" t="inlineStr">
        <is>
          <t>Dylan Rubino</t>
        </is>
      </c>
      <c r="D547" s="58" t="inlineStr">
        <is>
          <t>Off-premise</t>
        </is>
      </c>
      <c r="E547" s="53" t="n">
        <v>18</v>
      </c>
      <c r="F547" s="53" t="n">
        <v>28</v>
      </c>
      <c r="G547" s="55" t="n">
        <v>143.05</v>
      </c>
      <c r="H547" s="55" t="n">
        <v>214.6</v>
      </c>
      <c r="I547" s="53" t="n">
        <v>24</v>
      </c>
      <c r="J547" s="53" t="n">
        <v>30</v>
      </c>
      <c r="K547" s="53" t="n">
        <v>18</v>
      </c>
      <c r="L547" s="53" t="n">
        <v>28</v>
      </c>
      <c r="M547" s="33">
        <f>F547-E547</f>
        <v/>
      </c>
      <c r="N547" s="33">
        <f>L547-K547</f>
        <v/>
      </c>
    </row>
    <row r="548">
      <c r="A548" s="58" t="inlineStr">
        <is>
          <t>170917 Regal Secaucus ShowPlace14</t>
        </is>
      </c>
      <c r="B548" s="58" t="inlineStr">
        <is>
          <t>Hudson</t>
        </is>
      </c>
      <c r="C548" s="58" t="inlineStr">
        <is>
          <t>Dylan Rubino</t>
        </is>
      </c>
      <c r="D548" s="58" t="inlineStr">
        <is>
          <t>Off-premise</t>
        </is>
      </c>
      <c r="E548" s="53" t="n">
        <v>0</v>
      </c>
      <c r="F548" s="53" t="n">
        <v>10</v>
      </c>
      <c r="G548" s="55" t="n">
        <v>0</v>
      </c>
      <c r="H548" s="55" t="n">
        <v>69.90000000000001</v>
      </c>
      <c r="I548" s="53" t="n">
        <v>0</v>
      </c>
      <c r="J548" s="53" t="n">
        <v>0</v>
      </c>
      <c r="K548" s="53" t="n">
        <v>0</v>
      </c>
      <c r="L548" s="53" t="n">
        <v>10</v>
      </c>
      <c r="M548" s="33">
        <f>F548-E548</f>
        <v/>
      </c>
      <c r="N548" s="33">
        <f>L548-K548</f>
        <v/>
      </c>
    </row>
    <row r="549">
      <c r="A549" s="58" t="inlineStr">
        <is>
          <t>171327 Bergenline Liquor (Z)</t>
        </is>
      </c>
      <c r="B549" s="58" t="inlineStr">
        <is>
          <t>Hudson</t>
        </is>
      </c>
      <c r="C549" s="58" t="inlineStr">
        <is>
          <t>Dylan Rubino</t>
        </is>
      </c>
      <c r="D549" s="58" t="inlineStr">
        <is>
          <t>Off-premise</t>
        </is>
      </c>
      <c r="E549" s="53" t="n">
        <v>0</v>
      </c>
      <c r="F549" s="53" t="n">
        <v>10</v>
      </c>
      <c r="G549" s="55" t="n">
        <v>0</v>
      </c>
      <c r="H549" s="55" t="n">
        <v>85.31</v>
      </c>
      <c r="I549" s="53" t="n">
        <v>0</v>
      </c>
      <c r="J549" s="53" t="n">
        <v>29</v>
      </c>
      <c r="K549" s="53" t="n">
        <v>0</v>
      </c>
      <c r="L549" s="53" t="n">
        <v>10</v>
      </c>
      <c r="M549" s="33">
        <f>F549-E549</f>
        <v/>
      </c>
      <c r="N549" s="33">
        <f>L549-K549</f>
        <v/>
      </c>
    </row>
    <row r="550">
      <c r="A550" s="58" t="inlineStr">
        <is>
          <t>150149 Homer Liquors</t>
        </is>
      </c>
      <c r="B550" s="58" t="inlineStr">
        <is>
          <t>Essex</t>
        </is>
      </c>
      <c r="C550" s="58" t="inlineStr">
        <is>
          <t>Hakan Sadik</t>
        </is>
      </c>
      <c r="D550" s="58" t="inlineStr">
        <is>
          <t>Off-premise</t>
        </is>
      </c>
      <c r="E550" s="53" t="n">
        <v>0</v>
      </c>
      <c r="F550" s="53" t="n">
        <v>10</v>
      </c>
      <c r="G550" s="55" t="n">
        <v>0</v>
      </c>
      <c r="H550" s="55" t="n">
        <v>69.2</v>
      </c>
      <c r="I550" s="53" t="n">
        <v>296</v>
      </c>
      <c r="J550" s="53" t="n">
        <v>252</v>
      </c>
      <c r="K550" s="53" t="n">
        <v>0</v>
      </c>
      <c r="L550" s="53" t="n">
        <v>10</v>
      </c>
      <c r="M550" s="33">
        <f>F550-E550</f>
        <v/>
      </c>
      <c r="N550" s="33">
        <f>L550-K550</f>
        <v/>
      </c>
    </row>
    <row r="551">
      <c r="A551" s="58" t="inlineStr">
        <is>
          <t>150182 Liquor Cave</t>
        </is>
      </c>
      <c r="B551" s="58" t="inlineStr">
        <is>
          <t>Essex</t>
        </is>
      </c>
      <c r="C551" s="58" t="inlineStr">
        <is>
          <t>Hakan Sadik</t>
        </is>
      </c>
      <c r="D551" s="58" t="inlineStr">
        <is>
          <t>Off-premise</t>
        </is>
      </c>
      <c r="E551" s="53" t="n">
        <v>9</v>
      </c>
      <c r="F551" s="53" t="n">
        <v>19</v>
      </c>
      <c r="G551" s="55" t="n">
        <v>64.41</v>
      </c>
      <c r="H551" s="55" t="n">
        <v>143.13</v>
      </c>
      <c r="I551" s="53" t="n">
        <v>206</v>
      </c>
      <c r="J551" s="53" t="n">
        <v>155</v>
      </c>
      <c r="K551" s="53" t="n">
        <v>9</v>
      </c>
      <c r="L551" s="53" t="n">
        <v>19</v>
      </c>
      <c r="M551" s="33">
        <f>F551-E551</f>
        <v/>
      </c>
      <c r="N551" s="33">
        <f>L551-K551</f>
        <v/>
      </c>
    </row>
    <row r="552">
      <c r="A552" s="58" t="inlineStr">
        <is>
          <t>150224 East Orange Liquor</t>
        </is>
      </c>
      <c r="B552" s="58" t="inlineStr">
        <is>
          <t>Essex</t>
        </is>
      </c>
      <c r="C552" s="58" t="inlineStr">
        <is>
          <t>Hakan Sadik</t>
        </is>
      </c>
      <c r="D552" s="58" t="inlineStr">
        <is>
          <t>Off-premise</t>
        </is>
      </c>
      <c r="E552" s="53" t="n">
        <v>0</v>
      </c>
      <c r="F552" s="53" t="n">
        <v>10</v>
      </c>
      <c r="G552" s="55" t="n">
        <v>0</v>
      </c>
      <c r="H552" s="55" t="n">
        <v>71.08</v>
      </c>
      <c r="I552" s="53" t="n">
        <v>209</v>
      </c>
      <c r="J552" s="53" t="n">
        <v>108</v>
      </c>
      <c r="K552" s="53" t="n">
        <v>0</v>
      </c>
      <c r="L552" s="53" t="n">
        <v>10</v>
      </c>
      <c r="M552" s="33">
        <f>F552-E552</f>
        <v/>
      </c>
      <c r="N552" s="33">
        <f>L552-K552</f>
        <v/>
      </c>
    </row>
    <row r="553">
      <c r="A553" s="58" t="inlineStr">
        <is>
          <t>170050 Acme Markets (Hoboken)</t>
        </is>
      </c>
      <c r="B553" s="58" t="inlineStr">
        <is>
          <t>Hudson</t>
        </is>
      </c>
      <c r="C553" s="58" t="inlineStr">
        <is>
          <t>Jaime Colonna</t>
        </is>
      </c>
      <c r="D553" s="58" t="inlineStr">
        <is>
          <t>Unmatched</t>
        </is>
      </c>
      <c r="E553" s="53" t="n">
        <v>25</v>
      </c>
      <c r="F553" s="53" t="n">
        <v>35</v>
      </c>
      <c r="G553" s="55" t="n">
        <v>243.78</v>
      </c>
      <c r="H553" s="55" t="n">
        <v>328.98</v>
      </c>
      <c r="I553" s="53" t="n">
        <v>210</v>
      </c>
      <c r="J553" s="53" t="n">
        <v>180</v>
      </c>
      <c r="K553" s="53" t="n">
        <v>25</v>
      </c>
      <c r="L553" s="53" t="n">
        <v>35</v>
      </c>
      <c r="M553" s="33">
        <f>F553-E553</f>
        <v/>
      </c>
      <c r="N553" s="33">
        <f>L553-K553</f>
        <v/>
      </c>
    </row>
    <row r="554">
      <c r="A554" s="58" t="inlineStr">
        <is>
          <t>170231 Hyatt Regency</t>
        </is>
      </c>
      <c r="B554" s="58" t="inlineStr">
        <is>
          <t>Hudson</t>
        </is>
      </c>
      <c r="C554" s="58" t="inlineStr">
        <is>
          <t>Jaime Colonna</t>
        </is>
      </c>
      <c r="D554" s="58" t="inlineStr">
        <is>
          <t>On-premise</t>
        </is>
      </c>
      <c r="E554" s="53" t="n">
        <v>25</v>
      </c>
      <c r="F554" s="53" t="n">
        <v>35</v>
      </c>
      <c r="G554" s="55" t="n">
        <v>229.43</v>
      </c>
      <c r="H554" s="55" t="n">
        <v>310.13</v>
      </c>
      <c r="I554" s="53" t="n">
        <v>3</v>
      </c>
      <c r="J554" s="53" t="n">
        <v>0</v>
      </c>
      <c r="K554" s="53" t="n">
        <v>25</v>
      </c>
      <c r="L554" s="53" t="n">
        <v>35</v>
      </c>
      <c r="M554" s="33">
        <f>F554-E554</f>
        <v/>
      </c>
      <c r="N554" s="33">
        <f>L554-K554</f>
        <v/>
      </c>
    </row>
    <row r="555">
      <c r="A555" s="58" t="inlineStr">
        <is>
          <t>21054 C &amp; S Lucky Liquors (P)</t>
        </is>
      </c>
      <c r="B555" s="58" t="inlineStr">
        <is>
          <t>Passaic</t>
        </is>
      </c>
      <c r="C555" s="58" t="inlineStr">
        <is>
          <t>Javier Melo</t>
        </is>
      </c>
      <c r="D555" s="58" t="inlineStr">
        <is>
          <t>Off-premise</t>
        </is>
      </c>
      <c r="E555" s="53" t="n">
        <v>2741</v>
      </c>
      <c r="F555" s="53" t="n">
        <v>2586</v>
      </c>
      <c r="G555" s="55" t="n">
        <v>18020.23</v>
      </c>
      <c r="H555" s="55" t="n">
        <v>17287.42</v>
      </c>
      <c r="I555" s="53" t="n">
        <v>181</v>
      </c>
      <c r="J555" s="53" t="n">
        <v>174</v>
      </c>
      <c r="K555" s="53" t="n">
        <v>446</v>
      </c>
      <c r="L555" s="53" t="n">
        <v>456</v>
      </c>
      <c r="M555" s="33">
        <f>F555-E555</f>
        <v/>
      </c>
      <c r="N555" s="33">
        <f>L555-K555</f>
        <v/>
      </c>
    </row>
    <row r="556">
      <c r="A556" s="58" t="inlineStr">
        <is>
          <t>27053 Rumba Bar</t>
        </is>
      </c>
      <c r="B556" s="58" t="inlineStr">
        <is>
          <t>Passaic</t>
        </is>
      </c>
      <c r="C556" s="58" t="inlineStr">
        <is>
          <t>Javier Melo</t>
        </is>
      </c>
      <c r="D556" s="58" t="inlineStr">
        <is>
          <t>On-premise</t>
        </is>
      </c>
      <c r="E556" s="53" t="n">
        <v>0</v>
      </c>
      <c r="F556" s="53" t="n">
        <v>92</v>
      </c>
      <c r="G556" s="55" t="n">
        <v>0</v>
      </c>
      <c r="H556" s="55" t="n">
        <v>744.55</v>
      </c>
      <c r="I556" s="53" t="n">
        <v>0</v>
      </c>
      <c r="J556" s="53" t="n">
        <v>1</v>
      </c>
      <c r="K556" s="53" t="n">
        <v>0</v>
      </c>
      <c r="L556" s="53" t="n">
        <v>10</v>
      </c>
      <c r="M556" s="33">
        <f>F556-E556</f>
        <v/>
      </c>
      <c r="N556" s="33">
        <f>L556-K556</f>
        <v/>
      </c>
    </row>
    <row r="557">
      <c r="A557" s="58" t="inlineStr">
        <is>
          <t>30030 Sonoma Bistro</t>
        </is>
      </c>
      <c r="B557" s="58" t="inlineStr">
        <is>
          <t>Bergen</t>
        </is>
      </c>
      <c r="C557" s="58" t="inlineStr">
        <is>
          <t>Jim Heaney</t>
        </is>
      </c>
      <c r="D557" s="58" t="inlineStr">
        <is>
          <t>On-premise</t>
        </is>
      </c>
      <c r="E557" s="53" t="n">
        <v>47</v>
      </c>
      <c r="F557" s="53" t="n">
        <v>46</v>
      </c>
      <c r="G557" s="55" t="n">
        <v>458.02</v>
      </c>
      <c r="H557" s="55" t="n">
        <v>515.99</v>
      </c>
      <c r="I557" s="53" t="n">
        <v>7</v>
      </c>
      <c r="J557" s="53" t="n">
        <v>1</v>
      </c>
      <c r="K557" s="53" t="n">
        <v>8</v>
      </c>
      <c r="L557" s="53" t="n">
        <v>18</v>
      </c>
      <c r="M557" s="33">
        <f>F557-E557</f>
        <v/>
      </c>
      <c r="N557" s="33">
        <f>L557-K557</f>
        <v/>
      </c>
    </row>
    <row r="558">
      <c r="A558" s="58" t="inlineStr">
        <is>
          <t>250044 Vine Republic (Berkeley Height)</t>
        </is>
      </c>
      <c r="B558" s="58" t="inlineStr">
        <is>
          <t>Union</t>
        </is>
      </c>
      <c r="C558" s="58" t="inlineStr">
        <is>
          <t>John O'Donoghue</t>
        </is>
      </c>
      <c r="D558" s="58" t="inlineStr">
        <is>
          <t>Off-premise</t>
        </is>
      </c>
      <c r="E558" s="53" t="n">
        <v>29</v>
      </c>
      <c r="F558" s="53" t="n">
        <v>39</v>
      </c>
      <c r="G558" s="55" t="n">
        <v>214.73</v>
      </c>
      <c r="H558" s="55" t="n">
        <v>261.28</v>
      </c>
      <c r="I558" s="53" t="n">
        <v>266</v>
      </c>
      <c r="J558" s="53" t="n">
        <v>359</v>
      </c>
      <c r="K558" s="53" t="n">
        <v>29</v>
      </c>
      <c r="L558" s="53" t="n">
        <v>39</v>
      </c>
      <c r="M558" s="33">
        <f>F558-E558</f>
        <v/>
      </c>
      <c r="N558" s="33">
        <f>L558-K558</f>
        <v/>
      </c>
    </row>
    <row r="559">
      <c r="A559" s="58" t="inlineStr">
        <is>
          <t>150018 Cedar Grove Liq (P)</t>
        </is>
      </c>
      <c r="B559" s="58" t="inlineStr">
        <is>
          <t>Essex</t>
        </is>
      </c>
      <c r="C559" s="58" t="inlineStr">
        <is>
          <t>Michael Harboy</t>
        </is>
      </c>
      <c r="D559" s="58" t="inlineStr">
        <is>
          <t>Off-premise</t>
        </is>
      </c>
      <c r="E559" s="53" t="n">
        <v>5</v>
      </c>
      <c r="F559" s="53" t="n">
        <v>15</v>
      </c>
      <c r="G559" s="55" t="n">
        <v>43.04</v>
      </c>
      <c r="H559" s="55" t="n">
        <v>128.36</v>
      </c>
      <c r="I559" s="53" t="n">
        <v>53</v>
      </c>
      <c r="J559" s="53" t="n">
        <v>84</v>
      </c>
      <c r="K559" s="53" t="n">
        <v>5</v>
      </c>
      <c r="L559" s="53" t="n">
        <v>15</v>
      </c>
      <c r="M559" s="33">
        <f>F559-E559</f>
        <v/>
      </c>
      <c r="N559" s="33">
        <f>L559-K559</f>
        <v/>
      </c>
    </row>
    <row r="560">
      <c r="A560" s="58" t="inlineStr">
        <is>
          <t>150053 Pilgrim Liquor</t>
        </is>
      </c>
      <c r="B560" s="58" t="inlineStr">
        <is>
          <t>Essex</t>
        </is>
      </c>
      <c r="C560" s="58" t="inlineStr">
        <is>
          <t>Michael Harboy</t>
        </is>
      </c>
      <c r="D560" s="58" t="inlineStr">
        <is>
          <t>Off-premise</t>
        </is>
      </c>
      <c r="E560" s="53" t="n">
        <v>5</v>
      </c>
      <c r="F560" s="53" t="n">
        <v>15</v>
      </c>
      <c r="G560" s="55" t="n">
        <v>42.79</v>
      </c>
      <c r="H560" s="55" t="n">
        <v>124.61</v>
      </c>
      <c r="I560" s="53" t="n">
        <v>65</v>
      </c>
      <c r="J560" s="53" t="n">
        <v>85</v>
      </c>
      <c r="K560" s="53" t="n">
        <v>5</v>
      </c>
      <c r="L560" s="53" t="n">
        <v>15</v>
      </c>
      <c r="M560" s="33">
        <f>F560-E560</f>
        <v/>
      </c>
      <c r="N560" s="33">
        <f>L560-K560</f>
        <v/>
      </c>
    </row>
    <row r="561">
      <c r="A561" s="58" t="inlineStr">
        <is>
          <t>150203 B &amp; B Liquors (West Orange)</t>
        </is>
      </c>
      <c r="B561" s="58" t="inlineStr">
        <is>
          <t>Essex</t>
        </is>
      </c>
      <c r="C561" s="58" t="inlineStr">
        <is>
          <t>Michael Harboy</t>
        </is>
      </c>
      <c r="D561" s="58" t="inlineStr">
        <is>
          <t>Off-premise</t>
        </is>
      </c>
      <c r="E561" s="53" t="n">
        <v>0</v>
      </c>
      <c r="F561" s="53" t="n">
        <v>10</v>
      </c>
      <c r="G561" s="55" t="n">
        <v>0</v>
      </c>
      <c r="H561" s="55" t="n">
        <v>70.86</v>
      </c>
      <c r="I561" s="53" t="n">
        <v>99</v>
      </c>
      <c r="J561" s="53" t="n">
        <v>107</v>
      </c>
      <c r="K561" s="53" t="n">
        <v>0</v>
      </c>
      <c r="L561" s="53" t="n">
        <v>10</v>
      </c>
      <c r="M561" s="33">
        <f>F561-E561</f>
        <v/>
      </c>
      <c r="N561" s="33">
        <f>L561-K561</f>
        <v/>
      </c>
    </row>
    <row r="562">
      <c r="A562" s="58" t="inlineStr">
        <is>
          <t>150248 The Wine Rack North Caldwell</t>
        </is>
      </c>
      <c r="B562" s="58" t="inlineStr">
        <is>
          <t>Essex</t>
        </is>
      </c>
      <c r="C562" s="58" t="inlineStr">
        <is>
          <t>Michael Harboy</t>
        </is>
      </c>
      <c r="D562" s="58" t="inlineStr">
        <is>
          <t>Off-premise</t>
        </is>
      </c>
      <c r="E562" s="53" t="n">
        <v>0</v>
      </c>
      <c r="F562" s="53" t="n">
        <v>10</v>
      </c>
      <c r="G562" s="55" t="n">
        <v>0</v>
      </c>
      <c r="H562" s="55" t="n">
        <v>70.64</v>
      </c>
      <c r="I562" s="53" t="n">
        <v>153</v>
      </c>
      <c r="J562" s="53" t="n">
        <v>221</v>
      </c>
      <c r="K562" s="53" t="n">
        <v>0</v>
      </c>
      <c r="L562" s="53" t="n">
        <v>10</v>
      </c>
      <c r="M562" s="33">
        <f>F562-E562</f>
        <v/>
      </c>
      <c r="N562" s="33">
        <f>L562-K562</f>
        <v/>
      </c>
    </row>
    <row r="563">
      <c r="A563" s="58" t="inlineStr">
        <is>
          <t>87002 Wine &amp; Spirits World (Hohokus)</t>
        </is>
      </c>
      <c r="B563" s="58" t="inlineStr">
        <is>
          <t>Bergen</t>
        </is>
      </c>
      <c r="C563" s="58" t="inlineStr">
        <is>
          <t>Mike Ast</t>
        </is>
      </c>
      <c r="D563" s="58" t="inlineStr">
        <is>
          <t>Off-premise</t>
        </is>
      </c>
      <c r="E563" s="53" t="n">
        <v>86</v>
      </c>
      <c r="F563" s="53" t="n">
        <v>129</v>
      </c>
      <c r="G563" s="55" t="n">
        <v>794.2900000000001</v>
      </c>
      <c r="H563" s="55" t="n">
        <v>1159.62</v>
      </c>
      <c r="I563" s="53" t="n">
        <v>23</v>
      </c>
      <c r="J563" s="53" t="n">
        <v>39</v>
      </c>
      <c r="K563" s="53" t="n">
        <v>14</v>
      </c>
      <c r="L563" s="53" t="n">
        <v>24</v>
      </c>
      <c r="M563" s="33">
        <f>F563-E563</f>
        <v/>
      </c>
      <c r="N563" s="33">
        <f>L563-K563</f>
        <v/>
      </c>
    </row>
    <row r="564">
      <c r="A564" s="58" t="inlineStr">
        <is>
          <t>89001 Savini Rest (A)</t>
        </is>
      </c>
      <c r="B564" s="58" t="inlineStr">
        <is>
          <t>Bergen</t>
        </is>
      </c>
      <c r="C564" s="58" t="inlineStr">
        <is>
          <t>Nick Melissari</t>
        </is>
      </c>
      <c r="D564" s="58" t="inlineStr">
        <is>
          <t>On-premise</t>
        </is>
      </c>
      <c r="E564" s="53" t="n">
        <v>60</v>
      </c>
      <c r="F564" s="53" t="n">
        <v>50</v>
      </c>
      <c r="G564" s="55" t="n">
        <v>513.87</v>
      </c>
      <c r="H564" s="55" t="n">
        <v>473.99</v>
      </c>
      <c r="I564" s="53" t="n">
        <v>0</v>
      </c>
      <c r="J564" s="53" t="n">
        <v>23</v>
      </c>
      <c r="K564" s="53" t="n">
        <v>20</v>
      </c>
      <c r="L564" s="53" t="n">
        <v>30</v>
      </c>
      <c r="M564" s="33">
        <f>F564-E564</f>
        <v/>
      </c>
      <c r="N564" s="33">
        <f>L564-K564</f>
        <v/>
      </c>
    </row>
    <row r="565">
      <c r="A565" s="58" t="inlineStr">
        <is>
          <t>32015 Cjd 2l Corp(Sofive)</t>
        </is>
      </c>
      <c r="B565" s="58" t="inlineStr">
        <is>
          <t>Bergen</t>
        </is>
      </c>
      <c r="C565" s="58" t="inlineStr">
        <is>
          <t>Nick Melissari</t>
        </is>
      </c>
      <c r="D565" s="58" t="inlineStr">
        <is>
          <t>On-premise</t>
        </is>
      </c>
      <c r="E565" s="53" t="n">
        <v>325</v>
      </c>
      <c r="F565" s="53" t="n">
        <v>291</v>
      </c>
      <c r="G565" s="55" t="n">
        <v>3066.87</v>
      </c>
      <c r="H565" s="55" t="n">
        <v>2703.2</v>
      </c>
      <c r="I565" s="53" t="n">
        <v>12</v>
      </c>
      <c r="J565" s="53" t="n">
        <v>12</v>
      </c>
      <c r="K565" s="53" t="n">
        <v>17</v>
      </c>
      <c r="L565" s="53" t="n">
        <v>27</v>
      </c>
      <c r="M565" s="33">
        <f>F565-E565</f>
        <v/>
      </c>
      <c r="N565" s="33">
        <f>L565-K565</f>
        <v/>
      </c>
    </row>
    <row r="566">
      <c r="A566" s="58" t="inlineStr">
        <is>
          <t>49015 PYEONGANDONG</t>
        </is>
      </c>
      <c r="B566" s="58" t="inlineStr">
        <is>
          <t>Bergen</t>
        </is>
      </c>
      <c r="C566" s="58" t="inlineStr">
        <is>
          <t>Nick Melissari</t>
        </is>
      </c>
      <c r="D566" s="58" t="inlineStr">
        <is>
          <t>On-premise</t>
        </is>
      </c>
      <c r="E566" s="53" t="n">
        <v>0</v>
      </c>
      <c r="F566" s="53" t="n">
        <v>10</v>
      </c>
      <c r="G566" s="55" t="n">
        <v>0</v>
      </c>
      <c r="H566" s="55" t="n">
        <v>93.44</v>
      </c>
      <c r="I566" s="53" t="n">
        <v>0</v>
      </c>
      <c r="J566" s="53" t="n">
        <v>0</v>
      </c>
      <c r="K566" s="53" t="n">
        <v>0</v>
      </c>
      <c r="L566" s="53" t="n">
        <v>10</v>
      </c>
      <c r="M566" s="33">
        <f>F566-E566</f>
        <v/>
      </c>
      <c r="N566" s="33">
        <f>L566-K566</f>
        <v/>
      </c>
    </row>
    <row r="567">
      <c r="A567" s="58" t="inlineStr">
        <is>
          <t>52037 Colombia Kaliente</t>
        </is>
      </c>
      <c r="B567" s="58" t="inlineStr">
        <is>
          <t>Bergen</t>
        </is>
      </c>
      <c r="C567" s="58" t="inlineStr">
        <is>
          <t>Pablo Lopez</t>
        </is>
      </c>
      <c r="D567" s="58" t="inlineStr">
        <is>
          <t>Unmatched</t>
        </is>
      </c>
      <c r="E567" s="53" t="n">
        <v>190</v>
      </c>
      <c r="F567" s="53" t="n">
        <v>257</v>
      </c>
      <c r="G567" s="55" t="n">
        <v>1965.85</v>
      </c>
      <c r="H567" s="55" t="n">
        <v>2627.17</v>
      </c>
      <c r="I567" s="53" t="n">
        <v>33</v>
      </c>
      <c r="J567" s="53" t="n">
        <v>95</v>
      </c>
      <c r="K567" s="53" t="n">
        <v>10</v>
      </c>
      <c r="L567" s="53" t="n">
        <v>20</v>
      </c>
      <c r="M567" s="33">
        <f>F567-E567</f>
        <v/>
      </c>
      <c r="N567" s="33">
        <f>L567-K567</f>
        <v/>
      </c>
    </row>
    <row r="568">
      <c r="A568" s="58" t="inlineStr">
        <is>
          <t>57004 River &amp; Henley</t>
        </is>
      </c>
      <c r="B568" s="58" t="inlineStr">
        <is>
          <t>Bergen</t>
        </is>
      </c>
      <c r="C568" s="58" t="inlineStr">
        <is>
          <t>Paul Mclaughlin</t>
        </is>
      </c>
      <c r="D568" s="58" t="inlineStr">
        <is>
          <t>On-premise</t>
        </is>
      </c>
      <c r="E568" s="53" t="n">
        <v>249</v>
      </c>
      <c r="F568" s="53" t="n">
        <v>310</v>
      </c>
      <c r="G568" s="55" t="n">
        <v>1868.02</v>
      </c>
      <c r="H568" s="55" t="n">
        <v>2349.14</v>
      </c>
      <c r="I568" s="53" t="n">
        <v>82</v>
      </c>
      <c r="J568" s="53" t="n">
        <v>83</v>
      </c>
      <c r="K568" s="53" t="n">
        <v>48</v>
      </c>
      <c r="L568" s="53" t="n">
        <v>58</v>
      </c>
      <c r="M568" s="33">
        <f>F568-E568</f>
        <v/>
      </c>
      <c r="N568" s="33">
        <f>L568-K568</f>
        <v/>
      </c>
    </row>
    <row r="569">
      <c r="A569" s="58" t="inlineStr">
        <is>
          <t>40021 Bowler City Bowling</t>
        </is>
      </c>
      <c r="B569" s="58" t="inlineStr">
        <is>
          <t>Bergen</t>
        </is>
      </c>
      <c r="C569" s="58" t="inlineStr">
        <is>
          <t>Paul Mclaughlin</t>
        </is>
      </c>
      <c r="D569" s="58" t="inlineStr">
        <is>
          <t>On-premise</t>
        </is>
      </c>
      <c r="E569" s="53" t="n">
        <v>136</v>
      </c>
      <c r="F569" s="53" t="n">
        <v>221</v>
      </c>
      <c r="G569" s="55" t="n">
        <v>1182.67</v>
      </c>
      <c r="H569" s="55" t="n">
        <v>1810.5</v>
      </c>
      <c r="I569" s="53" t="n">
        <v>20</v>
      </c>
      <c r="J569" s="53" t="n">
        <v>50</v>
      </c>
      <c r="K569" s="53" t="n">
        <v>8</v>
      </c>
      <c r="L569" s="53" t="n">
        <v>18</v>
      </c>
      <c r="M569" s="33">
        <f>F569-E569</f>
        <v/>
      </c>
      <c r="N569" s="33">
        <f>L569-K569</f>
        <v/>
      </c>
    </row>
    <row r="570">
      <c r="A570" s="58" t="inlineStr">
        <is>
          <t>46019 Palisades Wine And Liquor</t>
        </is>
      </c>
      <c r="B570" s="58" t="inlineStr">
        <is>
          <t>Bergen</t>
        </is>
      </c>
      <c r="C570" s="58" t="inlineStr">
        <is>
          <t>Phil Ernst</t>
        </is>
      </c>
      <c r="D570" s="58" t="inlineStr">
        <is>
          <t>Off-premise</t>
        </is>
      </c>
      <c r="E570" s="53" t="n">
        <v>5685</v>
      </c>
      <c r="F570" s="53" t="n">
        <v>5501</v>
      </c>
      <c r="G570" s="55" t="n">
        <v>35641.4</v>
      </c>
      <c r="H570" s="55" t="n">
        <v>35199.99</v>
      </c>
      <c r="I570" s="53" t="n">
        <v>1241</v>
      </c>
      <c r="J570" s="53" t="n">
        <v>1073</v>
      </c>
      <c r="K570" s="53" t="n">
        <v>732</v>
      </c>
      <c r="L570" s="53" t="n">
        <v>742</v>
      </c>
      <c r="M570" s="33">
        <f>F570-E570</f>
        <v/>
      </c>
      <c r="N570" s="33">
        <f>L570-K570</f>
        <v/>
      </c>
    </row>
    <row r="571">
      <c r="A571" s="58" t="inlineStr">
        <is>
          <t>80026 Stew Leonard's(A) Paramus Wine</t>
        </is>
      </c>
      <c r="B571" s="58" t="inlineStr">
        <is>
          <t>Bergen</t>
        </is>
      </c>
      <c r="C571" s="58" t="inlineStr">
        <is>
          <t>Phil Ernst</t>
        </is>
      </c>
      <c r="D571" s="58" t="inlineStr">
        <is>
          <t>Off-premise</t>
        </is>
      </c>
      <c r="E571" s="53" t="n">
        <v>3553</v>
      </c>
      <c r="F571" s="53" t="n">
        <v>3223</v>
      </c>
      <c r="G571" s="55" t="n">
        <v>26308.14</v>
      </c>
      <c r="H571" s="55" t="n">
        <v>24150.62</v>
      </c>
      <c r="I571" s="53" t="n">
        <v>1878</v>
      </c>
      <c r="J571" s="53" t="n">
        <v>1874</v>
      </c>
      <c r="K571" s="53" t="n">
        <v>548</v>
      </c>
      <c r="L571" s="53" t="n">
        <v>558</v>
      </c>
      <c r="M571" s="33">
        <f>F571-E571</f>
        <v/>
      </c>
      <c r="N571" s="33">
        <f>L571-K571</f>
        <v/>
      </c>
    </row>
    <row r="572">
      <c r="A572" s="58" t="inlineStr">
        <is>
          <t>34000 Holiday Inn (Hasbrook Height)</t>
        </is>
      </c>
      <c r="B572" s="58" t="inlineStr">
        <is>
          <t>Bergen</t>
        </is>
      </c>
      <c r="C572" s="58" t="inlineStr">
        <is>
          <t>Robin Feldman</t>
        </is>
      </c>
      <c r="D572" s="58" t="inlineStr">
        <is>
          <t>On-premise</t>
        </is>
      </c>
      <c r="E572" s="53" t="n">
        <v>65</v>
      </c>
      <c r="F572" s="53" t="n">
        <v>94</v>
      </c>
      <c r="G572" s="55" t="n">
        <v>572.3100000000001</v>
      </c>
      <c r="H572" s="55" t="n">
        <v>901.46</v>
      </c>
      <c r="I572" s="53" t="n">
        <v>10</v>
      </c>
      <c r="J572" s="53" t="n">
        <v>23</v>
      </c>
      <c r="K572" s="53" t="n">
        <v>10</v>
      </c>
      <c r="L572" s="53" t="n">
        <v>20</v>
      </c>
      <c r="M572" s="33">
        <f>F572-E572</f>
        <v/>
      </c>
      <c r="N572" s="33">
        <f>L572-K572</f>
        <v/>
      </c>
    </row>
    <row r="573">
      <c r="A573" s="58" t="inlineStr">
        <is>
          <t>94016 Doc Watsons NJ</t>
        </is>
      </c>
      <c r="B573" s="58" t="inlineStr">
        <is>
          <t>Bergen</t>
        </is>
      </c>
      <c r="C573" s="58" t="inlineStr">
        <is>
          <t>Robin Feldman</t>
        </is>
      </c>
      <c r="D573" s="58" t="inlineStr">
        <is>
          <t>On-premise</t>
        </is>
      </c>
      <c r="E573" s="53" t="n">
        <v>150</v>
      </c>
      <c r="F573" s="53" t="n">
        <v>309</v>
      </c>
      <c r="G573" s="55" t="n">
        <v>1029.99</v>
      </c>
      <c r="H573" s="55" t="n">
        <v>2204.41</v>
      </c>
      <c r="I573" s="53" t="n">
        <v>85</v>
      </c>
      <c r="J573" s="53" t="n">
        <v>45</v>
      </c>
      <c r="K573" s="53" t="n">
        <v>21</v>
      </c>
      <c r="L573" s="53" t="n">
        <v>31</v>
      </c>
      <c r="M573" s="33">
        <f>F573-E573</f>
        <v/>
      </c>
      <c r="N573" s="33">
        <f>L573-K573</f>
        <v/>
      </c>
    </row>
    <row r="574">
      <c r="A574" s="58" t="inlineStr">
        <is>
          <t>28017 Lassoni Ristorante(P)</t>
        </is>
      </c>
      <c r="B574" s="58" t="inlineStr">
        <is>
          <t>Bergen</t>
        </is>
      </c>
      <c r="C574" s="58" t="inlineStr">
        <is>
          <t>Robin Feldman</t>
        </is>
      </c>
      <c r="D574" s="58" t="inlineStr">
        <is>
          <t>On-premise</t>
        </is>
      </c>
      <c r="E574" s="53" t="n">
        <v>39</v>
      </c>
      <c r="F574" s="53" t="n">
        <v>79</v>
      </c>
      <c r="G574" s="55" t="n">
        <v>361.35</v>
      </c>
      <c r="H574" s="55" t="n">
        <v>636.3299999999999</v>
      </c>
      <c r="I574" s="53" t="n">
        <v>0</v>
      </c>
      <c r="J574" s="53" t="n">
        <v>5</v>
      </c>
      <c r="K574" s="53" t="n">
        <v>14</v>
      </c>
      <c r="L574" s="53" t="n">
        <v>24</v>
      </c>
      <c r="M574" s="33">
        <f>F574-E574</f>
        <v/>
      </c>
      <c r="N574" s="33">
        <f>L574-K574</f>
        <v/>
      </c>
    </row>
    <row r="575">
      <c r="A575" s="58" t="inlineStr">
        <is>
          <t>78010 American Lgn Rochelle Pk</t>
        </is>
      </c>
      <c r="B575" s="58" t="inlineStr">
        <is>
          <t>Bergen</t>
        </is>
      </c>
      <c r="C575" s="58" t="inlineStr">
        <is>
          <t>Robin Feldman</t>
        </is>
      </c>
      <c r="D575" s="58" t="inlineStr">
        <is>
          <t>On-premise</t>
        </is>
      </c>
      <c r="E575" s="53" t="n">
        <v>146</v>
      </c>
      <c r="F575" s="53" t="n">
        <v>258</v>
      </c>
      <c r="G575" s="55" t="n">
        <v>1252.72</v>
      </c>
      <c r="H575" s="55" t="n">
        <v>1987.93</v>
      </c>
      <c r="I575" s="53" t="n">
        <v>55</v>
      </c>
      <c r="J575" s="53" t="n">
        <v>38</v>
      </c>
      <c r="K575" s="53" t="n">
        <v>0</v>
      </c>
      <c r="L575" s="53" t="n">
        <v>10</v>
      </c>
      <c r="M575" s="33">
        <f>F575-E575</f>
        <v/>
      </c>
      <c r="N575" s="33">
        <f>L575-K575</f>
        <v/>
      </c>
    </row>
    <row r="576">
      <c r="A576" s="58" t="inlineStr">
        <is>
          <t>65001 Wine &amp; Whiskey (A)</t>
        </is>
      </c>
      <c r="B576" s="58" t="inlineStr">
        <is>
          <t>Bergen</t>
        </is>
      </c>
      <c r="C576" s="58" t="inlineStr">
        <is>
          <t>Shane Barreca</t>
        </is>
      </c>
      <c r="D576" s="58" t="inlineStr">
        <is>
          <t>Off-premise</t>
        </is>
      </c>
      <c r="E576" s="53" t="n">
        <v>1438</v>
      </c>
      <c r="F576" s="53" t="n">
        <v>1153</v>
      </c>
      <c r="G576" s="55" t="n">
        <v>10531.44</v>
      </c>
      <c r="H576" s="55" t="n">
        <v>8685.750000000002</v>
      </c>
      <c r="I576" s="53" t="n">
        <v>302</v>
      </c>
      <c r="J576" s="53" t="n">
        <v>241</v>
      </c>
      <c r="K576" s="53" t="n">
        <v>191</v>
      </c>
      <c r="L576" s="53" t="n">
        <v>201</v>
      </c>
      <c r="M576" s="33">
        <f>F576-E576</f>
        <v/>
      </c>
      <c r="N576" s="33">
        <f>L576-K576</f>
        <v/>
      </c>
    </row>
    <row r="577">
      <c r="A577" s="58" t="inlineStr">
        <is>
          <t>250054 Marte Liq Warehouse</t>
        </is>
      </c>
      <c r="B577" s="58" t="inlineStr">
        <is>
          <t>Union</t>
        </is>
      </c>
      <c r="C577" s="58" t="inlineStr">
        <is>
          <t>Alex Rodriguez</t>
        </is>
      </c>
      <c r="D577" s="58" t="inlineStr">
        <is>
          <t>Off-premise</t>
        </is>
      </c>
      <c r="E577" s="53" t="n">
        <v>0</v>
      </c>
      <c r="F577" s="53" t="n">
        <v>9</v>
      </c>
      <c r="G577" s="55" t="n">
        <v>0</v>
      </c>
      <c r="H577" s="55" t="n">
        <v>70.05</v>
      </c>
      <c r="I577" s="53" t="n">
        <v>10</v>
      </c>
      <c r="J577" s="53" t="n">
        <v>22</v>
      </c>
      <c r="K577" s="53" t="n">
        <v>0</v>
      </c>
      <c r="L577" s="53" t="n">
        <v>9</v>
      </c>
      <c r="M577" s="33">
        <f>F577-E577</f>
        <v/>
      </c>
      <c r="N577" s="33">
        <f>L577-K577</f>
        <v/>
      </c>
    </row>
    <row r="578">
      <c r="A578" s="58" t="inlineStr">
        <is>
          <t>250080 Crown Liquors</t>
        </is>
      </c>
      <c r="B578" s="58" t="inlineStr">
        <is>
          <t>Union</t>
        </is>
      </c>
      <c r="C578" s="58" t="inlineStr">
        <is>
          <t>Alex Rodriguez</t>
        </is>
      </c>
      <c r="D578" s="58" t="inlineStr">
        <is>
          <t>Off-premise</t>
        </is>
      </c>
      <c r="E578" s="53" t="n">
        <v>0</v>
      </c>
      <c r="F578" s="53" t="n">
        <v>9</v>
      </c>
      <c r="G578" s="55" t="n">
        <v>0</v>
      </c>
      <c r="H578" s="55" t="n">
        <v>71.53</v>
      </c>
      <c r="I578" s="53" t="n">
        <v>61</v>
      </c>
      <c r="J578" s="53" t="n">
        <v>33</v>
      </c>
      <c r="K578" s="53" t="n">
        <v>0</v>
      </c>
      <c r="L578" s="53" t="n">
        <v>9</v>
      </c>
      <c r="M578" s="33">
        <f>F578-E578</f>
        <v/>
      </c>
      <c r="N578" s="33">
        <f>L578-K578</f>
        <v/>
      </c>
    </row>
    <row r="579">
      <c r="A579" s="58" t="inlineStr">
        <is>
          <t>250135 Garcias Liquor Depot</t>
        </is>
      </c>
      <c r="B579" s="58" t="inlineStr">
        <is>
          <t>Union</t>
        </is>
      </c>
      <c r="C579" s="58" t="inlineStr">
        <is>
          <t>Alex Rodriguez</t>
        </is>
      </c>
      <c r="D579" s="58" t="inlineStr">
        <is>
          <t>Off-premise</t>
        </is>
      </c>
      <c r="E579" s="53" t="n">
        <v>9</v>
      </c>
      <c r="F579" s="53" t="n">
        <v>18</v>
      </c>
      <c r="G579" s="55" t="n">
        <v>71.53</v>
      </c>
      <c r="H579" s="55" t="n">
        <v>143.05</v>
      </c>
      <c r="I579" s="53" t="n">
        <v>195</v>
      </c>
      <c r="J579" s="53" t="n">
        <v>122</v>
      </c>
      <c r="K579" s="53" t="n">
        <v>9</v>
      </c>
      <c r="L579" s="53" t="n">
        <v>18</v>
      </c>
      <c r="M579" s="33">
        <f>F579-E579</f>
        <v/>
      </c>
      <c r="N579" s="33">
        <f>L579-K579</f>
        <v/>
      </c>
    </row>
    <row r="580">
      <c r="A580" s="58" t="inlineStr">
        <is>
          <t>250156 Alman Liquors</t>
        </is>
      </c>
      <c r="B580" s="58" t="inlineStr">
        <is>
          <t>Union</t>
        </is>
      </c>
      <c r="C580" s="58" t="inlineStr">
        <is>
          <t>Alex Rodriguez</t>
        </is>
      </c>
      <c r="D580" s="58" t="inlineStr">
        <is>
          <t>Off-premise</t>
        </is>
      </c>
      <c r="E580" s="53" t="n">
        <v>0</v>
      </c>
      <c r="F580" s="53" t="n">
        <v>9</v>
      </c>
      <c r="G580" s="55" t="n">
        <v>0</v>
      </c>
      <c r="H580" s="55" t="n">
        <v>70.83</v>
      </c>
      <c r="I580" s="53" t="n">
        <v>0</v>
      </c>
      <c r="J580" s="53" t="n">
        <v>16</v>
      </c>
      <c r="K580" s="53" t="n">
        <v>0</v>
      </c>
      <c r="L580" s="53" t="n">
        <v>9</v>
      </c>
      <c r="M580" s="33">
        <f>F580-E580</f>
        <v/>
      </c>
      <c r="N580" s="33">
        <f>L580-K580</f>
        <v/>
      </c>
    </row>
    <row r="581">
      <c r="A581" s="58" t="inlineStr">
        <is>
          <t>250302 New Silver Key Liquor 4</t>
        </is>
      </c>
      <c r="B581" s="58" t="inlineStr">
        <is>
          <t>Union</t>
        </is>
      </c>
      <c r="C581" s="58" t="inlineStr">
        <is>
          <t>Alex Rodriguez</t>
        </is>
      </c>
      <c r="D581" s="58" t="inlineStr">
        <is>
          <t>Off-premise</t>
        </is>
      </c>
      <c r="E581" s="53" t="n">
        <v>0</v>
      </c>
      <c r="F581" s="53" t="n">
        <v>9</v>
      </c>
      <c r="G581" s="55" t="n">
        <v>0</v>
      </c>
      <c r="H581" s="55" t="n">
        <v>71.53</v>
      </c>
      <c r="I581" s="53" t="n">
        <v>51</v>
      </c>
      <c r="J581" s="53" t="n">
        <v>27</v>
      </c>
      <c r="K581" s="53" t="n">
        <v>0</v>
      </c>
      <c r="L581" s="53" t="n">
        <v>9</v>
      </c>
      <c r="M581" s="33">
        <f>F581-E581</f>
        <v/>
      </c>
      <c r="N581" s="33">
        <f>L581-K581</f>
        <v/>
      </c>
    </row>
    <row r="582">
      <c r="A582" s="58" t="inlineStr">
        <is>
          <t>150023 Brookdale W &amp; S (A)</t>
        </is>
      </c>
      <c r="B582" s="58" t="inlineStr">
        <is>
          <t>Essex</t>
        </is>
      </c>
      <c r="C582" s="58" t="inlineStr">
        <is>
          <t>Alisa Acciardi</t>
        </is>
      </c>
      <c r="D582" s="58" t="inlineStr">
        <is>
          <t>Off-premise</t>
        </is>
      </c>
      <c r="E582" s="53" t="n">
        <v>9</v>
      </c>
      <c r="F582" s="53" t="n">
        <v>18</v>
      </c>
      <c r="G582" s="55" t="n">
        <v>71.53</v>
      </c>
      <c r="H582" s="55" t="n">
        <v>147.71</v>
      </c>
      <c r="I582" s="53" t="n">
        <v>289</v>
      </c>
      <c r="J582" s="53" t="n">
        <v>237</v>
      </c>
      <c r="K582" s="53" t="n">
        <v>9</v>
      </c>
      <c r="L582" s="53" t="n">
        <v>18</v>
      </c>
      <c r="M582" s="33">
        <f>F582-E582</f>
        <v/>
      </c>
      <c r="N582" s="33">
        <f>L582-K582</f>
        <v/>
      </c>
    </row>
    <row r="583">
      <c r="A583" s="58" t="inlineStr">
        <is>
          <t>170210 Eddy's Wine &amp; Liq</t>
        </is>
      </c>
      <c r="B583" s="58" t="inlineStr">
        <is>
          <t>Hudson</t>
        </is>
      </c>
      <c r="C583" s="58" t="inlineStr">
        <is>
          <t>Alisa Acciardi</t>
        </is>
      </c>
      <c r="D583" s="58" t="inlineStr">
        <is>
          <t>Off-premise</t>
        </is>
      </c>
      <c r="E583" s="53" t="n">
        <v>10</v>
      </c>
      <c r="F583" s="53" t="n">
        <v>19</v>
      </c>
      <c r="G583" s="55" t="n">
        <v>69.44</v>
      </c>
      <c r="H583" s="55" t="n">
        <v>141.89</v>
      </c>
      <c r="I583" s="53" t="n">
        <v>113</v>
      </c>
      <c r="J583" s="53" t="n">
        <v>63</v>
      </c>
      <c r="K583" s="53" t="n">
        <v>10</v>
      </c>
      <c r="L583" s="53" t="n">
        <v>19</v>
      </c>
      <c r="M583" s="33">
        <f>F583-E583</f>
        <v/>
      </c>
      <c r="N583" s="33">
        <f>L583-K583</f>
        <v/>
      </c>
    </row>
    <row r="584">
      <c r="A584" s="58" t="inlineStr">
        <is>
          <t>171304 Sun Liquors &amp; Grocery</t>
        </is>
      </c>
      <c r="B584" s="58" t="inlineStr">
        <is>
          <t>Hudson</t>
        </is>
      </c>
      <c r="C584" s="58" t="inlineStr">
        <is>
          <t>Alisa Acciardi</t>
        </is>
      </c>
      <c r="D584" s="58" t="inlineStr">
        <is>
          <t>Off-premise</t>
        </is>
      </c>
      <c r="E584" s="53" t="n">
        <v>10</v>
      </c>
      <c r="F584" s="53" t="n">
        <v>19</v>
      </c>
      <c r="G584" s="55" t="n">
        <v>71.56</v>
      </c>
      <c r="H584" s="55" t="n">
        <v>143.07</v>
      </c>
      <c r="I584" s="53" t="n">
        <v>26</v>
      </c>
      <c r="J584" s="53" t="n">
        <v>-1</v>
      </c>
      <c r="K584" s="53" t="n">
        <v>10</v>
      </c>
      <c r="L584" s="53" t="n">
        <v>19</v>
      </c>
      <c r="M584" s="33">
        <f>F584-E584</f>
        <v/>
      </c>
      <c r="N584" s="33">
        <f>L584-K584</f>
        <v/>
      </c>
    </row>
    <row r="585">
      <c r="A585" s="58" t="inlineStr">
        <is>
          <t>171331 New Bergen Liquors (P)</t>
        </is>
      </c>
      <c r="B585" s="58" t="inlineStr">
        <is>
          <t>Hudson</t>
        </is>
      </c>
      <c r="C585" s="58" t="inlineStr">
        <is>
          <t>Alisa Acciardi</t>
        </is>
      </c>
      <c r="D585" s="58" t="inlineStr">
        <is>
          <t>Off-premise</t>
        </is>
      </c>
      <c r="E585" s="53" t="n">
        <v>0</v>
      </c>
      <c r="F585" s="53" t="n">
        <v>9</v>
      </c>
      <c r="G585" s="55" t="n">
        <v>0</v>
      </c>
      <c r="H585" s="55" t="n">
        <v>71.53</v>
      </c>
      <c r="I585" s="53" t="n">
        <v>11</v>
      </c>
      <c r="J585" s="53" t="n">
        <v>6</v>
      </c>
      <c r="K585" s="53" t="n">
        <v>0</v>
      </c>
      <c r="L585" s="53" t="n">
        <v>9</v>
      </c>
      <c r="M585" s="33">
        <f>F585-E585</f>
        <v/>
      </c>
      <c r="N585" s="33">
        <f>L585-K585</f>
        <v/>
      </c>
    </row>
    <row r="586">
      <c r="A586" s="58" t="inlineStr">
        <is>
          <t>12064 In The Drink@Passaic Gc</t>
        </is>
      </c>
      <c r="B586" s="58" t="inlineStr">
        <is>
          <t>Passaic</t>
        </is>
      </c>
      <c r="C586" s="58" t="inlineStr">
        <is>
          <t>Allison Scott</t>
        </is>
      </c>
      <c r="D586" s="58" t="inlineStr">
        <is>
          <t>On-premise</t>
        </is>
      </c>
      <c r="E586" s="53" t="n">
        <v>532</v>
      </c>
      <c r="F586" s="53" t="n">
        <v>528</v>
      </c>
      <c r="G586" s="55" t="n">
        <v>4054.11</v>
      </c>
      <c r="H586" s="55" t="n">
        <v>4088.4</v>
      </c>
      <c r="I586" s="53" t="n">
        <v>48</v>
      </c>
      <c r="J586" s="53" t="n">
        <v>43</v>
      </c>
      <c r="K586" s="53" t="n">
        <v>34</v>
      </c>
      <c r="L586" s="53" t="n">
        <v>43</v>
      </c>
      <c r="M586" s="33">
        <f>F586-E586</f>
        <v/>
      </c>
      <c r="N586" s="33">
        <f>L586-K586</f>
        <v/>
      </c>
    </row>
    <row r="587">
      <c r="A587" s="58" t="inlineStr">
        <is>
          <t>250012 Peterson's Wine Unltd</t>
        </is>
      </c>
      <c r="B587" s="58" t="inlineStr">
        <is>
          <t>Union</t>
        </is>
      </c>
      <c r="C587" s="58" t="inlineStr">
        <is>
          <t>Andrew Lundy</t>
        </is>
      </c>
      <c r="D587" s="58" t="inlineStr">
        <is>
          <t>Off-premise</t>
        </is>
      </c>
      <c r="E587" s="53" t="n">
        <v>30</v>
      </c>
      <c r="F587" s="53" t="n">
        <v>39</v>
      </c>
      <c r="G587" s="55" t="n">
        <v>208.3</v>
      </c>
      <c r="H587" s="55" t="n">
        <v>280.52</v>
      </c>
      <c r="I587" s="53" t="n">
        <v>416</v>
      </c>
      <c r="J587" s="53" t="n">
        <v>345</v>
      </c>
      <c r="K587" s="53" t="n">
        <v>30</v>
      </c>
      <c r="L587" s="53" t="n">
        <v>39</v>
      </c>
      <c r="M587" s="33">
        <f>F587-E587</f>
        <v/>
      </c>
      <c r="N587" s="33">
        <f>L587-K587</f>
        <v/>
      </c>
    </row>
    <row r="588">
      <c r="A588" s="58" t="inlineStr">
        <is>
          <t>250037 Beno's Liq (A)</t>
        </is>
      </c>
      <c r="B588" s="58" t="inlineStr">
        <is>
          <t>Union</t>
        </is>
      </c>
      <c r="C588" s="58" t="inlineStr">
        <is>
          <t>Andrew Lundy</t>
        </is>
      </c>
      <c r="D588" s="58" t="inlineStr">
        <is>
          <t>Off-premise</t>
        </is>
      </c>
      <c r="E588" s="53" t="n">
        <v>9</v>
      </c>
      <c r="F588" s="53" t="n">
        <v>18</v>
      </c>
      <c r="G588" s="55" t="n">
        <v>71.53</v>
      </c>
      <c r="H588" s="55" t="n">
        <v>143.05</v>
      </c>
      <c r="I588" s="53" t="n">
        <v>79</v>
      </c>
      <c r="J588" s="53" t="n">
        <v>27</v>
      </c>
      <c r="K588" s="53" t="n">
        <v>9</v>
      </c>
      <c r="L588" s="53" t="n">
        <v>18</v>
      </c>
      <c r="M588" s="33">
        <f>F588-E588</f>
        <v/>
      </c>
      <c r="N588" s="33">
        <f>L588-K588</f>
        <v/>
      </c>
    </row>
    <row r="589">
      <c r="A589" s="58" t="inlineStr">
        <is>
          <t>250164 Fujiyama Mama</t>
        </is>
      </c>
      <c r="B589" s="58" t="inlineStr">
        <is>
          <t>Union</t>
        </is>
      </c>
      <c r="C589" s="58" t="inlineStr">
        <is>
          <t>Andrew Lundy</t>
        </is>
      </c>
      <c r="D589" s="58" t="inlineStr">
        <is>
          <t>On-premise</t>
        </is>
      </c>
      <c r="E589" s="53" t="n">
        <v>19</v>
      </c>
      <c r="F589" s="53" t="n">
        <v>28</v>
      </c>
      <c r="G589" s="55" t="n">
        <v>143.08</v>
      </c>
      <c r="H589" s="55" t="n">
        <v>214.62</v>
      </c>
      <c r="I589" s="53" t="n">
        <v>0</v>
      </c>
      <c r="J589" s="53" t="n">
        <v>0</v>
      </c>
      <c r="K589" s="53" t="n">
        <v>19</v>
      </c>
      <c r="L589" s="53" t="n">
        <v>28</v>
      </c>
      <c r="M589" s="33">
        <f>F589-E589</f>
        <v/>
      </c>
      <c r="N589" s="33">
        <f>L589-K589</f>
        <v/>
      </c>
    </row>
    <row r="590">
      <c r="A590" s="58" t="inlineStr">
        <is>
          <t>251006 Kpot Korean BBQ</t>
        </is>
      </c>
      <c r="B590" s="58" t="inlineStr">
        <is>
          <t>Union</t>
        </is>
      </c>
      <c r="C590" s="58" t="inlineStr">
        <is>
          <t>Andrew Lundy</t>
        </is>
      </c>
      <c r="D590" s="58" t="inlineStr">
        <is>
          <t>On-premise</t>
        </is>
      </c>
      <c r="E590" s="53" t="n">
        <v>55</v>
      </c>
      <c r="F590" s="53" t="n">
        <v>64</v>
      </c>
      <c r="G590" s="55" t="n">
        <v>326</v>
      </c>
      <c r="H590" s="55" t="n">
        <v>388.57</v>
      </c>
      <c r="I590" s="53" t="n">
        <v>3</v>
      </c>
      <c r="J590" s="53" t="n">
        <v>0</v>
      </c>
      <c r="K590" s="53" t="n">
        <v>55</v>
      </c>
      <c r="L590" s="53" t="n">
        <v>64</v>
      </c>
      <c r="M590" s="33">
        <f>F590-E590</f>
        <v/>
      </c>
      <c r="N590" s="33">
        <f>L590-K590</f>
        <v/>
      </c>
    </row>
    <row r="591">
      <c r="A591" s="58" t="inlineStr">
        <is>
          <t>230906 BBQ Chicken Franklin</t>
        </is>
      </c>
      <c r="B591" s="58" t="inlineStr">
        <is>
          <t>Sussex</t>
        </is>
      </c>
      <c r="C591" s="58" t="inlineStr">
        <is>
          <t>Anthony Palmisano</t>
        </is>
      </c>
      <c r="D591" s="58" t="inlineStr">
        <is>
          <t>On-premise</t>
        </is>
      </c>
      <c r="E591" s="53" t="n">
        <v>0</v>
      </c>
      <c r="F591" s="53" t="n">
        <v>15</v>
      </c>
      <c r="G591" s="55" t="n">
        <v>0</v>
      </c>
      <c r="H591" s="55" t="n">
        <v>102.84</v>
      </c>
      <c r="I591" s="53" t="n">
        <v>0</v>
      </c>
      <c r="J591" s="53" t="n">
        <v>13</v>
      </c>
      <c r="K591" s="53" t="n">
        <v>0</v>
      </c>
      <c r="L591" s="53" t="n">
        <v>9</v>
      </c>
      <c r="M591" s="33">
        <f>F591-E591</f>
        <v/>
      </c>
      <c r="N591" s="33">
        <f>L591-K591</f>
        <v/>
      </c>
    </row>
    <row r="592">
      <c r="A592" s="58" t="inlineStr">
        <is>
          <t>230122 Krogh's Restaurant &amp; Brew Pub</t>
        </is>
      </c>
      <c r="B592" s="58" t="inlineStr">
        <is>
          <t>Sussex</t>
        </is>
      </c>
      <c r="C592" s="58" t="inlineStr">
        <is>
          <t>Brian Sengebush</t>
        </is>
      </c>
      <c r="D592" s="58" t="inlineStr">
        <is>
          <t>On-premise</t>
        </is>
      </c>
      <c r="E592" s="53" t="n">
        <v>153</v>
      </c>
      <c r="F592" s="53" t="n">
        <v>189</v>
      </c>
      <c r="G592" s="55" t="n">
        <v>675.49</v>
      </c>
      <c r="H592" s="55" t="n">
        <v>784.0400000000001</v>
      </c>
      <c r="I592" s="53" t="n">
        <v>24</v>
      </c>
      <c r="J592" s="53" t="n">
        <v>10</v>
      </c>
      <c r="K592" s="53" t="n">
        <v>10</v>
      </c>
      <c r="L592" s="53" t="n">
        <v>19</v>
      </c>
      <c r="M592" s="33">
        <f>F592-E592</f>
        <v/>
      </c>
      <c r="N592" s="33">
        <f>L592-K592</f>
        <v/>
      </c>
    </row>
    <row r="593">
      <c r="A593" s="58" t="inlineStr">
        <is>
          <t>190724 PF Changs</t>
        </is>
      </c>
      <c r="B593" s="58" t="inlineStr">
        <is>
          <t>Morris</t>
        </is>
      </c>
      <c r="C593" s="58" t="inlineStr">
        <is>
          <t>Brian Sengebush</t>
        </is>
      </c>
      <c r="D593" s="58" t="inlineStr">
        <is>
          <t>On-premise</t>
        </is>
      </c>
      <c r="E593" s="53" t="n">
        <v>30</v>
      </c>
      <c r="F593" s="53" t="n">
        <v>38</v>
      </c>
      <c r="G593" s="55" t="n">
        <v>262.94</v>
      </c>
      <c r="H593" s="55" t="n">
        <v>327.43</v>
      </c>
      <c r="I593" s="53" t="n">
        <v>17</v>
      </c>
      <c r="J593" s="53" t="n">
        <v>9</v>
      </c>
      <c r="K593" s="53" t="n">
        <v>22</v>
      </c>
      <c r="L593" s="53" t="n">
        <v>31</v>
      </c>
      <c r="M593" s="33">
        <f>F593-E593</f>
        <v/>
      </c>
      <c r="N593" s="33">
        <f>L593-K593</f>
        <v/>
      </c>
    </row>
    <row r="594">
      <c r="A594" s="58" t="inlineStr">
        <is>
          <t>44035 O'Malleys Pub LLC DBA Blackbird Pub</t>
        </is>
      </c>
      <c r="B594" s="58" t="inlineStr">
        <is>
          <t>Bergen</t>
        </is>
      </c>
      <c r="C594" s="58" t="inlineStr">
        <is>
          <t>Dan Lagala</t>
        </is>
      </c>
      <c r="D594" s="58" t="inlineStr">
        <is>
          <t>On-premise</t>
        </is>
      </c>
      <c r="E594" s="53" t="n">
        <v>361</v>
      </c>
      <c r="F594" s="53" t="n">
        <v>480</v>
      </c>
      <c r="G594" s="55" t="n">
        <v>1636.01</v>
      </c>
      <c r="H594" s="55" t="n">
        <v>2333.02</v>
      </c>
      <c r="I594" s="53" t="n">
        <v>17</v>
      </c>
      <c r="J594" s="53" t="n">
        <v>43</v>
      </c>
      <c r="K594" s="53" t="n">
        <v>6</v>
      </c>
      <c r="L594" s="53" t="n">
        <v>15</v>
      </c>
      <c r="M594" s="33">
        <f>F594-E594</f>
        <v/>
      </c>
      <c r="N594" s="33">
        <f>L594-K594</f>
        <v/>
      </c>
    </row>
    <row r="595">
      <c r="A595" s="58" t="inlineStr">
        <is>
          <t>40037 Parisi Deli</t>
        </is>
      </c>
      <c r="B595" s="58" t="inlineStr">
        <is>
          <t>Bergen</t>
        </is>
      </c>
      <c r="C595" s="58" t="inlineStr">
        <is>
          <t>Dave Ehlers</t>
        </is>
      </c>
      <c r="D595" s="58" t="inlineStr">
        <is>
          <t>Off-premise</t>
        </is>
      </c>
      <c r="E595" s="53" t="n">
        <v>56</v>
      </c>
      <c r="F595" s="53" t="n">
        <v>93</v>
      </c>
      <c r="G595" s="55" t="n">
        <v>520.9300000000001</v>
      </c>
      <c r="H595" s="55" t="n">
        <v>871.75</v>
      </c>
      <c r="I595" s="53" t="n">
        <v>6</v>
      </c>
      <c r="J595" s="53" t="n">
        <v>8</v>
      </c>
      <c r="K595" s="53" t="n">
        <v>4</v>
      </c>
      <c r="L595" s="53" t="n">
        <v>13</v>
      </c>
      <c r="M595" s="33">
        <f>F595-E595</f>
        <v/>
      </c>
      <c r="N595" s="33">
        <f>L595-K595</f>
        <v/>
      </c>
    </row>
    <row r="596">
      <c r="A596" s="58" t="inlineStr">
        <is>
          <t>170084 K O P Liquors (P)</t>
        </is>
      </c>
      <c r="B596" s="58" t="inlineStr">
        <is>
          <t>Hudson</t>
        </is>
      </c>
      <c r="C596" s="58" t="inlineStr">
        <is>
          <t>Dylan Rubino</t>
        </is>
      </c>
      <c r="D596" s="58" t="inlineStr">
        <is>
          <t>Off-premise</t>
        </is>
      </c>
      <c r="E596" s="53" t="n">
        <v>0</v>
      </c>
      <c r="F596" s="53" t="n">
        <v>9</v>
      </c>
      <c r="G596" s="55" t="n">
        <v>0</v>
      </c>
      <c r="H596" s="55" t="n">
        <v>71.53</v>
      </c>
      <c r="I596" s="53" t="n">
        <v>55</v>
      </c>
      <c r="J596" s="53" t="n">
        <v>65</v>
      </c>
      <c r="K596" s="53" t="n">
        <v>0</v>
      </c>
      <c r="L596" s="53" t="n">
        <v>9</v>
      </c>
      <c r="M596" s="33">
        <f>F596-E596</f>
        <v/>
      </c>
      <c r="N596" s="33">
        <f>L596-K596</f>
        <v/>
      </c>
    </row>
    <row r="597">
      <c r="A597" s="58" t="inlineStr">
        <is>
          <t>170251 Peckmans Pharmacy</t>
        </is>
      </c>
      <c r="B597" s="58" t="inlineStr">
        <is>
          <t>Hudson</t>
        </is>
      </c>
      <c r="C597" s="58" t="inlineStr">
        <is>
          <t>Dylan Rubino</t>
        </is>
      </c>
      <c r="D597" s="58" t="inlineStr">
        <is>
          <t>Off-premise</t>
        </is>
      </c>
      <c r="E597" s="53" t="n">
        <v>0</v>
      </c>
      <c r="F597" s="53" t="n">
        <v>9</v>
      </c>
      <c r="G597" s="55" t="n">
        <v>0</v>
      </c>
      <c r="H597" s="55" t="n">
        <v>71.53</v>
      </c>
      <c r="I597" s="53" t="n">
        <v>154</v>
      </c>
      <c r="J597" s="53" t="n">
        <v>101</v>
      </c>
      <c r="K597" s="53" t="n">
        <v>0</v>
      </c>
      <c r="L597" s="53" t="n">
        <v>9</v>
      </c>
      <c r="M597" s="33">
        <f>F597-E597</f>
        <v/>
      </c>
      <c r="N597" s="33">
        <f>L597-K597</f>
        <v/>
      </c>
    </row>
    <row r="598">
      <c r="A598" s="58" t="inlineStr">
        <is>
          <t>170915 The Franklin Bar &amp; Restaurant</t>
        </is>
      </c>
      <c r="B598" s="58" t="inlineStr">
        <is>
          <t>Hudson</t>
        </is>
      </c>
      <c r="C598" s="58" t="inlineStr">
        <is>
          <t>Dylan Rubino</t>
        </is>
      </c>
      <c r="D598" s="58" t="inlineStr">
        <is>
          <t>On-premise</t>
        </is>
      </c>
      <c r="E598" s="53" t="n">
        <v>0</v>
      </c>
      <c r="F598" s="53" t="n">
        <v>9</v>
      </c>
      <c r="G598" s="55" t="n">
        <v>0</v>
      </c>
      <c r="H598" s="55" t="n">
        <v>82.7</v>
      </c>
      <c r="I598" s="53" t="n">
        <v>2</v>
      </c>
      <c r="J598" s="53" t="n">
        <v>4</v>
      </c>
      <c r="K598" s="53" t="n">
        <v>0</v>
      </c>
      <c r="L598" s="53" t="n">
        <v>9</v>
      </c>
      <c r="M598" s="33">
        <f>F598-E598</f>
        <v/>
      </c>
      <c r="N598" s="33">
        <f>L598-K598</f>
        <v/>
      </c>
    </row>
    <row r="599">
      <c r="A599" s="58" t="inlineStr">
        <is>
          <t>171321 Kikos Liquor (P)</t>
        </is>
      </c>
      <c r="B599" s="58" t="inlineStr">
        <is>
          <t>Hudson</t>
        </is>
      </c>
      <c r="C599" s="58" t="inlineStr">
        <is>
          <t>Dylan Rubino</t>
        </is>
      </c>
      <c r="D599" s="58" t="inlineStr">
        <is>
          <t>Off-premise</t>
        </is>
      </c>
      <c r="E599" s="53" t="n">
        <v>48</v>
      </c>
      <c r="F599" s="53" t="n">
        <v>57</v>
      </c>
      <c r="G599" s="55" t="n">
        <v>312.58</v>
      </c>
      <c r="H599" s="55" t="n">
        <v>389.3</v>
      </c>
      <c r="I599" s="53" t="n">
        <v>115</v>
      </c>
      <c r="J599" s="53" t="n">
        <v>79</v>
      </c>
      <c r="K599" s="53" t="n">
        <v>48</v>
      </c>
      <c r="L599" s="53" t="n">
        <v>57</v>
      </c>
      <c r="M599" s="33">
        <f>F599-E599</f>
        <v/>
      </c>
      <c r="N599" s="33">
        <f>L599-K599</f>
        <v/>
      </c>
    </row>
    <row r="600">
      <c r="A600" s="58" t="inlineStr">
        <is>
          <t>173062 Liberty Liquors</t>
        </is>
      </c>
      <c r="B600" s="58" t="inlineStr">
        <is>
          <t>Hudson</t>
        </is>
      </c>
      <c r="C600" s="58" t="inlineStr">
        <is>
          <t>Dylan Rubino</t>
        </is>
      </c>
      <c r="D600" s="58" t="inlineStr">
        <is>
          <t>Unmatched</t>
        </is>
      </c>
      <c r="E600" s="53" t="n">
        <v>49</v>
      </c>
      <c r="F600" s="53" t="n">
        <v>58</v>
      </c>
      <c r="G600" s="55" t="n">
        <v>312.03</v>
      </c>
      <c r="H600" s="55" t="n">
        <v>422.25</v>
      </c>
      <c r="I600" s="53" t="n">
        <v>70</v>
      </c>
      <c r="J600" s="53" t="n">
        <v>51</v>
      </c>
      <c r="K600" s="53" t="n">
        <v>49</v>
      </c>
      <c r="L600" s="53" t="n">
        <v>58</v>
      </c>
      <c r="M600" s="33">
        <f>F600-E600</f>
        <v/>
      </c>
      <c r="N600" s="33">
        <f>L600-K600</f>
        <v/>
      </c>
    </row>
    <row r="601">
      <c r="A601" s="58" t="inlineStr">
        <is>
          <t>178014 Best Liquors (P)</t>
        </is>
      </c>
      <c r="B601" s="58" t="inlineStr">
        <is>
          <t>Hudson</t>
        </is>
      </c>
      <c r="C601" s="58" t="inlineStr">
        <is>
          <t>Dylan Rubino</t>
        </is>
      </c>
      <c r="D601" s="58" t="inlineStr">
        <is>
          <t>Off-premise</t>
        </is>
      </c>
      <c r="E601" s="53" t="n">
        <v>6</v>
      </c>
      <c r="F601" s="53" t="n">
        <v>15</v>
      </c>
      <c r="G601" s="55" t="n">
        <v>52.23</v>
      </c>
      <c r="H601" s="55" t="n">
        <v>114.21</v>
      </c>
      <c r="I601" s="53" t="n">
        <v>128</v>
      </c>
      <c r="J601" s="53" t="n">
        <v>99</v>
      </c>
      <c r="K601" s="53" t="n">
        <v>6</v>
      </c>
      <c r="L601" s="53" t="n">
        <v>15</v>
      </c>
      <c r="M601" s="33">
        <f>F601-E601</f>
        <v/>
      </c>
      <c r="N601" s="33">
        <f>L601-K601</f>
        <v/>
      </c>
    </row>
    <row r="602">
      <c r="A602" s="58" t="inlineStr">
        <is>
          <t>150136 Double Dee Liquors</t>
        </is>
      </c>
      <c r="B602" s="58" t="inlineStr">
        <is>
          <t>Essex</t>
        </is>
      </c>
      <c r="C602" s="58" t="inlineStr">
        <is>
          <t>Hakan Sadik</t>
        </is>
      </c>
      <c r="D602" s="58" t="inlineStr">
        <is>
          <t>Off-premise</t>
        </is>
      </c>
      <c r="E602" s="53" t="n">
        <v>0</v>
      </c>
      <c r="F602" s="53" t="n">
        <v>9</v>
      </c>
      <c r="G602" s="55" t="n">
        <v>0</v>
      </c>
      <c r="H602" s="55" t="n">
        <v>71.53</v>
      </c>
      <c r="I602" s="53" t="n">
        <v>12</v>
      </c>
      <c r="J602" s="53" t="n">
        <v>115</v>
      </c>
      <c r="K602" s="53" t="n">
        <v>0</v>
      </c>
      <c r="L602" s="53" t="n">
        <v>9</v>
      </c>
      <c r="M602" s="33">
        <f>F602-E602</f>
        <v/>
      </c>
      <c r="N602" s="33">
        <f>L602-K602</f>
        <v/>
      </c>
    </row>
    <row r="603">
      <c r="A603" s="58" t="inlineStr">
        <is>
          <t>150170 Express Liquors</t>
        </is>
      </c>
      <c r="B603" s="58" t="inlineStr">
        <is>
          <t>Essex</t>
        </is>
      </c>
      <c r="C603" s="58" t="inlineStr">
        <is>
          <t>Hakan Sadik</t>
        </is>
      </c>
      <c r="D603" s="58" t="inlineStr">
        <is>
          <t>Off-premise</t>
        </is>
      </c>
      <c r="E603" s="53" t="n">
        <v>10</v>
      </c>
      <c r="F603" s="53" t="n">
        <v>19</v>
      </c>
      <c r="G603" s="55" t="n">
        <v>70.56</v>
      </c>
      <c r="H603" s="55" t="n">
        <v>140.74</v>
      </c>
      <c r="I603" s="53" t="n">
        <v>190</v>
      </c>
      <c r="J603" s="53" t="n">
        <v>114</v>
      </c>
      <c r="K603" s="53" t="n">
        <v>10</v>
      </c>
      <c r="L603" s="53" t="n">
        <v>19</v>
      </c>
      <c r="M603" s="33">
        <f>F603-E603</f>
        <v/>
      </c>
      <c r="N603" s="33">
        <f>L603-K603</f>
        <v/>
      </c>
    </row>
    <row r="604">
      <c r="A604" s="58" t="inlineStr">
        <is>
          <t>150618 Home Liquors(641 Newark)</t>
        </is>
      </c>
      <c r="B604" s="58" t="inlineStr">
        <is>
          <t>Essex</t>
        </is>
      </c>
      <c r="C604" s="58" t="inlineStr">
        <is>
          <t>Hakan Sadik</t>
        </is>
      </c>
      <c r="D604" s="58" t="inlineStr">
        <is>
          <t>Off-premise</t>
        </is>
      </c>
      <c r="E604" s="53" t="n">
        <v>9</v>
      </c>
      <c r="F604" s="53" t="n">
        <v>18</v>
      </c>
      <c r="G604" s="55" t="n">
        <v>71.53</v>
      </c>
      <c r="H604" s="55" t="n">
        <v>143.05</v>
      </c>
      <c r="I604" s="53" t="n">
        <v>527</v>
      </c>
      <c r="J604" s="53" t="n">
        <v>381</v>
      </c>
      <c r="K604" s="53" t="n">
        <v>9</v>
      </c>
      <c r="L604" s="53" t="n">
        <v>18</v>
      </c>
      <c r="M604" s="33">
        <f>F604-E604</f>
        <v/>
      </c>
      <c r="N604" s="33">
        <f>L604-K604</f>
        <v/>
      </c>
    </row>
    <row r="605">
      <c r="A605" s="58" t="inlineStr">
        <is>
          <t>170258 Village Wine &amp; Liquors Ii</t>
        </is>
      </c>
      <c r="B605" s="58" t="inlineStr">
        <is>
          <t>Hudson</t>
        </is>
      </c>
      <c r="C605" s="58" t="inlineStr">
        <is>
          <t>Jaime Colonna</t>
        </is>
      </c>
      <c r="D605" s="58" t="inlineStr">
        <is>
          <t>Off-premise</t>
        </is>
      </c>
      <c r="E605" s="53" t="n">
        <v>22</v>
      </c>
      <c r="F605" s="53" t="n">
        <v>31</v>
      </c>
      <c r="G605" s="55" t="n">
        <v>164.79</v>
      </c>
      <c r="H605" s="55" t="n">
        <v>216.88</v>
      </c>
      <c r="I605" s="53" t="n">
        <v>59</v>
      </c>
      <c r="J605" s="53" t="n">
        <v>64</v>
      </c>
      <c r="K605" s="53" t="n">
        <v>22</v>
      </c>
      <c r="L605" s="53" t="n">
        <v>31</v>
      </c>
      <c r="M605" s="33">
        <f>F605-E605</f>
        <v/>
      </c>
      <c r="N605" s="33">
        <f>L605-K605</f>
        <v/>
      </c>
    </row>
    <row r="606">
      <c r="A606" s="58" t="inlineStr">
        <is>
          <t>170018 ShopRite Wines &amp; Spirits of Hoboken</t>
        </is>
      </c>
      <c r="B606" s="58" t="inlineStr">
        <is>
          <t>Hudson</t>
        </is>
      </c>
      <c r="C606" s="58" t="inlineStr">
        <is>
          <t>Jaime Colonna</t>
        </is>
      </c>
      <c r="D606" s="58" t="inlineStr">
        <is>
          <t>Off-premise</t>
        </is>
      </c>
      <c r="E606" s="53" t="n">
        <v>25</v>
      </c>
      <c r="F606" s="53" t="n">
        <v>34</v>
      </c>
      <c r="G606" s="55" t="n">
        <v>185.21</v>
      </c>
      <c r="H606" s="55" t="n">
        <v>258.03</v>
      </c>
      <c r="I606" s="53" t="n">
        <v>412</v>
      </c>
      <c r="J606" s="53" t="n">
        <v>455</v>
      </c>
      <c r="K606" s="53" t="n">
        <v>25</v>
      </c>
      <c r="L606" s="53" t="n">
        <v>34</v>
      </c>
      <c r="M606" s="33">
        <f>F606-E606</f>
        <v/>
      </c>
      <c r="N606" s="33">
        <f>L606-K606</f>
        <v/>
      </c>
    </row>
    <row r="607">
      <c r="A607" s="58" t="inlineStr">
        <is>
          <t>173061 City Line Liquors (Hoboken)</t>
        </is>
      </c>
      <c r="B607" s="58" t="inlineStr">
        <is>
          <t>Hudson</t>
        </is>
      </c>
      <c r="C607" s="58" t="inlineStr">
        <is>
          <t>Jaime Colonna</t>
        </is>
      </c>
      <c r="D607" s="58" t="inlineStr">
        <is>
          <t>Off-premise</t>
        </is>
      </c>
      <c r="E607" s="53" t="n">
        <v>0</v>
      </c>
      <c r="F607" s="53" t="n">
        <v>9</v>
      </c>
      <c r="G607" s="55" t="n">
        <v>0</v>
      </c>
      <c r="H607" s="55" t="n">
        <v>71.53</v>
      </c>
      <c r="I607" s="53" t="n">
        <v>0</v>
      </c>
      <c r="J607" s="53" t="n">
        <v>10</v>
      </c>
      <c r="K607" s="53" t="n">
        <v>0</v>
      </c>
      <c r="L607" s="53" t="n">
        <v>9</v>
      </c>
      <c r="M607" s="33">
        <f>F607-E607</f>
        <v/>
      </c>
      <c r="N607" s="33">
        <f>L607-K607</f>
        <v/>
      </c>
    </row>
    <row r="608">
      <c r="A608" s="58" t="inlineStr">
        <is>
          <t>20110 The Cathedral Restaurant</t>
        </is>
      </c>
      <c r="B608" s="58" t="inlineStr">
        <is>
          <t>Passaic</t>
        </is>
      </c>
      <c r="C608" s="58" t="inlineStr">
        <is>
          <t>Javier Melo</t>
        </is>
      </c>
      <c r="D608" s="58" t="inlineStr">
        <is>
          <t>On-premise</t>
        </is>
      </c>
      <c r="E608" s="53" t="n">
        <v>235</v>
      </c>
      <c r="F608" s="53" t="n">
        <v>267</v>
      </c>
      <c r="G608" s="55" t="n">
        <v>1971.88</v>
      </c>
      <c r="H608" s="55" t="n">
        <v>2277.7</v>
      </c>
      <c r="I608" s="53" t="n">
        <v>8</v>
      </c>
      <c r="J608" s="53" t="n">
        <v>10</v>
      </c>
      <c r="K608" s="53" t="n">
        <v>18</v>
      </c>
      <c r="L608" s="53" t="n">
        <v>27</v>
      </c>
      <c r="M608" s="33">
        <f>F608-E608</f>
        <v/>
      </c>
      <c r="N608" s="33">
        <f>L608-K608</f>
        <v/>
      </c>
    </row>
    <row r="609">
      <c r="A609" s="58" t="inlineStr">
        <is>
          <t>27108 Los Arcos (P) Rest.</t>
        </is>
      </c>
      <c r="B609" s="58" t="inlineStr">
        <is>
          <t>Passaic</t>
        </is>
      </c>
      <c r="C609" s="58" t="inlineStr">
        <is>
          <t>Javier Melo</t>
        </is>
      </c>
      <c r="D609" s="58" t="inlineStr">
        <is>
          <t>On-premise</t>
        </is>
      </c>
      <c r="E609" s="53" t="n">
        <v>233</v>
      </c>
      <c r="F609" s="53" t="n">
        <v>242</v>
      </c>
      <c r="G609" s="55" t="n">
        <v>2035.21</v>
      </c>
      <c r="H609" s="55" t="n">
        <v>2123.31</v>
      </c>
      <c r="I609" s="53" t="n">
        <v>6</v>
      </c>
      <c r="J609" s="53" t="n">
        <v>5</v>
      </c>
      <c r="K609" s="53" t="n">
        <v>12</v>
      </c>
      <c r="L609" s="53" t="n">
        <v>21</v>
      </c>
      <c r="M609" s="33">
        <f>F609-E609</f>
        <v/>
      </c>
      <c r="N609" s="33">
        <f>L609-K609</f>
        <v/>
      </c>
    </row>
    <row r="610">
      <c r="A610" s="58" t="inlineStr">
        <is>
          <t>190509 Krauszers (Long Valley)</t>
        </is>
      </c>
      <c r="B610" s="58" t="inlineStr">
        <is>
          <t>Morris</t>
        </is>
      </c>
      <c r="C610" s="58" t="inlineStr">
        <is>
          <t>John O'Donoghue</t>
        </is>
      </c>
      <c r="D610" s="58" t="inlineStr">
        <is>
          <t>Unmatched</t>
        </is>
      </c>
      <c r="E610" s="53" t="n">
        <v>0</v>
      </c>
      <c r="F610" s="53" t="n">
        <v>9</v>
      </c>
      <c r="G610" s="55" t="n">
        <v>0</v>
      </c>
      <c r="H610" s="55" t="n">
        <v>71.53</v>
      </c>
      <c r="I610" s="53" t="n">
        <v>0</v>
      </c>
      <c r="J610" s="53" t="n">
        <v>47</v>
      </c>
      <c r="K610" s="53" t="n">
        <v>0</v>
      </c>
      <c r="L610" s="53" t="n">
        <v>9</v>
      </c>
      <c r="M610" s="33">
        <f>F610-E610</f>
        <v/>
      </c>
      <c r="N610" s="33">
        <f>L610-K610</f>
        <v/>
      </c>
    </row>
    <row r="611">
      <c r="A611" s="58" t="inlineStr">
        <is>
          <t>12005 Shay's Liquors</t>
        </is>
      </c>
      <c r="B611" s="58" t="inlineStr">
        <is>
          <t>Passaic</t>
        </is>
      </c>
      <c r="C611" s="58" t="inlineStr">
        <is>
          <t>Michael Harboy</t>
        </is>
      </c>
      <c r="D611" s="58" t="inlineStr">
        <is>
          <t>Off-premise</t>
        </is>
      </c>
      <c r="E611" s="53" t="n">
        <v>4103</v>
      </c>
      <c r="F611" s="53" t="n">
        <v>3751</v>
      </c>
      <c r="G611" s="55" t="n">
        <v>26280.31</v>
      </c>
      <c r="H611" s="55" t="n">
        <v>24231.91</v>
      </c>
      <c r="I611" s="53" t="n">
        <v>1867</v>
      </c>
      <c r="J611" s="53" t="n">
        <v>1911</v>
      </c>
      <c r="K611" s="53" t="n">
        <v>757</v>
      </c>
      <c r="L611" s="53" t="n">
        <v>766</v>
      </c>
      <c r="M611" s="33">
        <f>F611-E611</f>
        <v/>
      </c>
      <c r="N611" s="33">
        <f>L611-K611</f>
        <v/>
      </c>
    </row>
    <row r="612">
      <c r="A612" s="58" t="inlineStr">
        <is>
          <t>150049 Verona Inn(Z)</t>
        </is>
      </c>
      <c r="B612" s="58" t="inlineStr">
        <is>
          <t>Essex</t>
        </is>
      </c>
      <c r="C612" s="58" t="inlineStr">
        <is>
          <t>Michael Harboy</t>
        </is>
      </c>
      <c r="D612" s="58" t="inlineStr">
        <is>
          <t>On-premise</t>
        </is>
      </c>
      <c r="E612" s="53" t="n">
        <v>0</v>
      </c>
      <c r="F612" s="53" t="n">
        <v>9</v>
      </c>
      <c r="G612" s="55" t="n">
        <v>0</v>
      </c>
      <c r="H612" s="55" t="n">
        <v>82.7</v>
      </c>
      <c r="I612" s="53" t="n">
        <v>27</v>
      </c>
      <c r="J612" s="53" t="n">
        <v>15</v>
      </c>
      <c r="K612" s="53" t="n">
        <v>0</v>
      </c>
      <c r="L612" s="53" t="n">
        <v>9</v>
      </c>
      <c r="M612" s="33">
        <f>F612-E612</f>
        <v/>
      </c>
      <c r="N612" s="33">
        <f>L612-K612</f>
        <v/>
      </c>
    </row>
    <row r="613">
      <c r="A613" s="58" t="inlineStr">
        <is>
          <t>150162 Krauszer's Food &amp; Liq</t>
        </is>
      </c>
      <c r="B613" s="58" t="inlineStr">
        <is>
          <t>Essex</t>
        </is>
      </c>
      <c r="C613" s="58" t="inlineStr">
        <is>
          <t>Michael Harboy</t>
        </is>
      </c>
      <c r="D613" s="58" t="inlineStr">
        <is>
          <t>Off-premise</t>
        </is>
      </c>
      <c r="E613" s="53" t="n">
        <v>0</v>
      </c>
      <c r="F613" s="53" t="n">
        <v>9</v>
      </c>
      <c r="G613" s="55" t="n">
        <v>0</v>
      </c>
      <c r="H613" s="55" t="n">
        <v>71.53</v>
      </c>
      <c r="I613" s="53" t="n">
        <v>136</v>
      </c>
      <c r="J613" s="53" t="n">
        <v>114</v>
      </c>
      <c r="K613" s="53" t="n">
        <v>0</v>
      </c>
      <c r="L613" s="53" t="n">
        <v>9</v>
      </c>
      <c r="M613" s="33">
        <f>F613-E613</f>
        <v/>
      </c>
      <c r="N613" s="33">
        <f>L613-K613</f>
        <v/>
      </c>
    </row>
    <row r="614">
      <c r="A614" s="58" t="inlineStr">
        <is>
          <t>151027 Halcyon Seafood Brasserie</t>
        </is>
      </c>
      <c r="B614" s="58" t="inlineStr">
        <is>
          <t>Essex</t>
        </is>
      </c>
      <c r="C614" s="58" t="inlineStr">
        <is>
          <t>Michael Harboy</t>
        </is>
      </c>
      <c r="D614" s="58" t="inlineStr">
        <is>
          <t>On-premise</t>
        </is>
      </c>
      <c r="E614" s="53" t="n">
        <v>0</v>
      </c>
      <c r="F614" s="53" t="n">
        <v>9</v>
      </c>
      <c r="G614" s="55" t="n">
        <v>0</v>
      </c>
      <c r="H614" s="55" t="n">
        <v>82.7</v>
      </c>
      <c r="I614" s="53" t="n">
        <v>0</v>
      </c>
      <c r="J614" s="53" t="n">
        <v>25</v>
      </c>
      <c r="K614" s="53" t="n">
        <v>0</v>
      </c>
      <c r="L614" s="53" t="n">
        <v>9</v>
      </c>
      <c r="M614" s="33">
        <f>F614-E614</f>
        <v/>
      </c>
      <c r="N614" s="33">
        <f>L614-K614</f>
        <v/>
      </c>
    </row>
    <row r="615">
      <c r="A615" s="58" t="inlineStr">
        <is>
          <t>31048 Song'E Napule</t>
        </is>
      </c>
      <c r="B615" s="58" t="inlineStr">
        <is>
          <t>Bergen</t>
        </is>
      </c>
      <c r="C615" s="58" t="inlineStr">
        <is>
          <t>Nick Melissari</t>
        </is>
      </c>
      <c r="D615" s="58" t="inlineStr">
        <is>
          <t>On-premise</t>
        </is>
      </c>
      <c r="E615" s="53" t="n">
        <v>30</v>
      </c>
      <c r="F615" s="53" t="n">
        <v>39</v>
      </c>
      <c r="G615" s="55" t="n">
        <v>359.25</v>
      </c>
      <c r="H615" s="55" t="n">
        <v>462.49</v>
      </c>
      <c r="I615" s="53" t="n">
        <v>0</v>
      </c>
      <c r="J615" s="53" t="n">
        <v>0</v>
      </c>
      <c r="K615" s="53" t="n">
        <v>30</v>
      </c>
      <c r="L615" s="53" t="n">
        <v>39</v>
      </c>
      <c r="M615" s="33">
        <f>F615-E615</f>
        <v/>
      </c>
      <c r="N615" s="33">
        <f>L615-K615</f>
        <v/>
      </c>
    </row>
    <row r="616">
      <c r="A616" s="58" t="inlineStr">
        <is>
          <t>93008 Nonna's Pizza</t>
        </is>
      </c>
      <c r="B616" s="58" t="inlineStr">
        <is>
          <t>Bergen</t>
        </is>
      </c>
      <c r="C616" s="58" t="inlineStr">
        <is>
          <t>Nick Melissari</t>
        </is>
      </c>
      <c r="D616" s="58" t="inlineStr">
        <is>
          <t>On-premise</t>
        </is>
      </c>
      <c r="E616" s="53" t="n">
        <v>36</v>
      </c>
      <c r="F616" s="53" t="n">
        <v>40</v>
      </c>
      <c r="G616" s="55" t="n">
        <v>440.46</v>
      </c>
      <c r="H616" s="55" t="n">
        <v>360.58</v>
      </c>
      <c r="I616" s="53" t="n">
        <v>7</v>
      </c>
      <c r="J616" s="53" t="n">
        <v>12</v>
      </c>
      <c r="K616" s="53" t="n">
        <v>17</v>
      </c>
      <c r="L616" s="53" t="n">
        <v>26</v>
      </c>
      <c r="M616" s="33">
        <f>F616-E616</f>
        <v/>
      </c>
      <c r="N616" s="33">
        <f>L616-K616</f>
        <v/>
      </c>
    </row>
    <row r="617">
      <c r="A617" s="58" t="inlineStr">
        <is>
          <t>31027 New Park Tav (A)</t>
        </is>
      </c>
      <c r="B617" s="58" t="inlineStr">
        <is>
          <t>Bergen</t>
        </is>
      </c>
      <c r="C617" s="58" t="inlineStr">
        <is>
          <t>Nick Melissari</t>
        </is>
      </c>
      <c r="D617" s="58" t="inlineStr">
        <is>
          <t>On-premise</t>
        </is>
      </c>
      <c r="E617" s="53" t="n">
        <v>945</v>
      </c>
      <c r="F617" s="53" t="n">
        <v>945</v>
      </c>
      <c r="G617" s="55" t="n">
        <v>6788.36</v>
      </c>
      <c r="H617" s="55" t="n">
        <v>6695.44</v>
      </c>
      <c r="I617" s="53" t="n">
        <v>173</v>
      </c>
      <c r="J617" s="53" t="n">
        <v>190</v>
      </c>
      <c r="K617" s="53" t="n">
        <v>22</v>
      </c>
      <c r="L617" s="53" t="n">
        <v>31</v>
      </c>
      <c r="M617" s="33">
        <f>F617-E617</f>
        <v/>
      </c>
      <c r="N617" s="33">
        <f>L617-K617</f>
        <v/>
      </c>
    </row>
    <row r="618">
      <c r="A618" s="58" t="inlineStr">
        <is>
          <t>80054 Chili's Paramus</t>
        </is>
      </c>
      <c r="B618" s="58" t="inlineStr">
        <is>
          <t>Bergen</t>
        </is>
      </c>
      <c r="C618" s="58" t="inlineStr">
        <is>
          <t>Nick Melissari</t>
        </is>
      </c>
      <c r="D618" s="58" t="inlineStr">
        <is>
          <t>On-premise</t>
        </is>
      </c>
      <c r="E618" s="53" t="n">
        <v>180</v>
      </c>
      <c r="F618" s="53" t="n">
        <v>232</v>
      </c>
      <c r="G618" s="55" t="n">
        <v>1695.87</v>
      </c>
      <c r="H618" s="55" t="n">
        <v>2086.77</v>
      </c>
      <c r="I618" s="53" t="n">
        <v>59</v>
      </c>
      <c r="J618" s="53" t="n">
        <v>12</v>
      </c>
      <c r="K618" s="53" t="n">
        <v>5</v>
      </c>
      <c r="L618" s="53" t="n">
        <v>14</v>
      </c>
      <c r="M618" s="33">
        <f>F618-E618</f>
        <v/>
      </c>
      <c r="N618" s="33">
        <f>L618-K618</f>
        <v/>
      </c>
    </row>
    <row r="619">
      <c r="A619" s="58" t="inlineStr">
        <is>
          <t>20068 Florida Drugs (A)</t>
        </is>
      </c>
      <c r="B619" s="58" t="inlineStr">
        <is>
          <t>Passaic</t>
        </is>
      </c>
      <c r="C619" s="58" t="inlineStr">
        <is>
          <t>Pablo Lopez</t>
        </is>
      </c>
      <c r="D619" s="58" t="inlineStr">
        <is>
          <t>Off-premise</t>
        </is>
      </c>
      <c r="E619" s="53" t="n">
        <v>192</v>
      </c>
      <c r="F619" s="53" t="n">
        <v>92</v>
      </c>
      <c r="G619" s="55" t="n">
        <v>1420.97</v>
      </c>
      <c r="H619" s="55" t="n">
        <v>809.08</v>
      </c>
      <c r="I619" s="53" t="n">
        <v>63</v>
      </c>
      <c r="J619" s="53" t="n">
        <v>40</v>
      </c>
      <c r="K619" s="53" t="n">
        <v>0</v>
      </c>
      <c r="L619" s="53" t="n">
        <v>9</v>
      </c>
      <c r="M619" s="33">
        <f>F619-E619</f>
        <v/>
      </c>
      <c r="N619" s="33">
        <f>L619-K619</f>
        <v/>
      </c>
    </row>
    <row r="620">
      <c r="A620" s="58" t="inlineStr">
        <is>
          <t>57012 N Milford Ath Club</t>
        </is>
      </c>
      <c r="B620" s="58" t="inlineStr">
        <is>
          <t>Bergen</t>
        </is>
      </c>
      <c r="C620" s="58" t="inlineStr">
        <is>
          <t>Paul Mclaughlin</t>
        </is>
      </c>
      <c r="D620" s="58" t="inlineStr">
        <is>
          <t>On-premise</t>
        </is>
      </c>
      <c r="E620" s="53" t="n">
        <v>60</v>
      </c>
      <c r="F620" s="53" t="n">
        <v>55</v>
      </c>
      <c r="G620" s="55" t="n">
        <v>450.89</v>
      </c>
      <c r="H620" s="55" t="n">
        <v>401.25</v>
      </c>
      <c r="I620" s="53" t="n">
        <v>4</v>
      </c>
      <c r="J620" s="53" t="n">
        <v>2</v>
      </c>
      <c r="K620" s="53" t="n">
        <v>3</v>
      </c>
      <c r="L620" s="53" t="n">
        <v>12</v>
      </c>
      <c r="M620" s="33">
        <f>F620-E620</f>
        <v/>
      </c>
      <c r="N620" s="33">
        <f>L620-K620</f>
        <v/>
      </c>
    </row>
    <row r="621">
      <c r="A621" s="58" t="inlineStr">
        <is>
          <t>65007 86 and Vine</t>
        </is>
      </c>
      <c r="B621" s="58" t="inlineStr">
        <is>
          <t>Bergen</t>
        </is>
      </c>
      <c r="C621" s="58" t="inlineStr">
        <is>
          <t>Paul Mclaughlin</t>
        </is>
      </c>
      <c r="D621" s="58" t="inlineStr">
        <is>
          <t>Unmatched</t>
        </is>
      </c>
      <c r="E621" s="53" t="n">
        <v>76</v>
      </c>
      <c r="F621" s="53" t="n">
        <v>93</v>
      </c>
      <c r="G621" s="55" t="n">
        <v>704.6299999999999</v>
      </c>
      <c r="H621" s="55" t="n">
        <v>994.6999999999999</v>
      </c>
      <c r="I621" s="53" t="n">
        <v>18</v>
      </c>
      <c r="J621" s="53" t="n">
        <v>15</v>
      </c>
      <c r="K621" s="53" t="n">
        <v>10</v>
      </c>
      <c r="L621" s="53" t="n">
        <v>19</v>
      </c>
      <c r="M621" s="33">
        <f>F621-E621</f>
        <v/>
      </c>
      <c r="N621" s="33">
        <f>L621-K621</f>
        <v/>
      </c>
    </row>
    <row r="622">
      <c r="A622" s="58" t="inlineStr">
        <is>
          <t>190908 4 Seasons Restaurant</t>
        </is>
      </c>
      <c r="B622" s="58" t="inlineStr">
        <is>
          <t>Morris</t>
        </is>
      </c>
      <c r="C622" s="58" t="inlineStr">
        <is>
          <t>Robin Feldman</t>
        </is>
      </c>
      <c r="D622" s="58" t="inlineStr">
        <is>
          <t>On-premise</t>
        </is>
      </c>
      <c r="E622" s="53" t="n">
        <v>18</v>
      </c>
      <c r="F622" s="53" t="n">
        <v>25</v>
      </c>
      <c r="G622" s="55" t="n">
        <v>230.3</v>
      </c>
      <c r="H622" s="55" t="n">
        <v>312.6200000000001</v>
      </c>
      <c r="I622" s="53" t="n">
        <v>1</v>
      </c>
      <c r="J622" s="53" t="n">
        <v>2</v>
      </c>
      <c r="K622" s="53" t="n">
        <v>8</v>
      </c>
      <c r="L622" s="53" t="n">
        <v>17</v>
      </c>
      <c r="M622" s="33">
        <f>F622-E622</f>
        <v/>
      </c>
      <c r="N622" s="33">
        <f>L622-K622</f>
        <v/>
      </c>
    </row>
    <row r="623">
      <c r="A623" s="58" t="inlineStr">
        <is>
          <t>34018 Hilton Hasbrk Hts #50591</t>
        </is>
      </c>
      <c r="B623" s="58" t="inlineStr">
        <is>
          <t>Bergen</t>
        </is>
      </c>
      <c r="C623" s="58" t="inlineStr">
        <is>
          <t>Robin Feldman</t>
        </is>
      </c>
      <c r="D623" s="58" t="inlineStr">
        <is>
          <t>On-premise</t>
        </is>
      </c>
      <c r="E623" s="53" t="n">
        <v>145</v>
      </c>
      <c r="F623" s="53" t="n">
        <v>149</v>
      </c>
      <c r="G623" s="55" t="n">
        <v>1395.14</v>
      </c>
      <c r="H623" s="55" t="n">
        <v>1486.59</v>
      </c>
      <c r="I623" s="53" t="n">
        <v>147</v>
      </c>
      <c r="J623" s="53" t="n">
        <v>150</v>
      </c>
      <c r="K623" s="53" t="n">
        <v>44</v>
      </c>
      <c r="L623" s="53" t="n">
        <v>53</v>
      </c>
      <c r="M623" s="33">
        <f>F623-E623</f>
        <v/>
      </c>
      <c r="N623" s="33">
        <f>L623-K623</f>
        <v/>
      </c>
    </row>
    <row r="624">
      <c r="A624" s="58" t="inlineStr">
        <is>
          <t>250187 Urena Liquors</t>
        </is>
      </c>
      <c r="B624" s="58" t="inlineStr">
        <is>
          <t>Union</t>
        </is>
      </c>
      <c r="C624" s="58" t="inlineStr">
        <is>
          <t>Alex Rodriguez</t>
        </is>
      </c>
      <c r="D624" s="58" t="inlineStr">
        <is>
          <t>Off-premise</t>
        </is>
      </c>
      <c r="E624" s="53" t="n">
        <v>25</v>
      </c>
      <c r="F624" s="53" t="n">
        <v>33</v>
      </c>
      <c r="G624" s="55" t="n">
        <v>144.16</v>
      </c>
      <c r="H624" s="55" t="n">
        <v>248.01</v>
      </c>
      <c r="I624" s="53" t="n">
        <v>88</v>
      </c>
      <c r="J624" s="53" t="n">
        <v>68</v>
      </c>
      <c r="K624" s="53" t="n">
        <v>25</v>
      </c>
      <c r="L624" s="53" t="n">
        <v>33</v>
      </c>
      <c r="M624" s="33">
        <f>F624-E624</f>
        <v/>
      </c>
      <c r="N624" s="33">
        <f>L624-K624</f>
        <v/>
      </c>
    </row>
    <row r="625">
      <c r="A625" s="58" t="inlineStr">
        <is>
          <t>250027 Wine Anthology (A)</t>
        </is>
      </c>
      <c r="B625" s="58" t="inlineStr">
        <is>
          <t>Union</t>
        </is>
      </c>
      <c r="C625" s="58" t="inlineStr">
        <is>
          <t>Andrew Lundy</t>
        </is>
      </c>
      <c r="D625" s="58" t="inlineStr">
        <is>
          <t>Off-premise</t>
        </is>
      </c>
      <c r="E625" s="53" t="n">
        <v>22</v>
      </c>
      <c r="F625" s="53" t="n">
        <v>30</v>
      </c>
      <c r="G625" s="55" t="n">
        <v>155.32</v>
      </c>
      <c r="H625" s="55" t="n">
        <v>195.79</v>
      </c>
      <c r="I625" s="53" t="n">
        <v>293</v>
      </c>
      <c r="J625" s="53" t="n">
        <v>366</v>
      </c>
      <c r="K625" s="53" t="n">
        <v>22</v>
      </c>
      <c r="L625" s="53" t="n">
        <v>30</v>
      </c>
      <c r="M625" s="33">
        <f>F625-E625</f>
        <v/>
      </c>
      <c r="N625" s="33">
        <f>L625-K625</f>
        <v/>
      </c>
    </row>
    <row r="626">
      <c r="A626" s="58" t="inlineStr">
        <is>
          <t>250046 Pregame Liquors</t>
        </is>
      </c>
      <c r="B626" s="58" t="inlineStr">
        <is>
          <t>Union</t>
        </is>
      </c>
      <c r="C626" s="58" t="inlineStr">
        <is>
          <t>Andrew Lundy</t>
        </is>
      </c>
      <c r="D626" s="58" t="inlineStr">
        <is>
          <t>Off-premise</t>
        </is>
      </c>
      <c r="E626" s="53" t="n">
        <v>9</v>
      </c>
      <c r="F626" s="53" t="n">
        <v>17</v>
      </c>
      <c r="G626" s="55" t="n">
        <v>71.53</v>
      </c>
      <c r="H626" s="55" t="n">
        <v>128.75</v>
      </c>
      <c r="I626" s="53" t="n">
        <v>91</v>
      </c>
      <c r="J626" s="53" t="n">
        <v>61</v>
      </c>
      <c r="K626" s="53" t="n">
        <v>9</v>
      </c>
      <c r="L626" s="53" t="n">
        <v>17</v>
      </c>
      <c r="M626" s="33">
        <f>F626-E626</f>
        <v/>
      </c>
      <c r="N626" s="33">
        <f>L626-K626</f>
        <v/>
      </c>
    </row>
    <row r="627">
      <c r="A627" s="58" t="inlineStr">
        <is>
          <t>1010 Jimmy Geez(North)Bar/Gril</t>
        </is>
      </c>
      <c r="B627" s="58" t="inlineStr">
        <is>
          <t>Passaic</t>
        </is>
      </c>
      <c r="C627" s="58" t="inlineStr">
        <is>
          <t>Anthony Palmisano</t>
        </is>
      </c>
      <c r="D627" s="58" t="inlineStr">
        <is>
          <t>On-premise</t>
        </is>
      </c>
      <c r="E627" s="53" t="n">
        <v>441</v>
      </c>
      <c r="F627" s="53" t="n">
        <v>426</v>
      </c>
      <c r="G627" s="55" t="n">
        <v>2592.58</v>
      </c>
      <c r="H627" s="55" t="n">
        <v>2666.74</v>
      </c>
      <c r="I627" s="53" t="n">
        <v>92</v>
      </c>
      <c r="J627" s="53" t="n">
        <v>54</v>
      </c>
      <c r="K627" s="53" t="n">
        <v>16</v>
      </c>
      <c r="L627" s="53" t="n">
        <v>24</v>
      </c>
      <c r="M627" s="33">
        <f>F627-E627</f>
        <v/>
      </c>
      <c r="N627" s="33">
        <f>L627-K627</f>
        <v/>
      </c>
    </row>
    <row r="628">
      <c r="A628" s="58" t="inlineStr">
        <is>
          <t>230428 O'reilly Pub (P)</t>
        </is>
      </c>
      <c r="B628" s="58" t="inlineStr">
        <is>
          <t>Sussex</t>
        </is>
      </c>
      <c r="C628" s="58" t="inlineStr">
        <is>
          <t>Brian Sengebush</t>
        </is>
      </c>
      <c r="D628" s="58" t="inlineStr">
        <is>
          <t>On-premise</t>
        </is>
      </c>
      <c r="E628" s="53" t="n">
        <v>326</v>
      </c>
      <c r="F628" s="53" t="n">
        <v>270</v>
      </c>
      <c r="G628" s="55" t="n">
        <v>2594.47</v>
      </c>
      <c r="H628" s="55" t="n">
        <v>2172.18</v>
      </c>
      <c r="I628" s="53" t="n">
        <v>50</v>
      </c>
      <c r="J628" s="53" t="n">
        <v>42</v>
      </c>
      <c r="K628" s="53" t="n">
        <v>0</v>
      </c>
      <c r="L628" s="53" t="n">
        <v>8</v>
      </c>
      <c r="M628" s="33">
        <f>F628-E628</f>
        <v/>
      </c>
      <c r="N628" s="33">
        <f>L628-K628</f>
        <v/>
      </c>
    </row>
    <row r="629">
      <c r="A629" s="58" t="inlineStr">
        <is>
          <t>231715 Gyp's Tavern</t>
        </is>
      </c>
      <c r="B629" s="58" t="inlineStr">
        <is>
          <t>Sussex</t>
        </is>
      </c>
      <c r="C629" s="58" t="inlineStr">
        <is>
          <t>Brian Sengebush</t>
        </is>
      </c>
      <c r="D629" s="58" t="inlineStr">
        <is>
          <t>On-premise</t>
        </is>
      </c>
      <c r="E629" s="53" t="n">
        <v>383</v>
      </c>
      <c r="F629" s="53" t="n">
        <v>498</v>
      </c>
      <c r="G629" s="55" t="n">
        <v>2548.1</v>
      </c>
      <c r="H629" s="55" t="n">
        <v>3325.79</v>
      </c>
      <c r="I629" s="53" t="n">
        <v>131</v>
      </c>
      <c r="J629" s="53" t="n">
        <v>146</v>
      </c>
      <c r="K629" s="53" t="n">
        <v>15</v>
      </c>
      <c r="L629" s="53" t="n">
        <v>23</v>
      </c>
      <c r="M629" s="33">
        <f>F629-E629</f>
        <v/>
      </c>
      <c r="N629" s="33">
        <f>L629-K629</f>
        <v/>
      </c>
    </row>
    <row r="630">
      <c r="A630" s="58" t="inlineStr">
        <is>
          <t>49048 River Palm (A)</t>
        </is>
      </c>
      <c r="B630" s="58" t="inlineStr">
        <is>
          <t>Bergen</t>
        </is>
      </c>
      <c r="C630" s="58" t="inlineStr">
        <is>
          <t>Dan Lagala</t>
        </is>
      </c>
      <c r="D630" s="58" t="inlineStr">
        <is>
          <t>On-premise</t>
        </is>
      </c>
      <c r="E630" s="53" t="n">
        <v>58</v>
      </c>
      <c r="F630" s="53" t="n">
        <v>71</v>
      </c>
      <c r="G630" s="55" t="n">
        <v>616.3399999999999</v>
      </c>
      <c r="H630" s="55" t="n">
        <v>728.0999999999999</v>
      </c>
      <c r="I630" s="53" t="n">
        <v>14</v>
      </c>
      <c r="J630" s="53" t="n">
        <v>9</v>
      </c>
      <c r="K630" s="53" t="n">
        <v>24</v>
      </c>
      <c r="L630" s="53" t="n">
        <v>32</v>
      </c>
      <c r="M630" s="33">
        <f>F630-E630</f>
        <v/>
      </c>
      <c r="N630" s="33">
        <f>L630-K630</f>
        <v/>
      </c>
    </row>
    <row r="631">
      <c r="A631" s="58" t="inlineStr">
        <is>
          <t>52004 Grand Liquor &amp; Delicatesen</t>
        </is>
      </c>
      <c r="B631" s="58" t="inlineStr">
        <is>
          <t>Bergen</t>
        </is>
      </c>
      <c r="C631" s="58" t="inlineStr">
        <is>
          <t>Dave Ehlers</t>
        </is>
      </c>
      <c r="D631" s="58" t="inlineStr">
        <is>
          <t>Off-premise</t>
        </is>
      </c>
      <c r="E631" s="53" t="n">
        <v>226</v>
      </c>
      <c r="F631" s="53" t="n">
        <v>316</v>
      </c>
      <c r="G631" s="55" t="n">
        <v>1913.04</v>
      </c>
      <c r="H631" s="55" t="n">
        <v>2848.02</v>
      </c>
      <c r="I631" s="53" t="n">
        <v>19</v>
      </c>
      <c r="J631" s="53" t="n">
        <v>13</v>
      </c>
      <c r="K631" s="53" t="n">
        <v>34</v>
      </c>
      <c r="L631" s="53" t="n">
        <v>42</v>
      </c>
      <c r="M631" s="33">
        <f>F631-E631</f>
        <v/>
      </c>
      <c r="N631" s="33">
        <f>L631-K631</f>
        <v/>
      </c>
    </row>
    <row r="632">
      <c r="A632" s="58" t="inlineStr">
        <is>
          <t>171347 Fuerte Liquors</t>
        </is>
      </c>
      <c r="B632" s="58" t="inlineStr">
        <is>
          <t>Hudson</t>
        </is>
      </c>
      <c r="C632" s="58" t="inlineStr">
        <is>
          <t>Dylan Rubino</t>
        </is>
      </c>
      <c r="D632" s="58" t="inlineStr">
        <is>
          <t>Off-premise</t>
        </is>
      </c>
      <c r="E632" s="53" t="n">
        <v>0</v>
      </c>
      <c r="F632" s="53" t="n">
        <v>8</v>
      </c>
      <c r="G632" s="55" t="n">
        <v>0</v>
      </c>
      <c r="H632" s="55" t="n">
        <v>64.51000000000001</v>
      </c>
      <c r="I632" s="53" t="n">
        <v>16</v>
      </c>
      <c r="J632" s="53" t="n">
        <v>24</v>
      </c>
      <c r="K632" s="53" t="n">
        <v>0</v>
      </c>
      <c r="L632" s="53" t="n">
        <v>8</v>
      </c>
      <c r="M632" s="33">
        <f>F632-E632</f>
        <v/>
      </c>
      <c r="N632" s="33">
        <f>L632-K632</f>
        <v/>
      </c>
    </row>
    <row r="633">
      <c r="A633" s="58" t="inlineStr">
        <is>
          <t>170179 Shop Rite/Metro Plaza</t>
        </is>
      </c>
      <c r="B633" s="58" t="inlineStr">
        <is>
          <t>Hudson</t>
        </is>
      </c>
      <c r="C633" s="58" t="inlineStr">
        <is>
          <t>Jaime Colonna</t>
        </is>
      </c>
      <c r="D633" s="58" t="inlineStr">
        <is>
          <t>Off-premise</t>
        </is>
      </c>
      <c r="E633" s="53" t="n">
        <v>81</v>
      </c>
      <c r="F633" s="53" t="n">
        <v>89</v>
      </c>
      <c r="G633" s="55" t="n">
        <v>531.45</v>
      </c>
      <c r="H633" s="55" t="n">
        <v>653.52</v>
      </c>
      <c r="I633" s="53" t="n">
        <v>423</v>
      </c>
      <c r="J633" s="53" t="n">
        <v>401</v>
      </c>
      <c r="K633" s="53" t="n">
        <v>81</v>
      </c>
      <c r="L633" s="53" t="n">
        <v>89</v>
      </c>
      <c r="M633" s="33">
        <f>F633-E633</f>
        <v/>
      </c>
      <c r="N633" s="33">
        <f>L633-K633</f>
        <v/>
      </c>
    </row>
    <row r="634">
      <c r="A634" s="58" t="inlineStr">
        <is>
          <t>15014 Deli Parchardo Liquors</t>
        </is>
      </c>
      <c r="B634" s="58" t="inlineStr">
        <is>
          <t>Passaic</t>
        </is>
      </c>
      <c r="C634" s="58" t="inlineStr">
        <is>
          <t>Javier Melo</t>
        </is>
      </c>
      <c r="D634" s="58" t="inlineStr">
        <is>
          <t>Off-premise</t>
        </is>
      </c>
      <c r="E634" s="53" t="n">
        <v>1233</v>
      </c>
      <c r="F634" s="53" t="n">
        <v>934</v>
      </c>
      <c r="G634" s="55" t="n">
        <v>8270.280000000001</v>
      </c>
      <c r="H634" s="55" t="n">
        <v>6712.499999999999</v>
      </c>
      <c r="I634" s="53" t="n">
        <v>198</v>
      </c>
      <c r="J634" s="53" t="n">
        <v>186</v>
      </c>
      <c r="K634" s="53" t="n">
        <v>92</v>
      </c>
      <c r="L634" s="53" t="n">
        <v>100</v>
      </c>
      <c r="M634" s="33">
        <f>F634-E634</f>
        <v/>
      </c>
      <c r="N634" s="33">
        <f>L634-K634</f>
        <v/>
      </c>
    </row>
    <row r="635">
      <c r="A635" s="58" t="inlineStr">
        <is>
          <t>21005 La Fuente Bar (A)</t>
        </is>
      </c>
      <c r="B635" s="58" t="inlineStr">
        <is>
          <t>Passaic</t>
        </is>
      </c>
      <c r="C635" s="58" t="inlineStr">
        <is>
          <t>Javier Melo</t>
        </is>
      </c>
      <c r="D635" s="58" t="inlineStr">
        <is>
          <t>On-premise</t>
        </is>
      </c>
      <c r="E635" s="53" t="n">
        <v>343</v>
      </c>
      <c r="F635" s="53" t="n">
        <v>176</v>
      </c>
      <c r="G635" s="55" t="n">
        <v>2471.36</v>
      </c>
      <c r="H635" s="55" t="n">
        <v>1298.96</v>
      </c>
      <c r="I635" s="53" t="n">
        <v>0</v>
      </c>
      <c r="J635" s="53" t="n">
        <v>0</v>
      </c>
      <c r="K635" s="53" t="n">
        <v>0</v>
      </c>
      <c r="L635" s="53" t="n">
        <v>8</v>
      </c>
      <c r="M635" s="33">
        <f>F635-E635</f>
        <v/>
      </c>
      <c r="N635" s="33">
        <f>L635-K635</f>
        <v/>
      </c>
    </row>
    <row r="636">
      <c r="A636" s="58" t="inlineStr">
        <is>
          <t>28030 Carlitos</t>
        </is>
      </c>
      <c r="B636" s="58" t="inlineStr">
        <is>
          <t>Bergen</t>
        </is>
      </c>
      <c r="C636" s="58" t="inlineStr">
        <is>
          <t>Jim Heaney</t>
        </is>
      </c>
      <c r="D636" s="58" t="inlineStr">
        <is>
          <t>Unmatched</t>
        </is>
      </c>
      <c r="E636" s="53" t="n">
        <v>0</v>
      </c>
      <c r="F636" s="53" t="n">
        <v>51</v>
      </c>
      <c r="G636" s="55" t="n">
        <v>0</v>
      </c>
      <c r="H636" s="55" t="n">
        <v>368.18</v>
      </c>
      <c r="I636" s="53" t="n">
        <v>0</v>
      </c>
      <c r="J636" s="53" t="n">
        <v>24</v>
      </c>
      <c r="K636" s="53" t="n">
        <v>0</v>
      </c>
      <c r="L636" s="53" t="n">
        <v>8</v>
      </c>
      <c r="M636" s="33">
        <f>F636-E636</f>
        <v/>
      </c>
      <c r="N636" s="33">
        <f>L636-K636</f>
        <v/>
      </c>
    </row>
    <row r="637">
      <c r="A637" s="58" t="inlineStr">
        <is>
          <t>190711 Shop Rite Liquors</t>
        </is>
      </c>
      <c r="B637" s="58" t="inlineStr">
        <is>
          <t>Morris</t>
        </is>
      </c>
      <c r="C637" s="58" t="inlineStr">
        <is>
          <t>John O'Donoghue</t>
        </is>
      </c>
      <c r="D637" s="58" t="inlineStr">
        <is>
          <t>Unmatched</t>
        </is>
      </c>
      <c r="E637" s="53" t="n">
        <v>74</v>
      </c>
      <c r="F637" s="53" t="n">
        <v>82</v>
      </c>
      <c r="G637" s="55" t="n">
        <v>448.67</v>
      </c>
      <c r="H637" s="55" t="n">
        <v>538.4299999999999</v>
      </c>
      <c r="I637" s="53" t="n">
        <v>1424</v>
      </c>
      <c r="J637" s="53" t="n">
        <v>1484</v>
      </c>
      <c r="K637" s="53" t="n">
        <v>74</v>
      </c>
      <c r="L637" s="53" t="n">
        <v>82</v>
      </c>
      <c r="M637" s="33">
        <f>F637-E637</f>
        <v/>
      </c>
      <c r="N637" s="33">
        <f>L637-K637</f>
        <v/>
      </c>
    </row>
    <row r="638">
      <c r="A638" s="58" t="inlineStr">
        <is>
          <t>37040 The Venetian</t>
        </is>
      </c>
      <c r="B638" s="58" t="inlineStr">
        <is>
          <t>Bergen</t>
        </is>
      </c>
      <c r="C638" s="58" t="inlineStr">
        <is>
          <t>Matt Powierski</t>
        </is>
      </c>
      <c r="D638" s="58" t="inlineStr">
        <is>
          <t>On-premise</t>
        </is>
      </c>
      <c r="E638" s="53" t="n">
        <v>152</v>
      </c>
      <c r="F638" s="53" t="n">
        <v>223</v>
      </c>
      <c r="G638" s="55" t="n">
        <v>1129.54</v>
      </c>
      <c r="H638" s="55" t="n">
        <v>1781.85</v>
      </c>
      <c r="I638" s="53" t="n">
        <v>42</v>
      </c>
      <c r="J638" s="53" t="n">
        <v>47</v>
      </c>
      <c r="K638" s="53" t="n">
        <v>6</v>
      </c>
      <c r="L638" s="53" t="n">
        <v>14</v>
      </c>
      <c r="M638" s="33">
        <f>F638-E638</f>
        <v/>
      </c>
      <c r="N638" s="33">
        <f>L638-K638</f>
        <v/>
      </c>
    </row>
    <row r="639">
      <c r="A639" s="58" t="inlineStr">
        <is>
          <t>150190 Quick Stop Liquors</t>
        </is>
      </c>
      <c r="B639" s="58" t="inlineStr">
        <is>
          <t>Essex</t>
        </is>
      </c>
      <c r="C639" s="58" t="inlineStr">
        <is>
          <t>Michael Harboy</t>
        </is>
      </c>
      <c r="D639" s="58" t="inlineStr">
        <is>
          <t>Off-premise</t>
        </is>
      </c>
      <c r="E639" s="53" t="n">
        <v>30</v>
      </c>
      <c r="F639" s="53" t="n">
        <v>38</v>
      </c>
      <c r="G639" s="55" t="n">
        <v>211.17</v>
      </c>
      <c r="H639" s="55" t="n">
        <v>289.33</v>
      </c>
      <c r="I639" s="53" t="n">
        <v>81</v>
      </c>
      <c r="J639" s="53" t="n">
        <v>117</v>
      </c>
      <c r="K639" s="53" t="n">
        <v>30</v>
      </c>
      <c r="L639" s="53" t="n">
        <v>38</v>
      </c>
      <c r="M639" s="33">
        <f>F639-E639</f>
        <v/>
      </c>
      <c r="N639" s="33">
        <f>L639-K639</f>
        <v/>
      </c>
    </row>
    <row r="640">
      <c r="A640" s="58" t="inlineStr">
        <is>
          <t>80011 Casa De Montecristo</t>
        </is>
      </c>
      <c r="B640" s="58" t="inlineStr">
        <is>
          <t>Bergen</t>
        </is>
      </c>
      <c r="C640" s="58" t="inlineStr">
        <is>
          <t>Nick Melissari</t>
        </is>
      </c>
      <c r="D640" s="58" t="inlineStr">
        <is>
          <t>On-premise</t>
        </is>
      </c>
      <c r="E640" s="53" t="n">
        <v>25</v>
      </c>
      <c r="F640" s="53" t="n">
        <v>47</v>
      </c>
      <c r="G640" s="55" t="n">
        <v>239.01</v>
      </c>
      <c r="H640" s="55" t="n">
        <v>499.84</v>
      </c>
      <c r="I640" s="53" t="n">
        <v>9</v>
      </c>
      <c r="J640" s="53" t="n">
        <v>7</v>
      </c>
      <c r="K640" s="53" t="n">
        <v>4</v>
      </c>
      <c r="L640" s="53" t="n">
        <v>12</v>
      </c>
      <c r="M640" s="33">
        <f>F640-E640</f>
        <v/>
      </c>
      <c r="N640" s="33">
        <f>L640-K640</f>
        <v/>
      </c>
    </row>
    <row r="641">
      <c r="A641" s="58" t="inlineStr">
        <is>
          <t>80040 Biagio's</t>
        </is>
      </c>
      <c r="B641" s="58" t="inlineStr">
        <is>
          <t>Bergen</t>
        </is>
      </c>
      <c r="C641" s="58" t="inlineStr">
        <is>
          <t>Nick Melissari</t>
        </is>
      </c>
      <c r="D641" s="58" t="inlineStr">
        <is>
          <t>On-premise</t>
        </is>
      </c>
      <c r="E641" s="53" t="n">
        <v>498</v>
      </c>
      <c r="F641" s="53" t="n">
        <v>538</v>
      </c>
      <c r="G641" s="55" t="n">
        <v>3467.06</v>
      </c>
      <c r="H641" s="55" t="n">
        <v>3636.05</v>
      </c>
      <c r="I641" s="53" t="n">
        <v>45</v>
      </c>
      <c r="J641" s="53" t="n">
        <v>27</v>
      </c>
      <c r="K641" s="53" t="n">
        <v>11</v>
      </c>
      <c r="L641" s="53" t="n">
        <v>19</v>
      </c>
      <c r="M641" s="33">
        <f>F641-E641</f>
        <v/>
      </c>
      <c r="N641" s="33">
        <f>L641-K641</f>
        <v/>
      </c>
    </row>
    <row r="642">
      <c r="A642" s="58" t="inlineStr">
        <is>
          <t>30031 Paisano's</t>
        </is>
      </c>
      <c r="B642" s="58" t="inlineStr">
        <is>
          <t>Bergen</t>
        </is>
      </c>
      <c r="C642" s="58" t="inlineStr">
        <is>
          <t>Nick Melissari</t>
        </is>
      </c>
      <c r="D642" s="58" t="inlineStr">
        <is>
          <t>On-premise</t>
        </is>
      </c>
      <c r="E642" s="53" t="n">
        <v>26</v>
      </c>
      <c r="F642" s="53" t="n">
        <v>47</v>
      </c>
      <c r="G642" s="55" t="n">
        <v>234.58</v>
      </c>
      <c r="H642" s="55" t="n">
        <v>421.31</v>
      </c>
      <c r="I642" s="53" t="n">
        <v>3</v>
      </c>
      <c r="J642" s="53" t="n">
        <v>2</v>
      </c>
      <c r="K642" s="53" t="n">
        <v>18</v>
      </c>
      <c r="L642" s="53" t="n">
        <v>26</v>
      </c>
      <c r="M642" s="33">
        <f>F642-E642</f>
        <v/>
      </c>
      <c r="N642" s="33">
        <f>L642-K642</f>
        <v/>
      </c>
    </row>
    <row r="643">
      <c r="A643" s="58" t="inlineStr">
        <is>
          <t>93007 Rp Prime Restaurant</t>
        </is>
      </c>
      <c r="B643" s="58" t="inlineStr">
        <is>
          <t>Bergen</t>
        </is>
      </c>
      <c r="C643" s="58" t="inlineStr">
        <is>
          <t>Nick Melissari</t>
        </is>
      </c>
      <c r="D643" s="58" t="inlineStr">
        <is>
          <t>On-premise</t>
        </is>
      </c>
      <c r="E643" s="53" t="n">
        <v>60</v>
      </c>
      <c r="F643" s="53" t="n">
        <v>84</v>
      </c>
      <c r="G643" s="55" t="n">
        <v>658.25</v>
      </c>
      <c r="H643" s="55" t="n">
        <v>966.8199999999999</v>
      </c>
      <c r="I643" s="53" t="n">
        <v>14</v>
      </c>
      <c r="J643" s="53" t="n">
        <v>21</v>
      </c>
      <c r="K643" s="53" t="n">
        <v>8</v>
      </c>
      <c r="L643" s="53" t="n">
        <v>16</v>
      </c>
      <c r="M643" s="33">
        <f>F643-E643</f>
        <v/>
      </c>
      <c r="N643" s="33">
        <f>L643-K643</f>
        <v/>
      </c>
    </row>
    <row r="644">
      <c r="A644" s="58" t="inlineStr">
        <is>
          <t>31042 Residence Inn East Rutherford</t>
        </is>
      </c>
      <c r="B644" s="58" t="inlineStr">
        <is>
          <t>Bergen</t>
        </is>
      </c>
      <c r="C644" s="58" t="inlineStr">
        <is>
          <t>Nick Melissari</t>
        </is>
      </c>
      <c r="D644" s="58" t="inlineStr">
        <is>
          <t>On-premise</t>
        </is>
      </c>
      <c r="E644" s="53" t="n">
        <v>31</v>
      </c>
      <c r="F644" s="53" t="n">
        <v>72</v>
      </c>
      <c r="G644" s="55" t="n">
        <v>204.93</v>
      </c>
      <c r="H644" s="55" t="n">
        <v>462.84</v>
      </c>
      <c r="I644" s="53" t="n">
        <v>1</v>
      </c>
      <c r="J644" s="53" t="n">
        <v>0</v>
      </c>
      <c r="K644" s="53" t="n">
        <v>6</v>
      </c>
      <c r="L644" s="53" t="n">
        <v>14</v>
      </c>
      <c r="M644" s="33">
        <f>F644-E644</f>
        <v/>
      </c>
      <c r="N644" s="33">
        <f>L644-K644</f>
        <v/>
      </c>
    </row>
    <row r="645">
      <c r="A645" s="58" t="inlineStr">
        <is>
          <t>92004 Brothers Smokehouse</t>
        </is>
      </c>
      <c r="B645" s="58" t="inlineStr">
        <is>
          <t>Bergen</t>
        </is>
      </c>
      <c r="C645" s="58" t="inlineStr">
        <is>
          <t>Nick Melissari</t>
        </is>
      </c>
      <c r="D645" s="58" t="inlineStr">
        <is>
          <t>On-premise</t>
        </is>
      </c>
      <c r="E645" s="53" t="n">
        <v>72</v>
      </c>
      <c r="F645" s="53" t="n">
        <v>88</v>
      </c>
      <c r="G645" s="55" t="n">
        <v>487.6199999999999</v>
      </c>
      <c r="H645" s="55" t="n">
        <v>728.8100000000001</v>
      </c>
      <c r="I645" s="53" t="n">
        <v>79</v>
      </c>
      <c r="J645" s="53" t="n">
        <v>81</v>
      </c>
      <c r="K645" s="53" t="n">
        <v>20</v>
      </c>
      <c r="L645" s="53" t="n">
        <v>28</v>
      </c>
      <c r="M645" s="33">
        <f>F645-E645</f>
        <v/>
      </c>
      <c r="N645" s="33">
        <f>L645-K645</f>
        <v/>
      </c>
    </row>
    <row r="646">
      <c r="A646" s="58" t="inlineStr">
        <is>
          <t>52049 Sini Bistro</t>
        </is>
      </c>
      <c r="B646" s="58" t="inlineStr">
        <is>
          <t>Bergen</t>
        </is>
      </c>
      <c r="C646" s="58" t="inlineStr">
        <is>
          <t>Paul Mclaughlin</t>
        </is>
      </c>
      <c r="D646" s="58" t="inlineStr">
        <is>
          <t>On-premise</t>
        </is>
      </c>
      <c r="E646" s="53" t="n">
        <v>0</v>
      </c>
      <c r="F646" s="53" t="n">
        <v>42</v>
      </c>
      <c r="G646" s="55" t="n">
        <v>0</v>
      </c>
      <c r="H646" s="55" t="n">
        <v>380.18</v>
      </c>
      <c r="I646" s="53" t="n">
        <v>0</v>
      </c>
      <c r="J646" s="53" t="n">
        <v>15</v>
      </c>
      <c r="K646" s="53" t="n">
        <v>0</v>
      </c>
      <c r="L646" s="53" t="n">
        <v>8</v>
      </c>
      <c r="M646" s="33">
        <f>F646-E646</f>
        <v/>
      </c>
      <c r="N646" s="33">
        <f>L646-K646</f>
        <v/>
      </c>
    </row>
    <row r="647">
      <c r="A647" s="58" t="inlineStr">
        <is>
          <t>36015 Wallington Lane (Bowlero)</t>
        </is>
      </c>
      <c r="B647" s="58" t="inlineStr">
        <is>
          <t>Bergen</t>
        </is>
      </c>
      <c r="C647" s="58" t="inlineStr">
        <is>
          <t>Paul Mclaughlin</t>
        </is>
      </c>
      <c r="D647" s="58" t="inlineStr">
        <is>
          <t>On-premise</t>
        </is>
      </c>
      <c r="E647" s="53" t="n">
        <v>324</v>
      </c>
      <c r="F647" s="53" t="n">
        <v>308</v>
      </c>
      <c r="G647" s="55" t="n">
        <v>2724.91</v>
      </c>
      <c r="H647" s="55" t="n">
        <v>2635.9</v>
      </c>
      <c r="I647" s="53" t="n">
        <v>41</v>
      </c>
      <c r="J647" s="53" t="n">
        <v>34</v>
      </c>
      <c r="K647" s="53" t="n">
        <v>44</v>
      </c>
      <c r="L647" s="53" t="n">
        <v>52</v>
      </c>
      <c r="M647" s="33">
        <f>F647-E647</f>
        <v/>
      </c>
      <c r="N647" s="33">
        <f>L647-K647</f>
        <v/>
      </c>
    </row>
    <row r="648">
      <c r="A648" s="58" t="inlineStr">
        <is>
          <t>39001 Home Wines &amp; Liq 75 (A) (South Hackensack)</t>
        </is>
      </c>
      <c r="B648" s="58" t="inlineStr">
        <is>
          <t>Bergen</t>
        </is>
      </c>
      <c r="C648" s="58" t="inlineStr">
        <is>
          <t>Phil Ernst</t>
        </is>
      </c>
      <c r="D648" s="58" t="inlineStr">
        <is>
          <t>Off-premise</t>
        </is>
      </c>
      <c r="E648" s="53" t="n">
        <v>2706</v>
      </c>
      <c r="F648" s="53" t="n">
        <v>2664</v>
      </c>
      <c r="G648" s="55" t="n">
        <v>17624.38</v>
      </c>
      <c r="H648" s="55" t="n">
        <v>17597.55</v>
      </c>
      <c r="I648" s="53" t="n">
        <v>1216</v>
      </c>
      <c r="J648" s="53" t="n">
        <v>1327</v>
      </c>
      <c r="K648" s="53" t="n">
        <v>367</v>
      </c>
      <c r="L648" s="53" t="n">
        <v>375</v>
      </c>
      <c r="M648" s="33">
        <f>F648-E648</f>
        <v/>
      </c>
      <c r="N648" s="33">
        <f>L648-K648</f>
        <v/>
      </c>
    </row>
    <row r="649">
      <c r="A649" s="58" t="inlineStr">
        <is>
          <t>11004 Arca</t>
        </is>
      </c>
      <c r="B649" s="58" t="inlineStr">
        <is>
          <t>Morris</t>
        </is>
      </c>
      <c r="C649" s="58" t="inlineStr">
        <is>
          <t>Robin Feldman</t>
        </is>
      </c>
      <c r="D649" s="58" t="inlineStr">
        <is>
          <t>On-premise</t>
        </is>
      </c>
      <c r="E649" s="53" t="n">
        <v>115</v>
      </c>
      <c r="F649" s="53" t="n">
        <v>115</v>
      </c>
      <c r="G649" s="55" t="n">
        <v>987.6000000000001</v>
      </c>
      <c r="H649" s="55" t="n">
        <v>1041.54</v>
      </c>
      <c r="I649" s="53" t="n">
        <v>5</v>
      </c>
      <c r="J649" s="53" t="n">
        <v>2</v>
      </c>
      <c r="K649" s="53" t="n">
        <v>43</v>
      </c>
      <c r="L649" s="53" t="n">
        <v>51</v>
      </c>
      <c r="M649" s="33">
        <f>F649-E649</f>
        <v/>
      </c>
      <c r="N649" s="33">
        <f>L649-K649</f>
        <v/>
      </c>
    </row>
    <row r="650">
      <c r="A650" s="58" t="inlineStr">
        <is>
          <t>18005 Giuseppe (P) Rest.</t>
        </is>
      </c>
      <c r="B650" s="58" t="inlineStr">
        <is>
          <t>Passaic</t>
        </is>
      </c>
      <c r="C650" s="58" t="inlineStr">
        <is>
          <t>Robin Feldman</t>
        </is>
      </c>
      <c r="D650" s="58" t="inlineStr">
        <is>
          <t>On-premise</t>
        </is>
      </c>
      <c r="E650" s="53" t="n">
        <v>3</v>
      </c>
      <c r="F650" s="53" t="n">
        <v>11</v>
      </c>
      <c r="G650" s="55" t="n">
        <v>34.24</v>
      </c>
      <c r="H650" s="55" t="n">
        <v>115.93</v>
      </c>
      <c r="I650" s="53" t="n">
        <v>2</v>
      </c>
      <c r="J650" s="53" t="n">
        <v>0</v>
      </c>
      <c r="K650" s="53" t="n">
        <v>0</v>
      </c>
      <c r="L650" s="53" t="n">
        <v>8</v>
      </c>
      <c r="M650" s="33">
        <f>F650-E650</f>
        <v/>
      </c>
      <c r="N650" s="33">
        <f>L650-K650</f>
        <v/>
      </c>
    </row>
    <row r="651">
      <c r="A651" s="58" t="inlineStr">
        <is>
          <t>2005 Arta Trattoria (P)</t>
        </is>
      </c>
      <c r="B651" s="58" t="inlineStr">
        <is>
          <t>Passaic</t>
        </is>
      </c>
      <c r="C651" s="58" t="inlineStr">
        <is>
          <t>Robin Feldman</t>
        </is>
      </c>
      <c r="D651" s="58" t="inlineStr">
        <is>
          <t>On-premise</t>
        </is>
      </c>
      <c r="E651" s="53" t="n">
        <v>-7</v>
      </c>
      <c r="F651" s="53" t="n">
        <v>8</v>
      </c>
      <c r="G651" s="55" t="n">
        <v>-46.85</v>
      </c>
      <c r="H651" s="55" t="n">
        <v>81.44999999999999</v>
      </c>
      <c r="I651" s="53" t="n">
        <v>10</v>
      </c>
      <c r="J651" s="53" t="n">
        <v>47</v>
      </c>
      <c r="K651" s="53" t="n">
        <v>-1</v>
      </c>
      <c r="L651" s="53" t="n">
        <v>7</v>
      </c>
      <c r="M651" s="33">
        <f>F651-E651</f>
        <v/>
      </c>
      <c r="N651" s="33">
        <f>L651-K651</f>
        <v/>
      </c>
    </row>
    <row r="652">
      <c r="A652" s="58" t="inlineStr">
        <is>
          <t>32020 Il Villaggio Rest</t>
        </is>
      </c>
      <c r="B652" s="58" t="inlineStr">
        <is>
          <t>Bergen</t>
        </is>
      </c>
      <c r="C652" s="58" t="inlineStr">
        <is>
          <t>Robin Feldman</t>
        </is>
      </c>
      <c r="D652" s="58" t="inlineStr">
        <is>
          <t>On-premise</t>
        </is>
      </c>
      <c r="E652" s="53" t="n">
        <v>58</v>
      </c>
      <c r="F652" s="53" t="n">
        <v>67</v>
      </c>
      <c r="G652" s="55" t="n">
        <v>584.3100000000001</v>
      </c>
      <c r="H652" s="55" t="n">
        <v>678.01</v>
      </c>
      <c r="I652" s="53" t="n">
        <v>6</v>
      </c>
      <c r="J652" s="53" t="n">
        <v>7</v>
      </c>
      <c r="K652" s="53" t="n">
        <v>5</v>
      </c>
      <c r="L652" s="53" t="n">
        <v>13</v>
      </c>
      <c r="M652" s="33">
        <f>F652-E652</f>
        <v/>
      </c>
      <c r="N652" s="33">
        <f>L652-K652</f>
        <v/>
      </c>
    </row>
    <row r="653">
      <c r="A653" s="58" t="inlineStr">
        <is>
          <t>190718 Marcella Community Club</t>
        </is>
      </c>
      <c r="B653" s="58" t="inlineStr">
        <is>
          <t>Morris</t>
        </is>
      </c>
      <c r="C653" s="58" t="inlineStr">
        <is>
          <t>Robin Feldman</t>
        </is>
      </c>
      <c r="D653" s="58" t="inlineStr">
        <is>
          <t>On-premise</t>
        </is>
      </c>
      <c r="E653" s="53" t="n">
        <v>96</v>
      </c>
      <c r="F653" s="53" t="n">
        <v>80</v>
      </c>
      <c r="G653" s="55" t="n">
        <v>832.9300000000001</v>
      </c>
      <c r="H653" s="55" t="n">
        <v>691.73</v>
      </c>
      <c r="I653" s="53" t="n">
        <v>12</v>
      </c>
      <c r="J653" s="53" t="n">
        <v>2</v>
      </c>
      <c r="K653" s="53" t="n">
        <v>1</v>
      </c>
      <c r="L653" s="53" t="n">
        <v>9</v>
      </c>
      <c r="M653" s="33">
        <f>F653-E653</f>
        <v/>
      </c>
      <c r="N653" s="33">
        <f>L653-K653</f>
        <v/>
      </c>
    </row>
    <row r="654">
      <c r="A654" s="58" t="inlineStr">
        <is>
          <t>11007 Meadows Golf Club(P)</t>
        </is>
      </c>
      <c r="B654" s="58" t="inlineStr">
        <is>
          <t>Morris</t>
        </is>
      </c>
      <c r="C654" s="58" t="inlineStr">
        <is>
          <t>Allison Scott</t>
        </is>
      </c>
      <c r="D654" s="58" t="inlineStr">
        <is>
          <t>On-premise</t>
        </is>
      </c>
      <c r="E654" s="53" t="n">
        <v>326</v>
      </c>
      <c r="F654" s="53" t="n">
        <v>271</v>
      </c>
      <c r="G654" s="55" t="n">
        <v>1105.07</v>
      </c>
      <c r="H654" s="55" t="n">
        <v>838.0999999999999</v>
      </c>
      <c r="I654" s="53" t="n">
        <v>124</v>
      </c>
      <c r="J654" s="53" t="n">
        <v>114</v>
      </c>
      <c r="K654" s="53" t="n">
        <v>5</v>
      </c>
      <c r="L654" s="53" t="n">
        <v>12</v>
      </c>
      <c r="M654" s="33">
        <f>F654-E654</f>
        <v/>
      </c>
      <c r="N654" s="33">
        <f>L654-K654</f>
        <v/>
      </c>
    </row>
    <row r="655">
      <c r="A655" s="58" t="inlineStr">
        <is>
          <t>25078 The Shannon Rose (A)</t>
        </is>
      </c>
      <c r="B655" s="58" t="inlineStr">
        <is>
          <t>Passaic</t>
        </is>
      </c>
      <c r="C655" s="58" t="inlineStr">
        <is>
          <t>Allison Scott</t>
        </is>
      </c>
      <c r="D655" s="58" t="inlineStr">
        <is>
          <t>On-premise</t>
        </is>
      </c>
      <c r="E655" s="53" t="n">
        <v>231</v>
      </c>
      <c r="F655" s="53" t="n">
        <v>219</v>
      </c>
      <c r="G655" s="55" t="n">
        <v>2039.18</v>
      </c>
      <c r="H655" s="55" t="n">
        <v>1463.34</v>
      </c>
      <c r="I655" s="53" t="n">
        <v>89</v>
      </c>
      <c r="J655" s="53" t="n">
        <v>62</v>
      </c>
      <c r="K655" s="53" t="n">
        <v>11</v>
      </c>
      <c r="L655" s="53" t="n">
        <v>18</v>
      </c>
      <c r="M655" s="33">
        <f>F655-E655</f>
        <v/>
      </c>
      <c r="N655" s="33">
        <f>L655-K655</f>
        <v/>
      </c>
    </row>
    <row r="656">
      <c r="A656" s="58" t="inlineStr">
        <is>
          <t>250033 The Station Bar &amp; Grill</t>
        </is>
      </c>
      <c r="B656" s="58" t="inlineStr">
        <is>
          <t>Union</t>
        </is>
      </c>
      <c r="C656" s="58" t="inlineStr">
        <is>
          <t>Andrew Lundy</t>
        </is>
      </c>
      <c r="D656" s="58" t="inlineStr">
        <is>
          <t>On-premise</t>
        </is>
      </c>
      <c r="E656" s="53" t="n">
        <v>0</v>
      </c>
      <c r="F656" s="53" t="n">
        <v>7</v>
      </c>
      <c r="G656" s="55" t="n">
        <v>0</v>
      </c>
      <c r="H656" s="55" t="n">
        <v>42.25</v>
      </c>
      <c r="I656" s="53" t="n">
        <v>23</v>
      </c>
      <c r="J656" s="53" t="n">
        <v>25</v>
      </c>
      <c r="K656" s="53" t="n">
        <v>0</v>
      </c>
      <c r="L656" s="53" t="n">
        <v>7</v>
      </c>
      <c r="M656" s="33">
        <f>F656-E656</f>
        <v/>
      </c>
      <c r="N656" s="33">
        <f>L656-K656</f>
        <v/>
      </c>
    </row>
    <row r="657">
      <c r="A657" s="58" t="inlineStr">
        <is>
          <t>3011 Flip's Bar (P)</t>
        </is>
      </c>
      <c r="B657" s="58" t="inlineStr">
        <is>
          <t>Passaic</t>
        </is>
      </c>
      <c r="C657" s="58" t="inlineStr">
        <is>
          <t>Anthony Palmisano</t>
        </is>
      </c>
      <c r="D657" s="58" t="inlineStr">
        <is>
          <t>On-premise</t>
        </is>
      </c>
      <c r="E657" s="53" t="n">
        <v>445</v>
      </c>
      <c r="F657" s="53" t="n">
        <v>363</v>
      </c>
      <c r="G657" s="55" t="n">
        <v>3393.81</v>
      </c>
      <c r="H657" s="55" t="n">
        <v>2766</v>
      </c>
      <c r="I657" s="53" t="n">
        <v>112</v>
      </c>
      <c r="J657" s="53" t="n">
        <v>96</v>
      </c>
      <c r="K657" s="53" t="n">
        <v>10</v>
      </c>
      <c r="L657" s="53" t="n">
        <v>17</v>
      </c>
      <c r="M657" s="33">
        <f>F657-E657</f>
        <v/>
      </c>
      <c r="N657" s="33">
        <f>L657-K657</f>
        <v/>
      </c>
    </row>
    <row r="658">
      <c r="A658" s="58" t="inlineStr">
        <is>
          <t>6001 Cafe' Chameleon</t>
        </is>
      </c>
      <c r="B658" s="58" t="inlineStr">
        <is>
          <t>Passaic</t>
        </is>
      </c>
      <c r="C658" s="58" t="inlineStr">
        <is>
          <t>Anthony Palmisano</t>
        </is>
      </c>
      <c r="D658" s="58" t="inlineStr">
        <is>
          <t>On-premise</t>
        </is>
      </c>
      <c r="E658" s="53" t="n">
        <v>18</v>
      </c>
      <c r="F658" s="53" t="n">
        <v>34</v>
      </c>
      <c r="G658" s="55" t="n">
        <v>187</v>
      </c>
      <c r="H658" s="55" t="n">
        <v>349.5</v>
      </c>
      <c r="I658" s="53" t="n">
        <v>5</v>
      </c>
      <c r="J658" s="53" t="n">
        <v>2</v>
      </c>
      <c r="K658" s="53" t="n">
        <v>8</v>
      </c>
      <c r="L658" s="53" t="n">
        <v>15</v>
      </c>
      <c r="M658" s="33">
        <f>F658-E658</f>
        <v/>
      </c>
      <c r="N658" s="33">
        <f>L658-K658</f>
        <v/>
      </c>
    </row>
    <row r="659">
      <c r="A659" s="58" t="inlineStr">
        <is>
          <t>231307 Skylands Wine&amp; Beer Garden</t>
        </is>
      </c>
      <c r="B659" s="58" t="inlineStr">
        <is>
          <t>Sussex</t>
        </is>
      </c>
      <c r="C659" s="58" t="inlineStr">
        <is>
          <t>Anthony Palmisano</t>
        </is>
      </c>
      <c r="D659" s="58" t="inlineStr">
        <is>
          <t>On-premise</t>
        </is>
      </c>
      <c r="E659" s="53" t="n">
        <v>6</v>
      </c>
      <c r="F659" s="53" t="n">
        <v>7</v>
      </c>
      <c r="G659" s="55" t="n">
        <v>44.13</v>
      </c>
      <c r="H659" s="55" t="n">
        <v>63.05</v>
      </c>
      <c r="I659" s="53" t="n">
        <v>24</v>
      </c>
      <c r="J659" s="53" t="n">
        <v>45</v>
      </c>
      <c r="K659" s="53" t="n">
        <v>0</v>
      </c>
      <c r="L659" s="53" t="n">
        <v>7</v>
      </c>
      <c r="M659" s="33">
        <f>F659-E659</f>
        <v/>
      </c>
      <c r="N659" s="33">
        <f>L659-K659</f>
        <v/>
      </c>
    </row>
    <row r="660">
      <c r="A660" s="58" t="inlineStr">
        <is>
          <t>231002 Stew N Dolly's Place</t>
        </is>
      </c>
      <c r="B660" s="58" t="inlineStr">
        <is>
          <t>Sussex</t>
        </is>
      </c>
      <c r="C660" s="58" t="inlineStr">
        <is>
          <t>Anthony Palmisano</t>
        </is>
      </c>
      <c r="D660" s="58" t="inlineStr">
        <is>
          <t>On-premise</t>
        </is>
      </c>
      <c r="E660" s="53" t="n">
        <v>263</v>
      </c>
      <c r="F660" s="53" t="n">
        <v>252</v>
      </c>
      <c r="G660" s="55" t="n">
        <v>1698.3</v>
      </c>
      <c r="H660" s="55" t="n">
        <v>1870.6</v>
      </c>
      <c r="I660" s="53" t="n">
        <v>21</v>
      </c>
      <c r="J660" s="53" t="n">
        <v>14</v>
      </c>
      <c r="K660" s="53" t="n">
        <v>0</v>
      </c>
      <c r="L660" s="53" t="n">
        <v>7</v>
      </c>
      <c r="M660" s="33">
        <f>F660-E660</f>
        <v/>
      </c>
      <c r="N660" s="33">
        <f>L660-K660</f>
        <v/>
      </c>
    </row>
    <row r="661">
      <c r="A661" s="58" t="inlineStr">
        <is>
          <t>230307 Newton Country Club</t>
        </is>
      </c>
      <c r="B661" s="58" t="inlineStr">
        <is>
          <t>Sussex</t>
        </is>
      </c>
      <c r="C661" s="58" t="inlineStr">
        <is>
          <t>Brian Sengebush</t>
        </is>
      </c>
      <c r="D661" s="58" t="inlineStr">
        <is>
          <t>On-premise</t>
        </is>
      </c>
      <c r="E661" s="53" t="n">
        <v>124</v>
      </c>
      <c r="F661" s="53" t="n">
        <v>79</v>
      </c>
      <c r="G661" s="55" t="n">
        <v>732.5700000000001</v>
      </c>
      <c r="H661" s="55" t="n">
        <v>549.8099999999999</v>
      </c>
      <c r="I661" s="53" t="n">
        <v>25</v>
      </c>
      <c r="J661" s="53" t="n">
        <v>12</v>
      </c>
      <c r="K661" s="53" t="n">
        <v>9</v>
      </c>
      <c r="L661" s="53" t="n">
        <v>16</v>
      </c>
      <c r="M661" s="33">
        <f>F661-E661</f>
        <v/>
      </c>
      <c r="N661" s="33">
        <f>L661-K661</f>
        <v/>
      </c>
    </row>
    <row r="662">
      <c r="A662" s="58" t="inlineStr">
        <is>
          <t>34004 Princess Liquor's(P)</t>
        </is>
      </c>
      <c r="B662" s="58" t="inlineStr">
        <is>
          <t>Bergen</t>
        </is>
      </c>
      <c r="C662" s="58" t="inlineStr">
        <is>
          <t>Chris Payton</t>
        </is>
      </c>
      <c r="D662" s="58" t="inlineStr">
        <is>
          <t>Off-premise</t>
        </is>
      </c>
      <c r="E662" s="53" t="n">
        <v>560</v>
      </c>
      <c r="F662" s="53" t="n">
        <v>550</v>
      </c>
      <c r="G662" s="55" t="n">
        <v>4459.319999999999</v>
      </c>
      <c r="H662" s="55" t="n">
        <v>4431.55</v>
      </c>
      <c r="I662" s="53" t="n">
        <v>48</v>
      </c>
      <c r="J662" s="53" t="n">
        <v>43</v>
      </c>
      <c r="K662" s="53" t="n">
        <v>56</v>
      </c>
      <c r="L662" s="53" t="n">
        <v>63</v>
      </c>
      <c r="M662" s="33">
        <f>F662-E662</f>
        <v/>
      </c>
      <c r="N662" s="33">
        <f>L662-K662</f>
        <v/>
      </c>
    </row>
    <row r="663">
      <c r="A663" s="58" t="inlineStr">
        <is>
          <t>49034 In Napoli (A)</t>
        </is>
      </c>
      <c r="B663" s="58" t="inlineStr">
        <is>
          <t>Bergen</t>
        </is>
      </c>
      <c r="C663" s="58" t="inlineStr">
        <is>
          <t>Dan Lagala</t>
        </is>
      </c>
      <c r="D663" s="58" t="inlineStr">
        <is>
          <t>On-premise</t>
        </is>
      </c>
      <c r="E663" s="53" t="n">
        <v>80</v>
      </c>
      <c r="F663" s="53" t="n">
        <v>105</v>
      </c>
      <c r="G663" s="55" t="n">
        <v>828.6899999999999</v>
      </c>
      <c r="H663" s="55" t="n">
        <v>1095.94</v>
      </c>
      <c r="I663" s="53" t="n">
        <v>8</v>
      </c>
      <c r="J663" s="53" t="n">
        <v>11</v>
      </c>
      <c r="K663" s="53" t="n">
        <v>18</v>
      </c>
      <c r="L663" s="53" t="n">
        <v>25</v>
      </c>
      <c r="M663" s="33">
        <f>F663-E663</f>
        <v/>
      </c>
      <c r="N663" s="33">
        <f>L663-K663</f>
        <v/>
      </c>
    </row>
    <row r="664">
      <c r="A664" s="58" t="inlineStr">
        <is>
          <t>170043 Communipaw Liqs (P)</t>
        </is>
      </c>
      <c r="B664" s="58" t="inlineStr">
        <is>
          <t>Hudson</t>
        </is>
      </c>
      <c r="C664" s="58" t="inlineStr">
        <is>
          <t>Dylan Rubino</t>
        </is>
      </c>
      <c r="D664" s="58" t="inlineStr">
        <is>
          <t>Off-premise</t>
        </is>
      </c>
      <c r="E664" s="53" t="n">
        <v>59</v>
      </c>
      <c r="F664" s="53" t="n">
        <v>66</v>
      </c>
      <c r="G664" s="55" t="n">
        <v>421.81</v>
      </c>
      <c r="H664" s="55" t="n">
        <v>479.77</v>
      </c>
      <c r="I664" s="53" t="n">
        <v>160</v>
      </c>
      <c r="J664" s="53" t="n">
        <v>176</v>
      </c>
      <c r="K664" s="53" t="n">
        <v>59</v>
      </c>
      <c r="L664" s="53" t="n">
        <v>66</v>
      </c>
      <c r="M664" s="33">
        <f>F664-E664</f>
        <v/>
      </c>
      <c r="N664" s="33">
        <f>L664-K664</f>
        <v/>
      </c>
    </row>
    <row r="665">
      <c r="A665" s="58" t="inlineStr">
        <is>
          <t>170097 Discount Liquor</t>
        </is>
      </c>
      <c r="B665" s="58" t="inlineStr">
        <is>
          <t>Hudson</t>
        </is>
      </c>
      <c r="C665" s="58" t="inlineStr">
        <is>
          <t>Dylan Rubino</t>
        </is>
      </c>
      <c r="D665" s="58" t="inlineStr">
        <is>
          <t>Off-premise</t>
        </is>
      </c>
      <c r="E665" s="53" t="n">
        <v>22</v>
      </c>
      <c r="F665" s="53" t="n">
        <v>29</v>
      </c>
      <c r="G665" s="55" t="n">
        <v>161.98</v>
      </c>
      <c r="H665" s="55" t="n">
        <v>219.88</v>
      </c>
      <c r="I665" s="53" t="n">
        <v>29</v>
      </c>
      <c r="J665" s="53" t="n">
        <v>10</v>
      </c>
      <c r="K665" s="53" t="n">
        <v>22</v>
      </c>
      <c r="L665" s="53" t="n">
        <v>29</v>
      </c>
      <c r="M665" s="33">
        <f>F665-E665</f>
        <v/>
      </c>
      <c r="N665" s="33">
        <f>L665-K665</f>
        <v/>
      </c>
    </row>
    <row r="666">
      <c r="A666" s="58" t="inlineStr">
        <is>
          <t>170107 Central Wine And Liquors</t>
        </is>
      </c>
      <c r="B666" s="58" t="inlineStr">
        <is>
          <t>Hudson</t>
        </is>
      </c>
      <c r="C666" s="58" t="inlineStr">
        <is>
          <t>Dylan Rubino</t>
        </is>
      </c>
      <c r="D666" s="58" t="inlineStr">
        <is>
          <t>Off-premise</t>
        </is>
      </c>
      <c r="E666" s="53" t="n">
        <v>35</v>
      </c>
      <c r="F666" s="53" t="n">
        <v>42</v>
      </c>
      <c r="G666" s="55" t="n">
        <v>220.02</v>
      </c>
      <c r="H666" s="55" t="n">
        <v>281.65</v>
      </c>
      <c r="I666" s="53" t="n">
        <v>10</v>
      </c>
      <c r="J666" s="53" t="n">
        <v>3</v>
      </c>
      <c r="K666" s="53" t="n">
        <v>35</v>
      </c>
      <c r="L666" s="53" t="n">
        <v>42</v>
      </c>
      <c r="M666" s="33">
        <f>F666-E666</f>
        <v/>
      </c>
      <c r="N666" s="33">
        <f>L666-K666</f>
        <v/>
      </c>
    </row>
    <row r="667">
      <c r="A667" s="58" t="inlineStr">
        <is>
          <t>170109 Kraemer's Liquor Store (P)</t>
        </is>
      </c>
      <c r="B667" s="58" t="inlineStr">
        <is>
          <t>Hudson</t>
        </is>
      </c>
      <c r="C667" s="58" t="inlineStr">
        <is>
          <t>Dylan Rubino</t>
        </is>
      </c>
      <c r="D667" s="58" t="inlineStr">
        <is>
          <t>Off-premise</t>
        </is>
      </c>
      <c r="E667" s="53" t="n">
        <v>10</v>
      </c>
      <c r="F667" s="53" t="n">
        <v>17</v>
      </c>
      <c r="G667" s="55" t="n">
        <v>69.2</v>
      </c>
      <c r="H667" s="55" t="n">
        <v>131.12</v>
      </c>
      <c r="I667" s="53" t="n">
        <v>25</v>
      </c>
      <c r="J667" s="53" t="n">
        <v>6</v>
      </c>
      <c r="K667" s="53" t="n">
        <v>10</v>
      </c>
      <c r="L667" s="53" t="n">
        <v>17</v>
      </c>
      <c r="M667" s="33">
        <f>F667-E667</f>
        <v/>
      </c>
      <c r="N667" s="33">
        <f>L667-K667</f>
        <v/>
      </c>
    </row>
    <row r="668">
      <c r="A668" s="58" t="inlineStr">
        <is>
          <t>170160 Home Wines &amp; Liquors (North Bergen)</t>
        </is>
      </c>
      <c r="B668" s="58" t="inlineStr">
        <is>
          <t>Hudson</t>
        </is>
      </c>
      <c r="C668" s="58" t="inlineStr">
        <is>
          <t>Dylan Rubino</t>
        </is>
      </c>
      <c r="D668" s="58" t="inlineStr">
        <is>
          <t>Off-premise</t>
        </is>
      </c>
      <c r="E668" s="53" t="n">
        <v>42</v>
      </c>
      <c r="F668" s="53" t="n">
        <v>49</v>
      </c>
      <c r="G668" s="55" t="n">
        <v>308.78</v>
      </c>
      <c r="H668" s="55" t="n">
        <v>350.73</v>
      </c>
      <c r="I668" s="53" t="n">
        <v>184</v>
      </c>
      <c r="J668" s="53" t="n">
        <v>106</v>
      </c>
      <c r="K668" s="53" t="n">
        <v>42</v>
      </c>
      <c r="L668" s="53" t="n">
        <v>49</v>
      </c>
      <c r="M668" s="33">
        <f>F668-E668</f>
        <v/>
      </c>
      <c r="N668" s="33">
        <f>L668-K668</f>
        <v/>
      </c>
    </row>
    <row r="669">
      <c r="A669" s="58" t="inlineStr">
        <is>
          <t>150231 Village Hall</t>
        </is>
      </c>
      <c r="B669" s="58" t="inlineStr">
        <is>
          <t>Essex</t>
        </is>
      </c>
      <c r="C669" s="58" t="inlineStr">
        <is>
          <t>Hakan Sadik</t>
        </is>
      </c>
      <c r="D669" s="58" t="inlineStr">
        <is>
          <t>On-premise</t>
        </is>
      </c>
      <c r="E669" s="53" t="n">
        <v>0</v>
      </c>
      <c r="F669" s="53" t="n">
        <v>7</v>
      </c>
      <c r="G669" s="55" t="n">
        <v>0</v>
      </c>
      <c r="H669" s="55" t="n">
        <v>42.25</v>
      </c>
      <c r="I669" s="53" t="n">
        <v>21</v>
      </c>
      <c r="J669" s="53" t="n">
        <v>14</v>
      </c>
      <c r="K669" s="53" t="n">
        <v>0</v>
      </c>
      <c r="L669" s="53" t="n">
        <v>7</v>
      </c>
      <c r="M669" s="33">
        <f>F669-E669</f>
        <v/>
      </c>
      <c r="N669" s="33">
        <f>L669-K669</f>
        <v/>
      </c>
    </row>
    <row r="670">
      <c r="A670" s="58" t="inlineStr">
        <is>
          <t>170021 Jersey City Buy Rite (A)</t>
        </is>
      </c>
      <c r="B670" s="58" t="inlineStr">
        <is>
          <t>Hudson</t>
        </is>
      </c>
      <c r="C670" s="58" t="inlineStr">
        <is>
          <t>Jaime Colonna</t>
        </is>
      </c>
      <c r="D670" s="58" t="inlineStr">
        <is>
          <t>Off-premise</t>
        </is>
      </c>
      <c r="E670" s="53" t="n">
        <v>243</v>
      </c>
      <c r="F670" s="53" t="n">
        <v>250</v>
      </c>
      <c r="G670" s="55" t="n">
        <v>1589.23</v>
      </c>
      <c r="H670" s="55" t="n">
        <v>1557.45</v>
      </c>
      <c r="I670" s="53" t="n">
        <v>3871</v>
      </c>
      <c r="J670" s="53" t="n">
        <v>2163</v>
      </c>
      <c r="K670" s="53" t="n">
        <v>243</v>
      </c>
      <c r="L670" s="53" t="n">
        <v>250</v>
      </c>
      <c r="M670" s="33">
        <f>F670-E670</f>
        <v/>
      </c>
      <c r="N670" s="33">
        <f>L670-K670</f>
        <v/>
      </c>
    </row>
    <row r="671">
      <c r="A671" s="58" t="inlineStr">
        <is>
          <t>190027 Wegmans</t>
        </is>
      </c>
      <c r="B671" s="58" t="inlineStr">
        <is>
          <t>Morris</t>
        </is>
      </c>
      <c r="C671" s="58" t="inlineStr">
        <is>
          <t>John O'Donoghue</t>
        </is>
      </c>
      <c r="D671" s="58" t="inlineStr">
        <is>
          <t>Unmatched</t>
        </is>
      </c>
      <c r="E671" s="53" t="n">
        <v>55</v>
      </c>
      <c r="F671" s="53" t="n">
        <v>62</v>
      </c>
      <c r="G671" s="55" t="n">
        <v>391.59</v>
      </c>
      <c r="H671" s="55" t="n">
        <v>433.75</v>
      </c>
      <c r="I671" s="53" t="n">
        <v>750</v>
      </c>
      <c r="J671" s="53" t="n">
        <v>563</v>
      </c>
      <c r="K671" s="53" t="n">
        <v>55</v>
      </c>
      <c r="L671" s="53" t="n">
        <v>62</v>
      </c>
      <c r="M671" s="33">
        <f>F671-E671</f>
        <v/>
      </c>
      <c r="N671" s="33">
        <f>L671-K671</f>
        <v/>
      </c>
    </row>
    <row r="672">
      <c r="A672" s="58" t="inlineStr">
        <is>
          <t>37047 Dp's Pub &amp; Seafood Grill</t>
        </is>
      </c>
      <c r="B672" s="58" t="inlineStr">
        <is>
          <t>Bergen</t>
        </is>
      </c>
      <c r="C672" s="58" t="inlineStr">
        <is>
          <t>Matt Powierski</t>
        </is>
      </c>
      <c r="D672" s="58" t="inlineStr">
        <is>
          <t>On-premise</t>
        </is>
      </c>
      <c r="E672" s="53" t="n">
        <v>0</v>
      </c>
      <c r="F672" s="53" t="n">
        <v>264</v>
      </c>
      <c r="G672" s="55" t="n">
        <v>0</v>
      </c>
      <c r="H672" s="55" t="n">
        <v>2020</v>
      </c>
      <c r="I672" s="53" t="n">
        <v>0</v>
      </c>
      <c r="J672" s="53" t="n">
        <v>11</v>
      </c>
      <c r="K672" s="53" t="n">
        <v>0</v>
      </c>
      <c r="L672" s="53" t="n">
        <v>7</v>
      </c>
      <c r="M672" s="33">
        <f>F672-E672</f>
        <v/>
      </c>
      <c r="N672" s="33">
        <f>L672-K672</f>
        <v/>
      </c>
    </row>
    <row r="673">
      <c r="A673" s="58" t="inlineStr">
        <is>
          <t>37034 Blackjack Mulligans(P) (Garfield)</t>
        </is>
      </c>
      <c r="B673" s="58" t="inlineStr">
        <is>
          <t>Bergen</t>
        </is>
      </c>
      <c r="C673" s="58" t="inlineStr">
        <is>
          <t>Nick Melissari</t>
        </is>
      </c>
      <c r="D673" s="58" t="inlineStr">
        <is>
          <t>On-premise</t>
        </is>
      </c>
      <c r="E673" s="53" t="n">
        <v>397</v>
      </c>
      <c r="F673" s="53" t="n">
        <v>506</v>
      </c>
      <c r="G673" s="55" t="n">
        <v>2867.98</v>
      </c>
      <c r="H673" s="55" t="n">
        <v>3516.440000000001</v>
      </c>
      <c r="I673" s="53" t="n">
        <v>70</v>
      </c>
      <c r="J673" s="53" t="n">
        <v>80</v>
      </c>
      <c r="K673" s="53" t="n">
        <v>20</v>
      </c>
      <c r="L673" s="53" t="n">
        <v>27</v>
      </c>
      <c r="M673" s="33">
        <f>F673-E673</f>
        <v/>
      </c>
      <c r="N673" s="33">
        <f>L673-K673</f>
        <v/>
      </c>
    </row>
    <row r="674">
      <c r="A674" s="58" t="inlineStr">
        <is>
          <t>45019 Twobox Chicken Ridgefield</t>
        </is>
      </c>
      <c r="B674" s="58" t="inlineStr">
        <is>
          <t>Bergen</t>
        </is>
      </c>
      <c r="C674" s="58" t="inlineStr">
        <is>
          <t>Nick Melissari</t>
        </is>
      </c>
      <c r="D674" s="58" t="inlineStr">
        <is>
          <t>Unmatched</t>
        </is>
      </c>
      <c r="E674" s="53" t="n">
        <v>0</v>
      </c>
      <c r="F674" s="53" t="n">
        <v>31</v>
      </c>
      <c r="G674" s="55" t="n">
        <v>0</v>
      </c>
      <c r="H674" s="55" t="n">
        <v>323.85</v>
      </c>
      <c r="I674" s="53" t="n">
        <v>0</v>
      </c>
      <c r="J674" s="53" t="n">
        <v>8</v>
      </c>
      <c r="K674" s="53" t="n">
        <v>0</v>
      </c>
      <c r="L674" s="53" t="n">
        <v>7</v>
      </c>
      <c r="M674" s="33">
        <f>F674-E674</f>
        <v/>
      </c>
      <c r="N674" s="33">
        <f>L674-K674</f>
        <v/>
      </c>
    </row>
    <row r="675">
      <c r="A675" s="58" t="inlineStr">
        <is>
          <t>94004 Hansil's Bar (P)</t>
        </is>
      </c>
      <c r="B675" s="58" t="inlineStr">
        <is>
          <t>Bergen</t>
        </is>
      </c>
      <c r="C675" s="58" t="inlineStr">
        <is>
          <t>Nick Melissari</t>
        </is>
      </c>
      <c r="D675" s="58" t="inlineStr">
        <is>
          <t>On-premise</t>
        </is>
      </c>
      <c r="E675" s="53" t="n">
        <v>76</v>
      </c>
      <c r="F675" s="53" t="n">
        <v>92</v>
      </c>
      <c r="G675" s="55" t="n">
        <v>629.15</v>
      </c>
      <c r="H675" s="55" t="n">
        <v>888.1500000000001</v>
      </c>
      <c r="I675" s="53" t="n">
        <v>10</v>
      </c>
      <c r="J675" s="53" t="n">
        <v>19</v>
      </c>
      <c r="K675" s="53" t="n">
        <v>10</v>
      </c>
      <c r="L675" s="53" t="n">
        <v>17</v>
      </c>
      <c r="M675" s="33">
        <f>F675-E675</f>
        <v/>
      </c>
      <c r="N675" s="33">
        <f>L675-K675</f>
        <v/>
      </c>
    </row>
    <row r="676">
      <c r="A676" s="58" t="inlineStr">
        <is>
          <t>78016 Outback Stk Hse Roch Pk</t>
        </is>
      </c>
      <c r="B676" s="58" t="inlineStr">
        <is>
          <t>Bergen</t>
        </is>
      </c>
      <c r="C676" s="58" t="inlineStr">
        <is>
          <t>Nick Melissari</t>
        </is>
      </c>
      <c r="D676" s="58" t="inlineStr">
        <is>
          <t>On-premise</t>
        </is>
      </c>
      <c r="E676" s="53" t="n">
        <v>35</v>
      </c>
      <c r="F676" s="53" t="n">
        <v>69</v>
      </c>
      <c r="G676" s="55" t="n">
        <v>350.59</v>
      </c>
      <c r="H676" s="55" t="n">
        <v>735.13</v>
      </c>
      <c r="I676" s="53" t="n">
        <v>101</v>
      </c>
      <c r="J676" s="53" t="n">
        <v>89</v>
      </c>
      <c r="K676" s="53" t="n">
        <v>0</v>
      </c>
      <c r="L676" s="53" t="n">
        <v>7</v>
      </c>
      <c r="M676" s="33">
        <f>F676-E676</f>
        <v/>
      </c>
      <c r="N676" s="33">
        <f>L676-K676</f>
        <v/>
      </c>
    </row>
    <row r="677">
      <c r="A677" s="58" t="inlineStr">
        <is>
          <t>39017 Bj's Rest &amp; Brewhouse(A)</t>
        </is>
      </c>
      <c r="B677" s="58" t="inlineStr">
        <is>
          <t>Bergen</t>
        </is>
      </c>
      <c r="C677" s="58" t="inlineStr">
        <is>
          <t>Nick Melissari</t>
        </is>
      </c>
      <c r="D677" s="58" t="inlineStr">
        <is>
          <t>On-premise</t>
        </is>
      </c>
      <c r="E677" s="53" t="n">
        <v>125</v>
      </c>
      <c r="F677" s="53" t="n">
        <v>146</v>
      </c>
      <c r="G677" s="55" t="n">
        <v>1060.77</v>
      </c>
      <c r="H677" s="55" t="n">
        <v>1269.37</v>
      </c>
      <c r="I677" s="53" t="n">
        <v>744</v>
      </c>
      <c r="J677" s="53" t="n">
        <v>750</v>
      </c>
      <c r="K677" s="53" t="n">
        <v>19</v>
      </c>
      <c r="L677" s="53" t="n">
        <v>26</v>
      </c>
      <c r="M677" s="33">
        <f>F677-E677</f>
        <v/>
      </c>
      <c r="N677" s="33">
        <f>L677-K677</f>
        <v/>
      </c>
    </row>
    <row r="678">
      <c r="A678" s="58" t="inlineStr">
        <is>
          <t>21032 Carisma Liq &amp; Groc (P)</t>
        </is>
      </c>
      <c r="B678" s="58" t="inlineStr">
        <is>
          <t>Passaic</t>
        </is>
      </c>
      <c r="C678" s="58" t="inlineStr">
        <is>
          <t>Pablo Lopez</t>
        </is>
      </c>
      <c r="D678" s="58" t="inlineStr">
        <is>
          <t>Off-premise</t>
        </is>
      </c>
      <c r="E678" s="53" t="n">
        <v>1887</v>
      </c>
      <c r="F678" s="53" t="n">
        <v>1899</v>
      </c>
      <c r="G678" s="55" t="n">
        <v>13941.69</v>
      </c>
      <c r="H678" s="55" t="n">
        <v>14715.73</v>
      </c>
      <c r="I678" s="53" t="n">
        <v>165</v>
      </c>
      <c r="J678" s="53" t="n">
        <v>108</v>
      </c>
      <c r="K678" s="53" t="n">
        <v>229</v>
      </c>
      <c r="L678" s="53" t="n">
        <v>236</v>
      </c>
      <c r="M678" s="33">
        <f>F678-E678</f>
        <v/>
      </c>
      <c r="N678" s="33">
        <f>L678-K678</f>
        <v/>
      </c>
    </row>
    <row r="679">
      <c r="A679" s="58" t="inlineStr">
        <is>
          <t>27067 Ukranian (Z) Center</t>
        </is>
      </c>
      <c r="B679" s="58" t="inlineStr">
        <is>
          <t>Passaic</t>
        </is>
      </c>
      <c r="C679" s="58" t="inlineStr">
        <is>
          <t>Pablo Lopez</t>
        </is>
      </c>
      <c r="D679" s="58" t="inlineStr">
        <is>
          <t>On-premise</t>
        </is>
      </c>
      <c r="E679" s="53" t="n">
        <v>14</v>
      </c>
      <c r="F679" s="53" t="n">
        <v>23</v>
      </c>
      <c r="G679" s="55" t="n">
        <v>110.64</v>
      </c>
      <c r="H679" s="55" t="n">
        <v>138.52</v>
      </c>
      <c r="I679" s="53" t="n">
        <v>7</v>
      </c>
      <c r="J679" s="53" t="n">
        <v>43</v>
      </c>
      <c r="K679" s="53" t="n">
        <v>8</v>
      </c>
      <c r="L679" s="53" t="n">
        <v>15</v>
      </c>
      <c r="M679" s="33">
        <f>F679-E679</f>
        <v/>
      </c>
      <c r="N679" s="33">
        <f>L679-K679</f>
        <v/>
      </c>
    </row>
    <row r="680">
      <c r="A680" s="58" t="inlineStr">
        <is>
          <t>41027 Cubby's (P)</t>
        </is>
      </c>
      <c r="B680" s="58" t="inlineStr">
        <is>
          <t>Bergen</t>
        </is>
      </c>
      <c r="C680" s="58" t="inlineStr">
        <is>
          <t>Paul Mclaughlin</t>
        </is>
      </c>
      <c r="D680" s="58" t="inlineStr">
        <is>
          <t>On-premise</t>
        </is>
      </c>
      <c r="E680" s="53" t="n">
        <v>41</v>
      </c>
      <c r="F680" s="53" t="n">
        <v>41</v>
      </c>
      <c r="G680" s="55" t="n">
        <v>378.16</v>
      </c>
      <c r="H680" s="55" t="n">
        <v>279.74</v>
      </c>
      <c r="I680" s="53" t="n">
        <v>14</v>
      </c>
      <c r="J680" s="53" t="n">
        <v>7</v>
      </c>
      <c r="K680" s="53" t="n">
        <v>7</v>
      </c>
      <c r="L680" s="53" t="n">
        <v>14</v>
      </c>
      <c r="M680" s="33">
        <f>F680-E680</f>
        <v/>
      </c>
      <c r="N680" s="33">
        <f>L680-K680</f>
        <v/>
      </c>
    </row>
    <row r="681">
      <c r="A681" s="58" t="inlineStr">
        <is>
          <t>59005 Hackensack Golf (A)</t>
        </is>
      </c>
      <c r="B681" s="58" t="inlineStr">
        <is>
          <t>Bergen</t>
        </is>
      </c>
      <c r="C681" s="58" t="inlineStr">
        <is>
          <t>Paul Mclaughlin</t>
        </is>
      </c>
      <c r="D681" s="58" t="inlineStr">
        <is>
          <t>On-premise</t>
        </is>
      </c>
      <c r="E681" s="53" t="n">
        <v>397</v>
      </c>
      <c r="F681" s="53" t="n">
        <v>381</v>
      </c>
      <c r="G681" s="55" t="n">
        <v>2341.79</v>
      </c>
      <c r="H681" s="55" t="n">
        <v>2484.06</v>
      </c>
      <c r="I681" s="53" t="n">
        <v>56</v>
      </c>
      <c r="J681" s="53" t="n">
        <v>76</v>
      </c>
      <c r="K681" s="53" t="n">
        <v>147</v>
      </c>
      <c r="L681" s="53" t="n">
        <v>154</v>
      </c>
      <c r="M681" s="33">
        <f>F681-E681</f>
        <v/>
      </c>
      <c r="N681" s="33">
        <f>L681-K681</f>
        <v/>
      </c>
    </row>
    <row r="682">
      <c r="A682" s="58" t="inlineStr">
        <is>
          <t>65005 Dimora Ristorante (P)</t>
        </is>
      </c>
      <c r="B682" s="58" t="inlineStr">
        <is>
          <t>Bergen</t>
        </is>
      </c>
      <c r="C682" s="58" t="inlineStr">
        <is>
          <t>Paul Mclaughlin</t>
        </is>
      </c>
      <c r="D682" s="58" t="inlineStr">
        <is>
          <t>On-premise</t>
        </is>
      </c>
      <c r="E682" s="53" t="n">
        <v>72</v>
      </c>
      <c r="F682" s="53" t="n">
        <v>65</v>
      </c>
      <c r="G682" s="55" t="n">
        <v>669.49</v>
      </c>
      <c r="H682" s="55" t="n">
        <v>581.49</v>
      </c>
      <c r="I682" s="53" t="n">
        <v>23</v>
      </c>
      <c r="J682" s="53" t="n">
        <v>19</v>
      </c>
      <c r="K682" s="53" t="n">
        <v>24</v>
      </c>
      <c r="L682" s="53" t="n">
        <v>31</v>
      </c>
      <c r="M682" s="33">
        <f>F682-E682</f>
        <v/>
      </c>
      <c r="N682" s="33">
        <f>L682-K682</f>
        <v/>
      </c>
    </row>
    <row r="683">
      <c r="A683" s="58" t="inlineStr">
        <is>
          <t>9009 Cedar Crest Village(607)</t>
        </is>
      </c>
      <c r="B683" s="58" t="inlineStr">
        <is>
          <t>Morris</t>
        </is>
      </c>
      <c r="C683" s="58" t="inlineStr">
        <is>
          <t>Robin Feldman</t>
        </is>
      </c>
      <c r="D683" s="58" t="inlineStr">
        <is>
          <t>On-premise</t>
        </is>
      </c>
      <c r="E683" s="53" t="n">
        <v>36</v>
      </c>
      <c r="F683" s="53" t="n">
        <v>37</v>
      </c>
      <c r="G683" s="55" t="n">
        <v>289.62</v>
      </c>
      <c r="H683" s="55" t="n">
        <v>282.05</v>
      </c>
      <c r="I683" s="53" t="n">
        <v>26</v>
      </c>
      <c r="J683" s="53" t="n">
        <v>31</v>
      </c>
      <c r="K683" s="53" t="n">
        <v>4</v>
      </c>
      <c r="L683" s="53" t="n">
        <v>11</v>
      </c>
      <c r="M683" s="33">
        <f>F683-E683</f>
        <v/>
      </c>
      <c r="N683" s="33">
        <f>L683-K683</f>
        <v/>
      </c>
    </row>
    <row r="684">
      <c r="A684" s="58" t="inlineStr">
        <is>
          <t>93018 Courtyard Mahwah</t>
        </is>
      </c>
      <c r="B684" s="58" t="inlineStr">
        <is>
          <t>Bergen</t>
        </is>
      </c>
      <c r="C684" s="58" t="inlineStr">
        <is>
          <t>Robin Feldman</t>
        </is>
      </c>
      <c r="D684" s="58" t="inlineStr">
        <is>
          <t>On-premise</t>
        </is>
      </c>
      <c r="E684" s="53" t="n">
        <v>45</v>
      </c>
      <c r="F684" s="53" t="n">
        <v>68</v>
      </c>
      <c r="G684" s="55" t="n">
        <v>457.2400000000001</v>
      </c>
      <c r="H684" s="55" t="n">
        <v>703.83</v>
      </c>
      <c r="I684" s="53" t="n">
        <v>14</v>
      </c>
      <c r="J684" s="53" t="n">
        <v>8</v>
      </c>
      <c r="K684" s="53" t="n">
        <v>19</v>
      </c>
      <c r="L684" s="53" t="n">
        <v>26</v>
      </c>
      <c r="M684" s="33">
        <f>F684-E684</f>
        <v/>
      </c>
      <c r="N684" s="33">
        <f>L684-K684</f>
        <v/>
      </c>
    </row>
    <row r="685">
      <c r="A685" s="58" t="inlineStr">
        <is>
          <t>1030 Elks Post 2236 (P)</t>
        </is>
      </c>
      <c r="B685" s="58" t="inlineStr">
        <is>
          <t>Passaic</t>
        </is>
      </c>
      <c r="C685" s="58" t="inlineStr">
        <is>
          <t>Robin Feldman</t>
        </is>
      </c>
      <c r="D685" s="58" t="inlineStr">
        <is>
          <t>On-premise</t>
        </is>
      </c>
      <c r="E685" s="53" t="n">
        <v>332</v>
      </c>
      <c r="F685" s="53" t="n">
        <v>253</v>
      </c>
      <c r="G685" s="55" t="n">
        <v>1909.44</v>
      </c>
      <c r="H685" s="55" t="n">
        <v>1617.9</v>
      </c>
      <c r="I685" s="53" t="n">
        <v>44</v>
      </c>
      <c r="J685" s="53" t="n">
        <v>47</v>
      </c>
      <c r="K685" s="53" t="n">
        <v>19</v>
      </c>
      <c r="L685" s="53" t="n">
        <v>26</v>
      </c>
      <c r="M685" s="33">
        <f>F685-E685</f>
        <v/>
      </c>
      <c r="N685" s="33">
        <f>L685-K685</f>
        <v/>
      </c>
    </row>
    <row r="686">
      <c r="A686" s="58" t="inlineStr">
        <is>
          <t>12019 In The Crease (P)</t>
        </is>
      </c>
      <c r="B686" s="58" t="inlineStr">
        <is>
          <t>Passaic</t>
        </is>
      </c>
      <c r="C686" s="58" t="inlineStr">
        <is>
          <t>Robin Feldman</t>
        </is>
      </c>
      <c r="D686" s="58" t="inlineStr">
        <is>
          <t>On-premise</t>
        </is>
      </c>
      <c r="E686" s="53" t="n">
        <v>51</v>
      </c>
      <c r="F686" s="53" t="n">
        <v>51</v>
      </c>
      <c r="G686" s="55" t="n">
        <v>208.85</v>
      </c>
      <c r="H686" s="55" t="n">
        <v>306.05</v>
      </c>
      <c r="I686" s="53" t="n">
        <v>6</v>
      </c>
      <c r="J686" s="53" t="n">
        <v>14</v>
      </c>
      <c r="K686" s="53" t="n">
        <v>0</v>
      </c>
      <c r="L686" s="53" t="n">
        <v>7</v>
      </c>
      <c r="M686" s="33">
        <f>F686-E686</f>
        <v/>
      </c>
      <c r="N686" s="33">
        <f>L686-K686</f>
        <v/>
      </c>
    </row>
    <row r="687">
      <c r="A687" s="58" t="inlineStr">
        <is>
          <t>230115 Elks Post 2356</t>
        </is>
      </c>
      <c r="B687" s="58" t="inlineStr">
        <is>
          <t>Sussex</t>
        </is>
      </c>
      <c r="C687" s="58" t="inlineStr">
        <is>
          <t>Robin Feldman</t>
        </is>
      </c>
      <c r="D687" s="58" t="inlineStr">
        <is>
          <t>On-premise</t>
        </is>
      </c>
      <c r="E687" s="53" t="n">
        <v>7</v>
      </c>
      <c r="F687" s="53" t="n">
        <v>14</v>
      </c>
      <c r="G687" s="55" t="n">
        <v>62.81999999999999</v>
      </c>
      <c r="H687" s="55" t="n">
        <v>116.42</v>
      </c>
      <c r="I687" s="53" t="n">
        <v>3</v>
      </c>
      <c r="J687" s="53" t="n">
        <v>3</v>
      </c>
      <c r="K687" s="53" t="n">
        <v>0</v>
      </c>
      <c r="L687" s="53" t="n">
        <v>7</v>
      </c>
      <c r="M687" s="33">
        <f>F687-E687</f>
        <v/>
      </c>
      <c r="N687" s="33">
        <f>L687-K687</f>
        <v/>
      </c>
    </row>
    <row r="688">
      <c r="A688" s="58" t="inlineStr">
        <is>
          <t>42009 Nikki's Bar &amp; Grill</t>
        </is>
      </c>
      <c r="B688" s="58" t="inlineStr">
        <is>
          <t>Bergen</t>
        </is>
      </c>
      <c r="C688" s="58" t="inlineStr">
        <is>
          <t>Robin Feldman</t>
        </is>
      </c>
      <c r="D688" s="58" t="inlineStr">
        <is>
          <t>On-premise</t>
        </is>
      </c>
      <c r="E688" s="53" t="n">
        <v>141</v>
      </c>
      <c r="F688" s="53" t="n">
        <v>142</v>
      </c>
      <c r="G688" s="55" t="n">
        <v>1296.45</v>
      </c>
      <c r="H688" s="55" t="n">
        <v>1244.35</v>
      </c>
      <c r="I688" s="53" t="n">
        <v>23</v>
      </c>
      <c r="J688" s="53" t="n">
        <v>23</v>
      </c>
      <c r="K688" s="53" t="n">
        <v>16</v>
      </c>
      <c r="L688" s="53" t="n">
        <v>23</v>
      </c>
      <c r="M688" s="33">
        <f>F688-E688</f>
        <v/>
      </c>
      <c r="N688" s="33">
        <f>L688-K688</f>
        <v/>
      </c>
    </row>
    <row r="689">
      <c r="A689" s="58" t="inlineStr">
        <is>
          <t>34016 Vfw Hasbrouck (A)</t>
        </is>
      </c>
      <c r="B689" s="58" t="inlineStr">
        <is>
          <t>Bergen</t>
        </is>
      </c>
      <c r="C689" s="58" t="inlineStr">
        <is>
          <t>Robin Feldman</t>
        </is>
      </c>
      <c r="D689" s="58" t="inlineStr">
        <is>
          <t>On-premise</t>
        </is>
      </c>
      <c r="E689" s="53" t="n">
        <v>163</v>
      </c>
      <c r="F689" s="53" t="n">
        <v>115</v>
      </c>
      <c r="G689" s="55" t="n">
        <v>1231.38</v>
      </c>
      <c r="H689" s="55" t="n">
        <v>726.7</v>
      </c>
      <c r="I689" s="53" t="n">
        <v>25</v>
      </c>
      <c r="J689" s="53" t="n">
        <v>16</v>
      </c>
      <c r="K689" s="53" t="n">
        <v>0</v>
      </c>
      <c r="L689" s="53" t="n">
        <v>7</v>
      </c>
      <c r="M689" s="33">
        <f>F689-E689</f>
        <v/>
      </c>
      <c r="N689" s="33">
        <f>L689-K689</f>
        <v/>
      </c>
    </row>
    <row r="690">
      <c r="A690" s="58" t="inlineStr">
        <is>
          <t>250131 Liquor Gallery (Elizabeth)</t>
        </is>
      </c>
      <c r="B690" s="58" t="inlineStr">
        <is>
          <t>Union</t>
        </is>
      </c>
      <c r="C690" s="58" t="inlineStr">
        <is>
          <t>Alex Rodriguez</t>
        </is>
      </c>
      <c r="D690" s="58" t="inlineStr">
        <is>
          <t>Off-premise</t>
        </is>
      </c>
      <c r="E690" s="53" t="n">
        <v>18</v>
      </c>
      <c r="F690" s="53" t="n">
        <v>24</v>
      </c>
      <c r="G690" s="55" t="n">
        <v>143.05</v>
      </c>
      <c r="H690" s="55" t="n">
        <v>186.49</v>
      </c>
      <c r="I690" s="53" t="n">
        <v>169</v>
      </c>
      <c r="J690" s="53" t="n">
        <v>66</v>
      </c>
      <c r="K690" s="53" t="n">
        <v>18</v>
      </c>
      <c r="L690" s="53" t="n">
        <v>24</v>
      </c>
      <c r="M690" s="33">
        <f>F690-E690</f>
        <v/>
      </c>
      <c r="N690" s="33">
        <f>L690-K690</f>
        <v/>
      </c>
    </row>
    <row r="691">
      <c r="A691" s="58" t="inlineStr">
        <is>
          <t>150106 Iron Bound Wines &amp; Spirit</t>
        </is>
      </c>
      <c r="B691" s="58" t="inlineStr">
        <is>
          <t>Essex</t>
        </is>
      </c>
      <c r="C691" s="58" t="inlineStr">
        <is>
          <t>Alisa Acciardi</t>
        </is>
      </c>
      <c r="D691" s="58" t="inlineStr">
        <is>
          <t>Off-premise</t>
        </is>
      </c>
      <c r="E691" s="53" t="n">
        <v>1</v>
      </c>
      <c r="F691" s="53" t="n">
        <v>7</v>
      </c>
      <c r="G691" s="55" t="n">
        <v>12.4</v>
      </c>
      <c r="H691" s="55" t="n">
        <v>68.33</v>
      </c>
      <c r="I691" s="53" t="n">
        <v>49</v>
      </c>
      <c r="J691" s="53" t="n">
        <v>44</v>
      </c>
      <c r="K691" s="53" t="n">
        <v>1</v>
      </c>
      <c r="L691" s="53" t="n">
        <v>7</v>
      </c>
      <c r="M691" s="33">
        <f>F691-E691</f>
        <v/>
      </c>
      <c r="N691" s="33">
        <f>L691-K691</f>
        <v/>
      </c>
    </row>
    <row r="692">
      <c r="A692" s="58" t="inlineStr">
        <is>
          <t>9002 Tavern 5_2</t>
        </is>
      </c>
      <c r="B692" s="58" t="inlineStr">
        <is>
          <t>Morris</t>
        </is>
      </c>
      <c r="C692" s="58" t="inlineStr">
        <is>
          <t>Allison Scott</t>
        </is>
      </c>
      <c r="D692" s="58" t="inlineStr">
        <is>
          <t>On-premise</t>
        </is>
      </c>
      <c r="E692" s="53" t="n">
        <v>88</v>
      </c>
      <c r="F692" s="53" t="n">
        <v>99</v>
      </c>
      <c r="G692" s="55" t="n">
        <v>854.3100000000001</v>
      </c>
      <c r="H692" s="55" t="n">
        <v>941.1899999999999</v>
      </c>
      <c r="I692" s="53" t="n">
        <v>21</v>
      </c>
      <c r="J692" s="53" t="n">
        <v>23</v>
      </c>
      <c r="K692" s="53" t="n">
        <v>5</v>
      </c>
      <c r="L692" s="53" t="n">
        <v>11</v>
      </c>
      <c r="M692" s="33">
        <f>F692-E692</f>
        <v/>
      </c>
      <c r="N692" s="33">
        <f>L692-K692</f>
        <v/>
      </c>
    </row>
    <row r="693">
      <c r="A693" s="58" t="inlineStr">
        <is>
          <t>25083 Rutt's Hut (A)</t>
        </is>
      </c>
      <c r="B693" s="58" t="inlineStr">
        <is>
          <t>Passaic</t>
        </is>
      </c>
      <c r="C693" s="58" t="inlineStr">
        <is>
          <t>Allison Scott</t>
        </is>
      </c>
      <c r="D693" s="58" t="inlineStr">
        <is>
          <t>On-premise</t>
        </is>
      </c>
      <c r="E693" s="53" t="n">
        <v>247</v>
      </c>
      <c r="F693" s="53" t="n">
        <v>294</v>
      </c>
      <c r="G693" s="55" t="n">
        <v>1654.62</v>
      </c>
      <c r="H693" s="55" t="n">
        <v>2139.12</v>
      </c>
      <c r="I693" s="53" t="n">
        <v>284</v>
      </c>
      <c r="J693" s="53" t="n">
        <v>246</v>
      </c>
      <c r="K693" s="53" t="n">
        <v>5</v>
      </c>
      <c r="L693" s="53" t="n">
        <v>11</v>
      </c>
      <c r="M693" s="33">
        <f>F693-E693</f>
        <v/>
      </c>
      <c r="N693" s="33">
        <f>L693-K693</f>
        <v/>
      </c>
    </row>
    <row r="694">
      <c r="A694" s="58" t="inlineStr">
        <is>
          <t>19021 The Front Porch (Z)</t>
        </is>
      </c>
      <c r="B694" s="58" t="inlineStr">
        <is>
          <t>Passaic</t>
        </is>
      </c>
      <c r="C694" s="58" t="inlineStr">
        <is>
          <t>Allison Scott</t>
        </is>
      </c>
      <c r="D694" s="58" t="inlineStr">
        <is>
          <t>On-premise</t>
        </is>
      </c>
      <c r="E694" s="53" t="n">
        <v>40</v>
      </c>
      <c r="F694" s="53" t="n">
        <v>54</v>
      </c>
      <c r="G694" s="55" t="n">
        <v>390.99</v>
      </c>
      <c r="H694" s="55" t="n">
        <v>519.16</v>
      </c>
      <c r="I694" s="53" t="n">
        <v>6</v>
      </c>
      <c r="J694" s="53" t="n">
        <v>20</v>
      </c>
      <c r="K694" s="53" t="n">
        <v>1</v>
      </c>
      <c r="L694" s="53" t="n">
        <v>7</v>
      </c>
      <c r="M694" s="33">
        <f>F694-E694</f>
        <v/>
      </c>
      <c r="N694" s="33">
        <f>L694-K694</f>
        <v/>
      </c>
    </row>
    <row r="695">
      <c r="A695" s="58" t="inlineStr">
        <is>
          <t>5004 Outback</t>
        </is>
      </c>
      <c r="B695" s="58" t="inlineStr">
        <is>
          <t>Morris</t>
        </is>
      </c>
      <c r="C695" s="58" t="inlineStr">
        <is>
          <t>Allison Scott</t>
        </is>
      </c>
      <c r="D695" s="58" t="inlineStr">
        <is>
          <t>On-premise</t>
        </is>
      </c>
      <c r="E695" s="53" t="n">
        <v>35</v>
      </c>
      <c r="F695" s="53" t="n">
        <v>46</v>
      </c>
      <c r="G695" s="55" t="n">
        <v>376.28</v>
      </c>
      <c r="H695" s="55" t="n">
        <v>438.29</v>
      </c>
      <c r="I695" s="53" t="n">
        <v>67</v>
      </c>
      <c r="J695" s="53" t="n">
        <v>49</v>
      </c>
      <c r="K695" s="53" t="n">
        <v>5</v>
      </c>
      <c r="L695" s="53" t="n">
        <v>11</v>
      </c>
      <c r="M695" s="33">
        <f>F695-E695</f>
        <v/>
      </c>
      <c r="N695" s="33">
        <f>L695-K695</f>
        <v/>
      </c>
    </row>
    <row r="696">
      <c r="A696" s="58" t="inlineStr">
        <is>
          <t>191508 Elks Post 782 (Z)</t>
        </is>
      </c>
      <c r="B696" s="58" t="inlineStr">
        <is>
          <t>Morris</t>
        </is>
      </c>
      <c r="C696" s="58" t="inlineStr">
        <is>
          <t>Brian Sengebush</t>
        </is>
      </c>
      <c r="D696" s="58" t="inlineStr">
        <is>
          <t>On-premise</t>
        </is>
      </c>
      <c r="E696" s="53" t="n">
        <v>207</v>
      </c>
      <c r="F696" s="53" t="n">
        <v>233</v>
      </c>
      <c r="G696" s="55" t="n">
        <v>1733.95</v>
      </c>
      <c r="H696" s="55" t="n">
        <v>1783.87</v>
      </c>
      <c r="I696" s="53" t="n">
        <v>2</v>
      </c>
      <c r="J696" s="53" t="n">
        <v>3</v>
      </c>
      <c r="K696" s="53" t="n">
        <v>11</v>
      </c>
      <c r="L696" s="53" t="n">
        <v>17</v>
      </c>
      <c r="M696" s="33">
        <f>F696-E696</f>
        <v/>
      </c>
      <c r="N696" s="33">
        <f>L696-K696</f>
        <v/>
      </c>
    </row>
    <row r="697">
      <c r="A697" s="58" t="inlineStr">
        <is>
          <t>231703 AG Pizza and Restaurant (Branchville)</t>
        </is>
      </c>
      <c r="B697" s="58" t="inlineStr">
        <is>
          <t>Sussex</t>
        </is>
      </c>
      <c r="C697" s="58" t="inlineStr">
        <is>
          <t>Brian Sengebush</t>
        </is>
      </c>
      <c r="D697" s="58" t="inlineStr">
        <is>
          <t>On-premise</t>
        </is>
      </c>
      <c r="E697" s="53" t="n">
        <v>258</v>
      </c>
      <c r="F697" s="53" t="n">
        <v>270</v>
      </c>
      <c r="G697" s="55" t="n">
        <v>1762.78</v>
      </c>
      <c r="H697" s="55" t="n">
        <v>1971.24</v>
      </c>
      <c r="I697" s="53" t="n">
        <v>30</v>
      </c>
      <c r="J697" s="53" t="n">
        <v>61</v>
      </c>
      <c r="K697" s="53" t="n">
        <v>0</v>
      </c>
      <c r="L697" s="53" t="n">
        <v>6</v>
      </c>
      <c r="M697" s="33">
        <f>F697-E697</f>
        <v/>
      </c>
      <c r="N697" s="33">
        <f>L697-K697</f>
        <v/>
      </c>
    </row>
    <row r="698">
      <c r="A698" s="58" t="inlineStr">
        <is>
          <t>54007 Wine Ventures</t>
        </is>
      </c>
      <c r="B698" s="58" t="inlineStr">
        <is>
          <t>Bergen</t>
        </is>
      </c>
      <c r="C698" s="58" t="inlineStr">
        <is>
          <t>Dan Lagala</t>
        </is>
      </c>
      <c r="D698" s="58" t="inlineStr">
        <is>
          <t>Off-premise</t>
        </is>
      </c>
      <c r="E698" s="53" t="n">
        <v>729</v>
      </c>
      <c r="F698" s="53" t="n">
        <v>646</v>
      </c>
      <c r="G698" s="55" t="n">
        <v>5938.56</v>
      </c>
      <c r="H698" s="55" t="n">
        <v>5422.07</v>
      </c>
      <c r="I698" s="53" t="n">
        <v>94</v>
      </c>
      <c r="J698" s="53" t="n">
        <v>106</v>
      </c>
      <c r="K698" s="53" t="n">
        <v>111</v>
      </c>
      <c r="L698" s="53" t="n">
        <v>117</v>
      </c>
      <c r="M698" s="33">
        <f>F698-E698</f>
        <v/>
      </c>
      <c r="N698" s="33">
        <f>L698-K698</f>
        <v/>
      </c>
    </row>
    <row r="699">
      <c r="A699" s="58" t="inlineStr">
        <is>
          <t>49033 Banner Liquor Iii</t>
        </is>
      </c>
      <c r="B699" s="58" t="inlineStr">
        <is>
          <t>Bergen</t>
        </is>
      </c>
      <c r="C699" s="58" t="inlineStr">
        <is>
          <t>Dan Lagala</t>
        </is>
      </c>
      <c r="D699" s="58" t="inlineStr">
        <is>
          <t>Off-premise</t>
        </is>
      </c>
      <c r="E699" s="53" t="n">
        <v>2365</v>
      </c>
      <c r="F699" s="53" t="n">
        <v>2355</v>
      </c>
      <c r="G699" s="55" t="n">
        <v>16886.41</v>
      </c>
      <c r="H699" s="55" t="n">
        <v>17310.26</v>
      </c>
      <c r="I699" s="53" t="n">
        <v>183</v>
      </c>
      <c r="J699" s="53" t="n">
        <v>140</v>
      </c>
      <c r="K699" s="53" t="n">
        <v>277</v>
      </c>
      <c r="L699" s="53" t="n">
        <v>283</v>
      </c>
      <c r="M699" s="33">
        <f>F699-E699</f>
        <v/>
      </c>
      <c r="N699" s="33">
        <f>L699-K699</f>
        <v/>
      </c>
    </row>
    <row r="700">
      <c r="A700" s="58" t="inlineStr">
        <is>
          <t>20028 Integrity Masonic</t>
        </is>
      </c>
      <c r="B700" s="58" t="inlineStr">
        <is>
          <t>Passaic</t>
        </is>
      </c>
      <c r="C700" s="58" t="inlineStr">
        <is>
          <t>Derrick Laws</t>
        </is>
      </c>
      <c r="D700" s="58" t="inlineStr">
        <is>
          <t>On-premise</t>
        </is>
      </c>
      <c r="E700" s="53" t="n">
        <v>68</v>
      </c>
      <c r="F700" s="53" t="n">
        <v>72</v>
      </c>
      <c r="G700" s="55" t="n">
        <v>717.3000000000001</v>
      </c>
      <c r="H700" s="55" t="n">
        <v>763.7</v>
      </c>
      <c r="I700" s="53" t="n">
        <v>8</v>
      </c>
      <c r="J700" s="53" t="n">
        <v>11</v>
      </c>
      <c r="K700" s="53" t="n">
        <v>2</v>
      </c>
      <c r="L700" s="53" t="n">
        <v>8</v>
      </c>
      <c r="M700" s="33">
        <f>F700-E700</f>
        <v/>
      </c>
      <c r="N700" s="33">
        <f>L700-K700</f>
        <v/>
      </c>
    </row>
    <row r="701">
      <c r="A701" s="58" t="inlineStr">
        <is>
          <t>170218 HD Liquors</t>
        </is>
      </c>
      <c r="B701" s="58" t="inlineStr">
        <is>
          <t>Hudson</t>
        </is>
      </c>
      <c r="C701" s="58" t="inlineStr">
        <is>
          <t>Dylan Rubino</t>
        </is>
      </c>
      <c r="D701" s="58" t="inlineStr">
        <is>
          <t>Off-premise</t>
        </is>
      </c>
      <c r="E701" s="53" t="n">
        <v>3</v>
      </c>
      <c r="F701" s="53" t="n">
        <v>9</v>
      </c>
      <c r="G701" s="55" t="n">
        <v>19.98</v>
      </c>
      <c r="H701" s="55" t="n">
        <v>71.53</v>
      </c>
      <c r="I701" s="53" t="n">
        <v>33</v>
      </c>
      <c r="J701" s="53" t="n">
        <v>115</v>
      </c>
      <c r="K701" s="53" t="n">
        <v>3</v>
      </c>
      <c r="L701" s="53" t="n">
        <v>9</v>
      </c>
      <c r="M701" s="33">
        <f>F701-E701</f>
        <v/>
      </c>
      <c r="N701" s="33">
        <f>L701-K701</f>
        <v/>
      </c>
    </row>
    <row r="702">
      <c r="A702" s="58" t="inlineStr">
        <is>
          <t>170909 A2Z Wine Club</t>
        </is>
      </c>
      <c r="B702" s="58" t="inlineStr">
        <is>
          <t>Hudson</t>
        </is>
      </c>
      <c r="C702" s="58" t="inlineStr">
        <is>
          <t>Dylan Rubino</t>
        </is>
      </c>
      <c r="D702" s="58" t="inlineStr">
        <is>
          <t>Off-premise</t>
        </is>
      </c>
      <c r="E702" s="53" t="n">
        <v>34</v>
      </c>
      <c r="F702" s="53" t="n">
        <v>40</v>
      </c>
      <c r="G702" s="55" t="n">
        <v>239.4</v>
      </c>
      <c r="H702" s="55" t="n">
        <v>283.29</v>
      </c>
      <c r="I702" s="53" t="n">
        <v>257</v>
      </c>
      <c r="J702" s="53" t="n">
        <v>198</v>
      </c>
      <c r="K702" s="53" t="n">
        <v>34</v>
      </c>
      <c r="L702" s="53" t="n">
        <v>40</v>
      </c>
      <c r="M702" s="33">
        <f>F702-E702</f>
        <v/>
      </c>
      <c r="N702" s="33">
        <f>L702-K702</f>
        <v/>
      </c>
    </row>
    <row r="703">
      <c r="A703" s="58" t="inlineStr">
        <is>
          <t>171348 Los Laureles Liq (Z)</t>
        </is>
      </c>
      <c r="B703" s="58" t="inlineStr">
        <is>
          <t>Hudson</t>
        </is>
      </c>
      <c r="C703" s="58" t="inlineStr">
        <is>
          <t>Dylan Rubino</t>
        </is>
      </c>
      <c r="D703" s="58" t="inlineStr">
        <is>
          <t>Off-premise</t>
        </is>
      </c>
      <c r="E703" s="53" t="n">
        <v>39</v>
      </c>
      <c r="F703" s="53" t="n">
        <v>45</v>
      </c>
      <c r="G703" s="55" t="n">
        <v>282.21</v>
      </c>
      <c r="H703" s="55" t="n">
        <v>322.11</v>
      </c>
      <c r="I703" s="53" t="n">
        <v>35</v>
      </c>
      <c r="J703" s="53" t="n">
        <v>32</v>
      </c>
      <c r="K703" s="53" t="n">
        <v>39</v>
      </c>
      <c r="L703" s="53" t="n">
        <v>45</v>
      </c>
      <c r="M703" s="33">
        <f>F703-E703</f>
        <v/>
      </c>
      <c r="N703" s="33">
        <f>L703-K703</f>
        <v/>
      </c>
    </row>
    <row r="704">
      <c r="A704" s="58" t="inlineStr">
        <is>
          <t>174102 The Galaxy Drug Store</t>
        </is>
      </c>
      <c r="B704" s="58" t="inlineStr">
        <is>
          <t>Hudson</t>
        </is>
      </c>
      <c r="C704" s="58" t="inlineStr">
        <is>
          <t>Dylan Rubino</t>
        </is>
      </c>
      <c r="D704" s="58" t="inlineStr">
        <is>
          <t>Off-premise</t>
        </is>
      </c>
      <c r="E704" s="53" t="n">
        <v>3</v>
      </c>
      <c r="F704" s="53" t="n">
        <v>9</v>
      </c>
      <c r="G704" s="55" t="n">
        <v>39.48</v>
      </c>
      <c r="H704" s="55" t="n">
        <v>71.55</v>
      </c>
      <c r="I704" s="53" t="n">
        <v>16</v>
      </c>
      <c r="J704" s="53" t="n">
        <v>3</v>
      </c>
      <c r="K704" s="53" t="n">
        <v>3</v>
      </c>
      <c r="L704" s="53" t="n">
        <v>9</v>
      </c>
      <c r="M704" s="33">
        <f>F704-E704</f>
        <v/>
      </c>
      <c r="N704" s="33">
        <f>L704-K704</f>
        <v/>
      </c>
    </row>
    <row r="705">
      <c r="A705" s="58" t="inlineStr">
        <is>
          <t>173058 Ottomanelli's Liquor Store</t>
        </is>
      </c>
      <c r="B705" s="58" t="inlineStr">
        <is>
          <t>Hudson</t>
        </is>
      </c>
      <c r="C705" s="58" t="inlineStr">
        <is>
          <t>Jaime Colonna</t>
        </is>
      </c>
      <c r="D705" s="58" t="inlineStr">
        <is>
          <t>Off-premise</t>
        </is>
      </c>
      <c r="E705" s="53" t="n">
        <v>2</v>
      </c>
      <c r="F705" s="53" t="n">
        <v>8</v>
      </c>
      <c r="G705" s="55" t="n">
        <v>26.32</v>
      </c>
      <c r="H705" s="55" t="n">
        <v>76.98999999999999</v>
      </c>
      <c r="I705" s="53" t="n">
        <v>53</v>
      </c>
      <c r="J705" s="53" t="n">
        <v>55</v>
      </c>
      <c r="K705" s="53" t="n">
        <v>2</v>
      </c>
      <c r="L705" s="53" t="n">
        <v>8</v>
      </c>
      <c r="M705" s="33">
        <f>F705-E705</f>
        <v/>
      </c>
      <c r="N705" s="33">
        <f>L705-K705</f>
        <v/>
      </c>
    </row>
    <row r="706">
      <c r="A706" s="58" t="inlineStr">
        <is>
          <t>24051 La Bonita</t>
        </is>
      </c>
      <c r="B706" s="58" t="inlineStr">
        <is>
          <t>Passaic</t>
        </is>
      </c>
      <c r="C706" s="58" t="inlineStr">
        <is>
          <t>Javier Melo</t>
        </is>
      </c>
      <c r="D706" s="58" t="inlineStr">
        <is>
          <t>Unmatched</t>
        </is>
      </c>
      <c r="E706" s="53" t="n">
        <v>745</v>
      </c>
      <c r="F706" s="53" t="n">
        <v>649</v>
      </c>
      <c r="G706" s="55" t="n">
        <v>6008.790000000001</v>
      </c>
      <c r="H706" s="55" t="n">
        <v>5413.27</v>
      </c>
      <c r="I706" s="53" t="n">
        <v>60</v>
      </c>
      <c r="J706" s="53" t="n">
        <v>29</v>
      </c>
      <c r="K706" s="53" t="n">
        <v>22</v>
      </c>
      <c r="L706" s="53" t="n">
        <v>28</v>
      </c>
      <c r="M706" s="33">
        <f>F706-E706</f>
        <v/>
      </c>
      <c r="N706" s="33">
        <f>L706-K706</f>
        <v/>
      </c>
    </row>
    <row r="707">
      <c r="A707" s="58" t="inlineStr">
        <is>
          <t>190326 Cambridge Wines (191 Morristown)</t>
        </is>
      </c>
      <c r="B707" s="58" t="inlineStr">
        <is>
          <t>Morris</t>
        </is>
      </c>
      <c r="C707" s="58" t="inlineStr">
        <is>
          <t>John O'Donoghue</t>
        </is>
      </c>
      <c r="D707" s="58" t="inlineStr">
        <is>
          <t>Unmatched</t>
        </is>
      </c>
      <c r="E707" s="53" t="n">
        <v>5</v>
      </c>
      <c r="F707" s="53" t="n">
        <v>11</v>
      </c>
      <c r="G707" s="55" t="n">
        <v>44.08</v>
      </c>
      <c r="H707" s="55" t="n">
        <v>77.55</v>
      </c>
      <c r="I707" s="53" t="n">
        <v>39</v>
      </c>
      <c r="J707" s="53" t="n">
        <v>42</v>
      </c>
      <c r="K707" s="53" t="n">
        <v>5</v>
      </c>
      <c r="L707" s="53" t="n">
        <v>11</v>
      </c>
      <c r="M707" s="33">
        <f>F707-E707</f>
        <v/>
      </c>
      <c r="N707" s="33">
        <f>L707-K707</f>
        <v/>
      </c>
    </row>
    <row r="708">
      <c r="A708" s="58" t="inlineStr">
        <is>
          <t>150036 Romany Liquor Shop (A)</t>
        </is>
      </c>
      <c r="B708" s="58" t="inlineStr">
        <is>
          <t>Essex</t>
        </is>
      </c>
      <c r="C708" s="58" t="inlineStr">
        <is>
          <t>Michael Harboy</t>
        </is>
      </c>
      <c r="D708" s="58" t="inlineStr">
        <is>
          <t>Off-premise</t>
        </is>
      </c>
      <c r="E708" s="53" t="n">
        <v>5</v>
      </c>
      <c r="F708" s="53" t="n">
        <v>11</v>
      </c>
      <c r="G708" s="55" t="n">
        <v>43.04</v>
      </c>
      <c r="H708" s="55" t="n">
        <v>93.72</v>
      </c>
      <c r="I708" s="53" t="n">
        <v>164</v>
      </c>
      <c r="J708" s="53" t="n">
        <v>78</v>
      </c>
      <c r="K708" s="53" t="n">
        <v>5</v>
      </c>
      <c r="L708" s="53" t="n">
        <v>11</v>
      </c>
      <c r="M708" s="33">
        <f>F708-E708</f>
        <v/>
      </c>
      <c r="N708" s="33">
        <f>L708-K708</f>
        <v/>
      </c>
    </row>
    <row r="709">
      <c r="A709" s="58" t="inlineStr">
        <is>
          <t>28031 Shawn's Crazy Saloon</t>
        </is>
      </c>
      <c r="B709" s="58" t="inlineStr">
        <is>
          <t>Hudson</t>
        </is>
      </c>
      <c r="C709" s="58" t="inlineStr">
        <is>
          <t>Nick Melissari</t>
        </is>
      </c>
      <c r="D709" s="58" t="inlineStr">
        <is>
          <t>On-premise</t>
        </is>
      </c>
      <c r="E709" s="53" t="n">
        <v>158</v>
      </c>
      <c r="F709" s="53" t="n">
        <v>184</v>
      </c>
      <c r="G709" s="55" t="n">
        <v>1634.97</v>
      </c>
      <c r="H709" s="55" t="n">
        <v>1718.5</v>
      </c>
      <c r="I709" s="53" t="n">
        <v>24</v>
      </c>
      <c r="J709" s="53" t="n">
        <v>11</v>
      </c>
      <c r="K709" s="53" t="n">
        <v>5</v>
      </c>
      <c r="L709" s="53" t="n">
        <v>11</v>
      </c>
      <c r="M709" s="33">
        <f>F709-E709</f>
        <v/>
      </c>
      <c r="N709" s="33">
        <f>L709-K709</f>
        <v/>
      </c>
    </row>
    <row r="710">
      <c r="A710" s="58" t="inlineStr">
        <is>
          <t>85003 Arturo's Restaurnt</t>
        </is>
      </c>
      <c r="B710" s="58" t="inlineStr">
        <is>
          <t>Bergen</t>
        </is>
      </c>
      <c r="C710" s="58" t="inlineStr">
        <is>
          <t>Nick Melissari</t>
        </is>
      </c>
      <c r="D710" s="58" t="inlineStr">
        <is>
          <t>On-premise</t>
        </is>
      </c>
      <c r="E710" s="53" t="n">
        <v>26</v>
      </c>
      <c r="F710" s="53" t="n">
        <v>32</v>
      </c>
      <c r="G710" s="55" t="n">
        <v>300.87</v>
      </c>
      <c r="H710" s="55" t="n">
        <v>335.61</v>
      </c>
      <c r="I710" s="53" t="n">
        <v>4</v>
      </c>
      <c r="J710" s="53" t="n">
        <v>9</v>
      </c>
      <c r="K710" s="53" t="n">
        <v>17</v>
      </c>
      <c r="L710" s="53" t="n">
        <v>23</v>
      </c>
      <c r="M710" s="33">
        <f>F710-E710</f>
        <v/>
      </c>
      <c r="N710" s="33">
        <f>L710-K710</f>
        <v/>
      </c>
    </row>
    <row r="711">
      <c r="A711" s="58" t="inlineStr">
        <is>
          <t>15034 Allen's Liquors</t>
        </is>
      </c>
      <c r="B711" s="58" t="inlineStr">
        <is>
          <t>Passaic</t>
        </is>
      </c>
      <c r="C711" s="58" t="inlineStr">
        <is>
          <t>Pablo Lopez</t>
        </is>
      </c>
      <c r="D711" s="58" t="inlineStr">
        <is>
          <t>Off-premise</t>
        </is>
      </c>
      <c r="E711" s="53" t="n">
        <v>2103</v>
      </c>
      <c r="F711" s="53" t="n">
        <v>1785</v>
      </c>
      <c r="G711" s="55" t="n">
        <v>13788.28</v>
      </c>
      <c r="H711" s="55" t="n">
        <v>12451.8</v>
      </c>
      <c r="I711" s="53" t="n">
        <v>99</v>
      </c>
      <c r="J711" s="53" t="n">
        <v>117</v>
      </c>
      <c r="K711" s="53" t="n">
        <v>148</v>
      </c>
      <c r="L711" s="53" t="n">
        <v>154</v>
      </c>
      <c r="M711" s="33">
        <f>F711-E711</f>
        <v/>
      </c>
      <c r="N711" s="33">
        <f>L711-K711</f>
        <v/>
      </c>
    </row>
    <row r="712">
      <c r="A712" s="58" t="inlineStr">
        <is>
          <t>27066 Sunny's Liqs.(P)</t>
        </is>
      </c>
      <c r="B712" s="58" t="inlineStr">
        <is>
          <t>Passaic</t>
        </is>
      </c>
      <c r="C712" s="58" t="inlineStr">
        <is>
          <t>Pablo Lopez</t>
        </is>
      </c>
      <c r="D712" s="58" t="inlineStr">
        <is>
          <t>Off-premise</t>
        </is>
      </c>
      <c r="E712" s="53" t="n">
        <v>5212</v>
      </c>
      <c r="F712" s="53" t="n">
        <v>4028</v>
      </c>
      <c r="G712" s="55" t="n">
        <v>33199.69</v>
      </c>
      <c r="H712" s="55" t="n">
        <v>26324.15</v>
      </c>
      <c r="I712" s="53" t="n">
        <v>824</v>
      </c>
      <c r="J712" s="53" t="n">
        <v>624</v>
      </c>
      <c r="K712" s="53" t="n">
        <v>633</v>
      </c>
      <c r="L712" s="53" t="n">
        <v>639</v>
      </c>
      <c r="M712" s="33">
        <f>F712-E712</f>
        <v/>
      </c>
      <c r="N712" s="33">
        <f>L712-K712</f>
        <v/>
      </c>
    </row>
    <row r="713">
      <c r="A713" s="58" t="inlineStr">
        <is>
          <t>60012 Grant Street Cafe (A)</t>
        </is>
      </c>
      <c r="B713" s="58" t="inlineStr">
        <is>
          <t>Bergen</t>
        </is>
      </c>
      <c r="C713" s="58" t="inlineStr">
        <is>
          <t>Paul Mclaughlin</t>
        </is>
      </c>
      <c r="D713" s="58" t="inlineStr">
        <is>
          <t>On-premise</t>
        </is>
      </c>
      <c r="E713" s="53" t="n">
        <v>656</v>
      </c>
      <c r="F713" s="53" t="n">
        <v>600</v>
      </c>
      <c r="G713" s="55" t="n">
        <v>4171.54</v>
      </c>
      <c r="H713" s="55" t="n">
        <v>3652.8</v>
      </c>
      <c r="I713" s="53" t="n">
        <v>154</v>
      </c>
      <c r="J713" s="53" t="n">
        <v>151</v>
      </c>
      <c r="K713" s="53" t="n">
        <v>22</v>
      </c>
      <c r="L713" s="53" t="n">
        <v>28</v>
      </c>
      <c r="M713" s="33">
        <f>F713-E713</f>
        <v/>
      </c>
      <c r="N713" s="33">
        <f>L713-K713</f>
        <v/>
      </c>
    </row>
    <row r="714">
      <c r="A714" s="58" t="inlineStr">
        <is>
          <t>70013 Flemings Prime Steakhouse and Wine Bar</t>
        </is>
      </c>
      <c r="B714" s="58" t="inlineStr">
        <is>
          <t>Bergen</t>
        </is>
      </c>
      <c r="C714" s="58" t="inlineStr">
        <is>
          <t>Paul Mclaughlin</t>
        </is>
      </c>
      <c r="D714" s="58" t="inlineStr">
        <is>
          <t>On-premise</t>
        </is>
      </c>
      <c r="E714" s="53" t="n">
        <v>40</v>
      </c>
      <c r="F714" s="53" t="n">
        <v>48</v>
      </c>
      <c r="G714" s="55" t="n">
        <v>405.73</v>
      </c>
      <c r="H714" s="55" t="n">
        <v>482.34</v>
      </c>
      <c r="I714" s="53" t="n">
        <v>11</v>
      </c>
      <c r="J714" s="53" t="n">
        <v>13</v>
      </c>
      <c r="K714" s="53" t="n">
        <v>13</v>
      </c>
      <c r="L714" s="53" t="n">
        <v>19</v>
      </c>
      <c r="M714" s="33">
        <f>F714-E714</f>
        <v/>
      </c>
      <c r="N714" s="33">
        <f>L714-K714</f>
        <v/>
      </c>
    </row>
    <row r="715">
      <c r="A715" s="58" t="inlineStr">
        <is>
          <t>29033 Courtyard Marriott(A)</t>
        </is>
      </c>
      <c r="B715" s="58" t="inlineStr">
        <is>
          <t>Bergen</t>
        </is>
      </c>
      <c r="C715" s="58" t="inlineStr">
        <is>
          <t>Robin Feldman</t>
        </is>
      </c>
      <c r="D715" s="58" t="inlineStr">
        <is>
          <t>On-premise</t>
        </is>
      </c>
      <c r="E715" s="53" t="n">
        <v>0</v>
      </c>
      <c r="F715" s="53" t="n">
        <v>42</v>
      </c>
      <c r="G715" s="55" t="n">
        <v>0</v>
      </c>
      <c r="H715" s="55" t="n">
        <v>422.3</v>
      </c>
      <c r="I715" s="53" t="n">
        <v>0</v>
      </c>
      <c r="J715" s="53" t="n">
        <v>12</v>
      </c>
      <c r="K715" s="53" t="n">
        <v>0</v>
      </c>
      <c r="L715" s="53" t="n">
        <v>6</v>
      </c>
      <c r="M715" s="33">
        <f>F715-E715</f>
        <v/>
      </c>
      <c r="N715" s="33">
        <f>L715-K715</f>
        <v/>
      </c>
    </row>
    <row r="716">
      <c r="A716" s="58" t="inlineStr">
        <is>
          <t>37055 82 OAK BAR &amp; BISTRO</t>
        </is>
      </c>
      <c r="B716" s="58" t="inlineStr">
        <is>
          <t>Bergen</t>
        </is>
      </c>
      <c r="C716" s="58" t="inlineStr">
        <is>
          <t>Robin Feldman</t>
        </is>
      </c>
      <c r="D716" s="58" t="inlineStr">
        <is>
          <t>Unmatched</t>
        </is>
      </c>
      <c r="E716" s="53" t="n">
        <v>65</v>
      </c>
      <c r="F716" s="53" t="n">
        <v>238</v>
      </c>
      <c r="G716" s="55" t="n">
        <v>609.6700000000001</v>
      </c>
      <c r="H716" s="55" t="n">
        <v>2193.73</v>
      </c>
      <c r="I716" s="53" t="n">
        <v>20</v>
      </c>
      <c r="J716" s="53" t="n">
        <v>27</v>
      </c>
      <c r="K716" s="53" t="n">
        <v>10</v>
      </c>
      <c r="L716" s="53" t="n">
        <v>16</v>
      </c>
      <c r="M716" s="33">
        <f>F716-E716</f>
        <v/>
      </c>
      <c r="N716" s="33">
        <f>L716-K716</f>
        <v/>
      </c>
    </row>
    <row r="717">
      <c r="A717" s="58" t="inlineStr">
        <is>
          <t>6003 Cypress</t>
        </is>
      </c>
      <c r="B717" s="58" t="inlineStr">
        <is>
          <t>Morris</t>
        </is>
      </c>
      <c r="C717" s="58" t="inlineStr">
        <is>
          <t>Robin Feldman</t>
        </is>
      </c>
      <c r="D717" s="58" t="inlineStr">
        <is>
          <t>On-premise</t>
        </is>
      </c>
      <c r="E717" s="53" t="n">
        <v>59</v>
      </c>
      <c r="F717" s="53" t="n">
        <v>64</v>
      </c>
      <c r="G717" s="55" t="n">
        <v>465.1300000000001</v>
      </c>
      <c r="H717" s="55" t="n">
        <v>534.5600000000001</v>
      </c>
      <c r="I717" s="53" t="n">
        <v>26</v>
      </c>
      <c r="J717" s="53" t="n">
        <v>23</v>
      </c>
      <c r="K717" s="53" t="n">
        <v>8</v>
      </c>
      <c r="L717" s="53" t="n">
        <v>14</v>
      </c>
      <c r="M717" s="33">
        <f>F717-E717</f>
        <v/>
      </c>
      <c r="N717" s="33">
        <f>L717-K717</f>
        <v/>
      </c>
    </row>
    <row r="718">
      <c r="A718" s="58" t="inlineStr">
        <is>
          <t>73004 Osso Buco</t>
        </is>
      </c>
      <c r="B718" s="58" t="inlineStr">
        <is>
          <t>Bergen</t>
        </is>
      </c>
      <c r="C718" s="58" t="inlineStr">
        <is>
          <t>Robin Feldman</t>
        </is>
      </c>
      <c r="D718" s="58" t="inlineStr">
        <is>
          <t>On-premise</t>
        </is>
      </c>
      <c r="E718" s="53" t="n">
        <v>18</v>
      </c>
      <c r="F718" s="53" t="n">
        <v>29</v>
      </c>
      <c r="G718" s="55" t="n">
        <v>183.88</v>
      </c>
      <c r="H718" s="55" t="n">
        <v>291.56</v>
      </c>
      <c r="I718" s="53" t="n">
        <v>2</v>
      </c>
      <c r="J718" s="53" t="n">
        <v>1</v>
      </c>
      <c r="K718" s="53" t="n">
        <v>7</v>
      </c>
      <c r="L718" s="53" t="n">
        <v>13</v>
      </c>
      <c r="M718" s="33">
        <f>F718-E718</f>
        <v/>
      </c>
      <c r="N718" s="33">
        <f>L718-K718</f>
        <v/>
      </c>
    </row>
    <row r="719">
      <c r="A719" s="58" t="inlineStr">
        <is>
          <t>191219 Berkshire Valley Gc</t>
        </is>
      </c>
      <c r="B719" s="58" t="inlineStr">
        <is>
          <t>Morris</t>
        </is>
      </c>
      <c r="C719" s="58" t="inlineStr">
        <is>
          <t>Robin Feldman</t>
        </is>
      </c>
      <c r="D719" s="58" t="inlineStr">
        <is>
          <t>On-premise</t>
        </is>
      </c>
      <c r="E719" s="53" t="n">
        <v>214</v>
      </c>
      <c r="F719" s="53" t="n">
        <v>190</v>
      </c>
      <c r="G719" s="55" t="n">
        <v>1044.05</v>
      </c>
      <c r="H719" s="55" t="n">
        <v>873.4100000000001</v>
      </c>
      <c r="I719" s="53" t="n">
        <v>33</v>
      </c>
      <c r="J719" s="53" t="n">
        <v>29</v>
      </c>
      <c r="K719" s="53" t="n">
        <v>11</v>
      </c>
      <c r="L719" s="53" t="n">
        <v>17</v>
      </c>
      <c r="M719" s="33">
        <f>F719-E719</f>
        <v/>
      </c>
      <c r="N719" s="33">
        <f>L719-K719</f>
        <v/>
      </c>
    </row>
    <row r="720">
      <c r="A720" s="58" t="inlineStr">
        <is>
          <t>170058 Alex Liquors &amp; Deli</t>
        </is>
      </c>
      <c r="B720" s="58" t="inlineStr">
        <is>
          <t>Hudson</t>
        </is>
      </c>
      <c r="C720" s="58" t="inlineStr">
        <is>
          <t>Alisa Acciardi</t>
        </is>
      </c>
      <c r="D720" s="58" t="inlineStr">
        <is>
          <t>Off-premise</t>
        </is>
      </c>
      <c r="E720" s="53" t="n">
        <v>0</v>
      </c>
      <c r="F720" s="53" t="n">
        <v>5</v>
      </c>
      <c r="G720" s="55" t="n">
        <v>0</v>
      </c>
      <c r="H720" s="55" t="n">
        <v>42.53</v>
      </c>
      <c r="I720" s="53" t="n">
        <v>0</v>
      </c>
      <c r="J720" s="53" t="n">
        <v>40</v>
      </c>
      <c r="K720" s="53" t="n">
        <v>0</v>
      </c>
      <c r="L720" s="53" t="n">
        <v>5</v>
      </c>
      <c r="M720" s="33">
        <f>F720-E720</f>
        <v/>
      </c>
      <c r="N720" s="33">
        <f>L720-K720</f>
        <v/>
      </c>
    </row>
    <row r="721">
      <c r="A721" s="58" t="inlineStr">
        <is>
          <t>170108 J &amp; V Liquors</t>
        </is>
      </c>
      <c r="B721" s="58" t="inlineStr">
        <is>
          <t>Hudson</t>
        </is>
      </c>
      <c r="C721" s="58" t="inlineStr">
        <is>
          <t>Alisa Acciardi</t>
        </is>
      </c>
      <c r="D721" s="58" t="inlineStr">
        <is>
          <t>Off-premise</t>
        </is>
      </c>
      <c r="E721" s="53" t="n">
        <v>0</v>
      </c>
      <c r="F721" s="53" t="n">
        <v>5</v>
      </c>
      <c r="G721" s="55" t="n">
        <v>0</v>
      </c>
      <c r="H721" s="55" t="n">
        <v>42.01</v>
      </c>
      <c r="I721" s="53" t="n">
        <v>18</v>
      </c>
      <c r="J721" s="53" t="n">
        <v>42</v>
      </c>
      <c r="K721" s="53" t="n">
        <v>0</v>
      </c>
      <c r="L721" s="53" t="n">
        <v>5</v>
      </c>
      <c r="M721" s="33">
        <f>F721-E721</f>
        <v/>
      </c>
      <c r="N721" s="33">
        <f>L721-K721</f>
        <v/>
      </c>
    </row>
    <row r="722">
      <c r="A722" s="58" t="inlineStr">
        <is>
          <t>170123 City Line Liquors (P)</t>
        </is>
      </c>
      <c r="B722" s="58" t="inlineStr">
        <is>
          <t>Hudson</t>
        </is>
      </c>
      <c r="C722" s="58" t="inlineStr">
        <is>
          <t>Alisa Acciardi</t>
        </is>
      </c>
      <c r="D722" s="58" t="inlineStr">
        <is>
          <t>Off-premise</t>
        </is>
      </c>
      <c r="E722" s="53" t="n">
        <v>24</v>
      </c>
      <c r="F722" s="53" t="n">
        <v>29</v>
      </c>
      <c r="G722" s="55" t="n">
        <v>161.49</v>
      </c>
      <c r="H722" s="55" t="n">
        <v>212.75</v>
      </c>
      <c r="I722" s="53" t="n">
        <v>65</v>
      </c>
      <c r="J722" s="53" t="n">
        <v>44</v>
      </c>
      <c r="K722" s="53" t="n">
        <v>24</v>
      </c>
      <c r="L722" s="53" t="n">
        <v>29</v>
      </c>
      <c r="M722" s="33">
        <f>F722-E722</f>
        <v/>
      </c>
      <c r="N722" s="33">
        <f>L722-K722</f>
        <v/>
      </c>
    </row>
    <row r="723">
      <c r="A723" s="58" t="inlineStr">
        <is>
          <t>12018 KRIOS Prime</t>
        </is>
      </c>
      <c r="B723" s="58" t="inlineStr">
        <is>
          <t>Passaic</t>
        </is>
      </c>
      <c r="C723" s="58" t="inlineStr">
        <is>
          <t>Allison Scott</t>
        </is>
      </c>
      <c r="D723" s="58" t="inlineStr">
        <is>
          <t>On-premise</t>
        </is>
      </c>
      <c r="E723" s="53" t="n">
        <v>0</v>
      </c>
      <c r="F723" s="53" t="n">
        <v>21</v>
      </c>
      <c r="G723" s="55" t="n">
        <v>0</v>
      </c>
      <c r="H723" s="55" t="n">
        <v>218.28</v>
      </c>
      <c r="I723" s="53" t="n">
        <v>0</v>
      </c>
      <c r="J723" s="53" t="n">
        <v>1</v>
      </c>
      <c r="K723" s="53" t="n">
        <v>0</v>
      </c>
      <c r="L723" s="53" t="n">
        <v>5</v>
      </c>
      <c r="M723" s="33">
        <f>F723-E723</f>
        <v/>
      </c>
      <c r="N723" s="33">
        <f>L723-K723</f>
        <v/>
      </c>
    </row>
    <row r="724">
      <c r="A724" s="58" t="inlineStr">
        <is>
          <t>14010 Uncorked (P)</t>
        </is>
      </c>
      <c r="B724" s="58" t="inlineStr">
        <is>
          <t>Passaic</t>
        </is>
      </c>
      <c r="C724" s="58" t="inlineStr">
        <is>
          <t>Allison Scott</t>
        </is>
      </c>
      <c r="D724" s="58" t="inlineStr">
        <is>
          <t>On-premise</t>
        </is>
      </c>
      <c r="E724" s="53" t="n">
        <v>97</v>
      </c>
      <c r="F724" s="53" t="n">
        <v>122</v>
      </c>
      <c r="G724" s="55" t="n">
        <v>949.39</v>
      </c>
      <c r="H724" s="55" t="n">
        <v>1199.75</v>
      </c>
      <c r="I724" s="53" t="n">
        <v>6</v>
      </c>
      <c r="J724" s="53" t="n">
        <v>19</v>
      </c>
      <c r="K724" s="53" t="n">
        <v>17</v>
      </c>
      <c r="L724" s="53" t="n">
        <v>22</v>
      </c>
      <c r="M724" s="33">
        <f>F724-E724</f>
        <v/>
      </c>
      <c r="N724" s="33">
        <f>L724-K724</f>
        <v/>
      </c>
    </row>
    <row r="725">
      <c r="A725" s="58" t="inlineStr">
        <is>
          <t>9005 The Legacy Castle</t>
        </is>
      </c>
      <c r="B725" s="58" t="inlineStr">
        <is>
          <t>Morris</t>
        </is>
      </c>
      <c r="C725" s="58" t="inlineStr">
        <is>
          <t>Allison Scott</t>
        </is>
      </c>
      <c r="D725" s="58" t="inlineStr">
        <is>
          <t>On-premise</t>
        </is>
      </c>
      <c r="E725" s="53" t="n">
        <v>127</v>
      </c>
      <c r="F725" s="53" t="n">
        <v>98</v>
      </c>
      <c r="G725" s="55" t="n">
        <v>1219.36</v>
      </c>
      <c r="H725" s="55" t="n">
        <v>915.23</v>
      </c>
      <c r="I725" s="53" t="n">
        <v>16</v>
      </c>
      <c r="J725" s="53" t="n">
        <v>10</v>
      </c>
      <c r="K725" s="53" t="n">
        <v>4</v>
      </c>
      <c r="L725" s="53" t="n">
        <v>9</v>
      </c>
      <c r="M725" s="33">
        <f>F725-E725</f>
        <v/>
      </c>
      <c r="N725" s="33">
        <f>L725-K725</f>
        <v/>
      </c>
    </row>
    <row r="726">
      <c r="A726" s="58" t="inlineStr">
        <is>
          <t>250006 Dittrick's W&amp;L (A)</t>
        </is>
      </c>
      <c r="B726" s="58" t="inlineStr">
        <is>
          <t>Union</t>
        </is>
      </c>
      <c r="C726" s="58" t="inlineStr">
        <is>
          <t>Andrew Lundy</t>
        </is>
      </c>
      <c r="D726" s="58" t="inlineStr">
        <is>
          <t>Off-premise</t>
        </is>
      </c>
      <c r="E726" s="53" t="n">
        <v>4</v>
      </c>
      <c r="F726" s="53" t="n">
        <v>9</v>
      </c>
      <c r="G726" s="55" t="n">
        <v>33.61</v>
      </c>
      <c r="H726" s="55" t="n">
        <v>84.03</v>
      </c>
      <c r="I726" s="53" t="n">
        <v>362</v>
      </c>
      <c r="J726" s="53" t="n">
        <v>301</v>
      </c>
      <c r="K726" s="53" t="n">
        <v>4</v>
      </c>
      <c r="L726" s="53" t="n">
        <v>9</v>
      </c>
      <c r="M726" s="33">
        <f>F726-E726</f>
        <v/>
      </c>
      <c r="N726" s="33">
        <f>L726-K726</f>
        <v/>
      </c>
    </row>
    <row r="727">
      <c r="A727" s="58" t="inlineStr">
        <is>
          <t>250015 Butcher Block</t>
        </is>
      </c>
      <c r="B727" s="58" t="inlineStr">
        <is>
          <t>Union</t>
        </is>
      </c>
      <c r="C727" s="58" t="inlineStr">
        <is>
          <t>Andrew Lundy</t>
        </is>
      </c>
      <c r="D727" s="58" t="inlineStr">
        <is>
          <t>Off-premise</t>
        </is>
      </c>
      <c r="E727" s="53" t="n">
        <v>0</v>
      </c>
      <c r="F727" s="53" t="n">
        <v>5</v>
      </c>
      <c r="G727" s="55" t="n">
        <v>0</v>
      </c>
      <c r="H727" s="55" t="n">
        <v>42.01</v>
      </c>
      <c r="I727" s="53" t="n">
        <v>0</v>
      </c>
      <c r="J727" s="53" t="n">
        <v>15</v>
      </c>
      <c r="K727" s="53" t="n">
        <v>0</v>
      </c>
      <c r="L727" s="53" t="n">
        <v>5</v>
      </c>
      <c r="M727" s="33">
        <f>F727-E727</f>
        <v/>
      </c>
      <c r="N727" s="33">
        <f>L727-K727</f>
        <v/>
      </c>
    </row>
    <row r="728">
      <c r="A728" s="58" t="inlineStr">
        <is>
          <t>250066 Fenrose Wine &amp; Liq</t>
        </is>
      </c>
      <c r="B728" s="58" t="inlineStr">
        <is>
          <t>Union</t>
        </is>
      </c>
      <c r="C728" s="58" t="inlineStr">
        <is>
          <t>Andrew Lundy</t>
        </is>
      </c>
      <c r="D728" s="58" t="inlineStr">
        <is>
          <t>Off-premise</t>
        </is>
      </c>
      <c r="E728" s="53" t="n">
        <v>25</v>
      </c>
      <c r="F728" s="53" t="n">
        <v>30</v>
      </c>
      <c r="G728" s="55" t="n">
        <v>180.41</v>
      </c>
      <c r="H728" s="55" t="n">
        <v>207.6</v>
      </c>
      <c r="I728" s="53" t="n">
        <v>341</v>
      </c>
      <c r="J728" s="53" t="n">
        <v>256</v>
      </c>
      <c r="K728" s="53" t="n">
        <v>25</v>
      </c>
      <c r="L728" s="53" t="n">
        <v>30</v>
      </c>
      <c r="M728" s="33">
        <f>F728-E728</f>
        <v/>
      </c>
      <c r="N728" s="33">
        <f>L728-K728</f>
        <v/>
      </c>
    </row>
    <row r="729">
      <c r="A729" s="58" t="inlineStr">
        <is>
          <t>250112 Ever Blue Liquors</t>
        </is>
      </c>
      <c r="B729" s="58" t="inlineStr">
        <is>
          <t>Union</t>
        </is>
      </c>
      <c r="C729" s="58" t="inlineStr">
        <is>
          <t>Andrew Lundy</t>
        </is>
      </c>
      <c r="D729" s="58" t="inlineStr">
        <is>
          <t>Off-premise</t>
        </is>
      </c>
      <c r="E729" s="53" t="n">
        <v>9</v>
      </c>
      <c r="F729" s="53" t="n">
        <v>14</v>
      </c>
      <c r="G729" s="55" t="n">
        <v>71.53</v>
      </c>
      <c r="H729" s="55" t="n">
        <v>107.3</v>
      </c>
      <c r="I729" s="53" t="n">
        <v>62</v>
      </c>
      <c r="J729" s="53" t="n">
        <v>57</v>
      </c>
      <c r="K729" s="53" t="n">
        <v>9</v>
      </c>
      <c r="L729" s="53" t="n">
        <v>14</v>
      </c>
      <c r="M729" s="33">
        <f>F729-E729</f>
        <v/>
      </c>
      <c r="N729" s="33">
        <f>L729-K729</f>
        <v/>
      </c>
    </row>
    <row r="730">
      <c r="A730" s="58" t="inlineStr">
        <is>
          <t>250163 Trader Joes Westfield</t>
        </is>
      </c>
      <c r="B730" s="58" t="inlineStr">
        <is>
          <t>Union</t>
        </is>
      </c>
      <c r="C730" s="58" t="inlineStr">
        <is>
          <t>Andrew Lundy</t>
        </is>
      </c>
      <c r="D730" s="58" t="inlineStr">
        <is>
          <t>Off-premise</t>
        </is>
      </c>
      <c r="E730" s="53" t="n">
        <v>71</v>
      </c>
      <c r="F730" s="53" t="n">
        <v>76</v>
      </c>
      <c r="G730" s="55" t="n">
        <v>498.86</v>
      </c>
      <c r="H730" s="55" t="n">
        <v>570.66</v>
      </c>
      <c r="I730" s="53" t="n">
        <v>104</v>
      </c>
      <c r="J730" s="53" t="n">
        <v>152</v>
      </c>
      <c r="K730" s="53" t="n">
        <v>71</v>
      </c>
      <c r="L730" s="53" t="n">
        <v>76</v>
      </c>
      <c r="M730" s="33">
        <f>F730-E730</f>
        <v/>
      </c>
      <c r="N730" s="33">
        <f>L730-K730</f>
        <v/>
      </c>
    </row>
    <row r="731">
      <c r="A731" s="58" t="inlineStr">
        <is>
          <t>251010 Triangle Liquors</t>
        </is>
      </c>
      <c r="B731" s="58" t="inlineStr">
        <is>
          <t>Union</t>
        </is>
      </c>
      <c r="C731" s="58" t="inlineStr">
        <is>
          <t>Andrew Lundy</t>
        </is>
      </c>
      <c r="D731" s="58" t="inlineStr">
        <is>
          <t>Off-premise</t>
        </is>
      </c>
      <c r="E731" s="53" t="n">
        <v>0</v>
      </c>
      <c r="F731" s="53" t="n">
        <v>5</v>
      </c>
      <c r="G731" s="55" t="n">
        <v>0</v>
      </c>
      <c r="H731" s="55" t="n">
        <v>42.01</v>
      </c>
      <c r="I731" s="53" t="n">
        <v>0</v>
      </c>
      <c r="J731" s="53" t="n">
        <v>17</v>
      </c>
      <c r="K731" s="53" t="n">
        <v>0</v>
      </c>
      <c r="L731" s="53" t="n">
        <v>5</v>
      </c>
      <c r="M731" s="33">
        <f>F731-E731</f>
        <v/>
      </c>
      <c r="N731" s="33">
        <f>L731-K731</f>
        <v/>
      </c>
    </row>
    <row r="732">
      <c r="A732" s="58" t="inlineStr">
        <is>
          <t>1007 The Greenwood Tavern</t>
        </is>
      </c>
      <c r="B732" s="58" t="inlineStr">
        <is>
          <t>Passaic</t>
        </is>
      </c>
      <c r="C732" s="58" t="inlineStr">
        <is>
          <t>Anthony Palmisano</t>
        </is>
      </c>
      <c r="D732" s="58" t="inlineStr">
        <is>
          <t>On-premise</t>
        </is>
      </c>
      <c r="E732" s="53" t="n">
        <v>0</v>
      </c>
      <c r="F732" s="53" t="n">
        <v>54</v>
      </c>
      <c r="G732" s="55" t="n">
        <v>0</v>
      </c>
      <c r="H732" s="55" t="n">
        <v>291.46</v>
      </c>
      <c r="I732" s="53" t="n">
        <v>0</v>
      </c>
      <c r="J732" s="53" t="n">
        <v>40</v>
      </c>
      <c r="K732" s="53" t="n">
        <v>0</v>
      </c>
      <c r="L732" s="53" t="n">
        <v>5</v>
      </c>
      <c r="M732" s="33">
        <f>F732-E732</f>
        <v/>
      </c>
      <c r="N732" s="33">
        <f>L732-K732</f>
        <v/>
      </c>
    </row>
    <row r="733">
      <c r="A733" s="58" t="inlineStr">
        <is>
          <t>1014 Chido Mexican Kitchen</t>
        </is>
      </c>
      <c r="B733" s="58" t="inlineStr">
        <is>
          <t>Passaic</t>
        </is>
      </c>
      <c r="C733" s="58" t="inlineStr">
        <is>
          <t>Anthony Palmisano</t>
        </is>
      </c>
      <c r="D733" s="58" t="inlineStr">
        <is>
          <t>On-premise</t>
        </is>
      </c>
      <c r="E733" s="53" t="n">
        <v>0</v>
      </c>
      <c r="F733" s="53" t="n">
        <v>49</v>
      </c>
      <c r="G733" s="55" t="n">
        <v>0</v>
      </c>
      <c r="H733" s="55" t="n">
        <v>442.1799999999999</v>
      </c>
      <c r="I733" s="53" t="n">
        <v>0</v>
      </c>
      <c r="J733" s="53" t="n">
        <v>13</v>
      </c>
      <c r="K733" s="53" t="n">
        <v>0</v>
      </c>
      <c r="L733" s="53" t="n">
        <v>5</v>
      </c>
      <c r="M733" s="33">
        <f>F733-E733</f>
        <v/>
      </c>
      <c r="N733" s="33">
        <f>L733-K733</f>
        <v/>
      </c>
    </row>
    <row r="734">
      <c r="A734" s="58" t="inlineStr">
        <is>
          <t>191209 Valley Tavern</t>
        </is>
      </c>
      <c r="B734" s="58" t="inlineStr">
        <is>
          <t>Morris</t>
        </is>
      </c>
      <c r="C734" s="58" t="inlineStr">
        <is>
          <t>Anthony Palmisano</t>
        </is>
      </c>
      <c r="D734" s="58" t="inlineStr">
        <is>
          <t>On-premise</t>
        </is>
      </c>
      <c r="E734" s="53" t="n">
        <v>91</v>
      </c>
      <c r="F734" s="53" t="n">
        <v>132</v>
      </c>
      <c r="G734" s="55" t="n">
        <v>521.61</v>
      </c>
      <c r="H734" s="55" t="n">
        <v>811.5900000000001</v>
      </c>
      <c r="I734" s="53" t="n">
        <v>0</v>
      </c>
      <c r="J734" s="53" t="n">
        <v>15</v>
      </c>
      <c r="K734" s="53" t="n">
        <v>25</v>
      </c>
      <c r="L734" s="53" t="n">
        <v>30</v>
      </c>
      <c r="M734" s="33">
        <f>F734-E734</f>
        <v/>
      </c>
      <c r="N734" s="33">
        <f>L734-K734</f>
        <v/>
      </c>
    </row>
    <row r="735">
      <c r="A735" s="58" t="inlineStr">
        <is>
          <t>230407 Fountain House (Z)</t>
        </is>
      </c>
      <c r="B735" s="58" t="inlineStr">
        <is>
          <t>Sussex</t>
        </is>
      </c>
      <c r="C735" s="58" t="inlineStr">
        <is>
          <t>Brian Sengebush</t>
        </is>
      </c>
      <c r="D735" s="58" t="inlineStr">
        <is>
          <t>On-premise</t>
        </is>
      </c>
      <c r="E735" s="53" t="n">
        <v>127</v>
      </c>
      <c r="F735" s="53" t="n">
        <v>232</v>
      </c>
      <c r="G735" s="55" t="n">
        <v>907.1</v>
      </c>
      <c r="H735" s="55" t="n">
        <v>1784.08</v>
      </c>
      <c r="I735" s="53" t="n">
        <v>35</v>
      </c>
      <c r="J735" s="53" t="n">
        <v>30</v>
      </c>
      <c r="K735" s="53" t="n">
        <v>0</v>
      </c>
      <c r="L735" s="53" t="n">
        <v>5</v>
      </c>
      <c r="M735" s="33">
        <f>F735-E735</f>
        <v/>
      </c>
      <c r="N735" s="33">
        <f>L735-K735</f>
        <v/>
      </c>
    </row>
    <row r="736">
      <c r="A736" s="58" t="inlineStr">
        <is>
          <t>78013 J R W &amp; Liq (A)</t>
        </is>
      </c>
      <c r="B736" s="58" t="inlineStr">
        <is>
          <t>Bergen</t>
        </is>
      </c>
      <c r="C736" s="58" t="inlineStr">
        <is>
          <t>Chris Payton</t>
        </is>
      </c>
      <c r="D736" s="58" t="inlineStr">
        <is>
          <t>Off-premise</t>
        </is>
      </c>
      <c r="E736" s="53" t="n">
        <v>1140</v>
      </c>
      <c r="F736" s="53" t="n">
        <v>908</v>
      </c>
      <c r="G736" s="55" t="n">
        <v>8243.18</v>
      </c>
      <c r="H736" s="55" t="n">
        <v>6811.270000000001</v>
      </c>
      <c r="I736" s="53" t="n">
        <v>142</v>
      </c>
      <c r="J736" s="53" t="n">
        <v>165</v>
      </c>
      <c r="K736" s="53" t="n">
        <v>97</v>
      </c>
      <c r="L736" s="53" t="n">
        <v>102</v>
      </c>
      <c r="M736" s="33">
        <f>F736-E736</f>
        <v/>
      </c>
      <c r="N736" s="33">
        <f>L736-K736</f>
        <v/>
      </c>
    </row>
    <row r="737">
      <c r="A737" s="58" t="inlineStr">
        <is>
          <t>39003 Pompei's Little Market</t>
        </is>
      </c>
      <c r="B737" s="58" t="inlineStr">
        <is>
          <t>Bergen</t>
        </is>
      </c>
      <c r="C737" s="58" t="inlineStr">
        <is>
          <t>Chris Payton</t>
        </is>
      </c>
      <c r="D737" s="58" t="inlineStr">
        <is>
          <t>Off-premise</t>
        </is>
      </c>
      <c r="E737" s="53" t="n">
        <v>73</v>
      </c>
      <c r="F737" s="53" t="n">
        <v>80</v>
      </c>
      <c r="G737" s="55" t="n">
        <v>719.0700000000001</v>
      </c>
      <c r="H737" s="55" t="n">
        <v>836.64</v>
      </c>
      <c r="I737" s="53" t="n">
        <v>5</v>
      </c>
      <c r="J737" s="53" t="n">
        <v>4</v>
      </c>
      <c r="K737" s="53" t="n">
        <v>1</v>
      </c>
      <c r="L737" s="53" t="n">
        <v>6</v>
      </c>
      <c r="M737" s="33">
        <f>F737-E737</f>
        <v/>
      </c>
      <c r="N737" s="33">
        <f>L737-K737</f>
        <v/>
      </c>
    </row>
    <row r="738">
      <c r="A738" s="58" t="inlineStr">
        <is>
          <t>46029 Hanam Daeji</t>
        </is>
      </c>
      <c r="B738" s="58" t="inlineStr">
        <is>
          <t>Bergen</t>
        </is>
      </c>
      <c r="C738" s="58" t="inlineStr">
        <is>
          <t>Dan Lagala</t>
        </is>
      </c>
      <c r="D738" s="58" t="inlineStr">
        <is>
          <t>On-premise</t>
        </is>
      </c>
      <c r="E738" s="53" t="n">
        <v>180</v>
      </c>
      <c r="F738" s="53" t="n">
        <v>153</v>
      </c>
      <c r="G738" s="55" t="n">
        <v>1195.94</v>
      </c>
      <c r="H738" s="55" t="n">
        <v>1098.47</v>
      </c>
      <c r="I738" s="53" t="n">
        <v>0</v>
      </c>
      <c r="J738" s="53" t="n">
        <v>0</v>
      </c>
      <c r="K738" s="53" t="n">
        <v>0</v>
      </c>
      <c r="L738" s="53" t="n">
        <v>5</v>
      </c>
      <c r="M738" s="33">
        <f>F738-E738</f>
        <v/>
      </c>
      <c r="N738" s="33">
        <f>L738-K738</f>
        <v/>
      </c>
    </row>
    <row r="739">
      <c r="A739" s="58" t="inlineStr">
        <is>
          <t>20048 Downtown Cafe (P)</t>
        </is>
      </c>
      <c r="B739" s="58" t="inlineStr">
        <is>
          <t>Passaic</t>
        </is>
      </c>
      <c r="C739" s="58" t="inlineStr">
        <is>
          <t>Derrick Laws</t>
        </is>
      </c>
      <c r="D739" s="58" t="inlineStr">
        <is>
          <t>On-premise</t>
        </is>
      </c>
      <c r="E739" s="53" t="n">
        <v>175</v>
      </c>
      <c r="F739" s="53" t="n">
        <v>180</v>
      </c>
      <c r="G739" s="55" t="n">
        <v>1348.1</v>
      </c>
      <c r="H739" s="55" t="n">
        <v>1564</v>
      </c>
      <c r="I739" s="53" t="n">
        <v>7</v>
      </c>
      <c r="J739" s="53" t="n">
        <v>18</v>
      </c>
      <c r="K739" s="53" t="n">
        <v>0</v>
      </c>
      <c r="L739" s="53" t="n">
        <v>5</v>
      </c>
      <c r="M739" s="33">
        <f>F739-E739</f>
        <v/>
      </c>
      <c r="N739" s="33">
        <f>L739-K739</f>
        <v/>
      </c>
    </row>
    <row r="740">
      <c r="A740" s="58" t="inlineStr">
        <is>
          <t>170092 Willies Liq (P)</t>
        </is>
      </c>
      <c r="B740" s="58" t="inlineStr">
        <is>
          <t>Hudson</t>
        </is>
      </c>
      <c r="C740" s="58" t="inlineStr">
        <is>
          <t>Dylan Rubino</t>
        </is>
      </c>
      <c r="D740" s="58" t="inlineStr">
        <is>
          <t>Off-premise</t>
        </is>
      </c>
      <c r="E740" s="53" t="n">
        <v>5</v>
      </c>
      <c r="F740" s="53" t="n">
        <v>10</v>
      </c>
      <c r="G740" s="55" t="n">
        <v>42.01</v>
      </c>
      <c r="H740" s="55" t="n">
        <v>69.67</v>
      </c>
      <c r="I740" s="53" t="n">
        <v>50</v>
      </c>
      <c r="J740" s="53" t="n">
        <v>71</v>
      </c>
      <c r="K740" s="53" t="n">
        <v>5</v>
      </c>
      <c r="L740" s="53" t="n">
        <v>10</v>
      </c>
      <c r="M740" s="33">
        <f>F740-E740</f>
        <v/>
      </c>
      <c r="N740" s="33">
        <f>L740-K740</f>
        <v/>
      </c>
    </row>
    <row r="741">
      <c r="A741" s="58" t="inlineStr">
        <is>
          <t>170144 Hudson Wine Co (P)</t>
        </is>
      </c>
      <c r="B741" s="58" t="inlineStr">
        <is>
          <t>Hudson</t>
        </is>
      </c>
      <c r="C741" s="58" t="inlineStr">
        <is>
          <t>Dylan Rubino</t>
        </is>
      </c>
      <c r="D741" s="58" t="inlineStr">
        <is>
          <t>Off-premise</t>
        </is>
      </c>
      <c r="E741" s="53" t="n">
        <v>34</v>
      </c>
      <c r="F741" s="53" t="n">
        <v>39</v>
      </c>
      <c r="G741" s="55" t="n">
        <v>224.38</v>
      </c>
      <c r="H741" s="55" t="n">
        <v>263.68</v>
      </c>
      <c r="I741" s="53" t="n">
        <v>184</v>
      </c>
      <c r="J741" s="53" t="n">
        <v>46</v>
      </c>
      <c r="K741" s="53" t="n">
        <v>34</v>
      </c>
      <c r="L741" s="53" t="n">
        <v>39</v>
      </c>
      <c r="M741" s="33">
        <f>F741-E741</f>
        <v/>
      </c>
      <c r="N741" s="33">
        <f>L741-K741</f>
        <v/>
      </c>
    </row>
    <row r="742">
      <c r="A742" s="58" t="inlineStr">
        <is>
          <t>150172 Maple Check</t>
        </is>
      </c>
      <c r="B742" s="58" t="inlineStr">
        <is>
          <t>Essex</t>
        </is>
      </c>
      <c r="C742" s="58" t="inlineStr">
        <is>
          <t>Hakan Sadik</t>
        </is>
      </c>
      <c r="D742" s="58" t="inlineStr">
        <is>
          <t>Off-premise</t>
        </is>
      </c>
      <c r="E742" s="53" t="n">
        <v>0</v>
      </c>
      <c r="F742" s="53" t="n">
        <v>5</v>
      </c>
      <c r="G742" s="55" t="n">
        <v>0</v>
      </c>
      <c r="H742" s="55" t="n">
        <v>42.53</v>
      </c>
      <c r="I742" s="53" t="n">
        <v>82</v>
      </c>
      <c r="J742" s="53" t="n">
        <v>79</v>
      </c>
      <c r="K742" s="53" t="n">
        <v>0</v>
      </c>
      <c r="L742" s="53" t="n">
        <v>5</v>
      </c>
      <c r="M742" s="33">
        <f>F742-E742</f>
        <v/>
      </c>
      <c r="N742" s="33">
        <f>L742-K742</f>
        <v/>
      </c>
    </row>
    <row r="743">
      <c r="A743" s="58" t="inlineStr">
        <is>
          <t>150210 Scotland Arms Liquors</t>
        </is>
      </c>
      <c r="B743" s="58" t="inlineStr">
        <is>
          <t>Essex</t>
        </is>
      </c>
      <c r="C743" s="58" t="inlineStr">
        <is>
          <t>Hakan Sadik</t>
        </is>
      </c>
      <c r="D743" s="58" t="inlineStr">
        <is>
          <t>Off-premise</t>
        </is>
      </c>
      <c r="E743" s="53" t="n">
        <v>0</v>
      </c>
      <c r="F743" s="53" t="n">
        <v>5</v>
      </c>
      <c r="G743" s="55" t="n">
        <v>0</v>
      </c>
      <c r="H743" s="55" t="n">
        <v>42.01</v>
      </c>
      <c r="I743" s="53" t="n">
        <v>45</v>
      </c>
      <c r="J743" s="53" t="n">
        <v>126</v>
      </c>
      <c r="K743" s="53" t="n">
        <v>0</v>
      </c>
      <c r="L743" s="53" t="n">
        <v>5</v>
      </c>
      <c r="M743" s="33">
        <f>F743-E743</f>
        <v/>
      </c>
      <c r="N743" s="33">
        <f>L743-K743</f>
        <v/>
      </c>
    </row>
    <row r="744">
      <c r="A744" s="58" t="inlineStr">
        <is>
          <t>150602 Extra Wine &amp; Liquor</t>
        </is>
      </c>
      <c r="B744" s="58" t="inlineStr">
        <is>
          <t>Essex</t>
        </is>
      </c>
      <c r="C744" s="58" t="inlineStr">
        <is>
          <t>Hakan Sadik</t>
        </is>
      </c>
      <c r="D744" s="58" t="inlineStr">
        <is>
          <t>Off-premise</t>
        </is>
      </c>
      <c r="E744" s="53" t="n">
        <v>9</v>
      </c>
      <c r="F744" s="53" t="n">
        <v>14</v>
      </c>
      <c r="G744" s="55" t="n">
        <v>71.53</v>
      </c>
      <c r="H744" s="55" t="n">
        <v>114.83</v>
      </c>
      <c r="I744" s="53" t="n">
        <v>246</v>
      </c>
      <c r="J744" s="53" t="n">
        <v>185</v>
      </c>
      <c r="K744" s="53" t="n">
        <v>9</v>
      </c>
      <c r="L744" s="53" t="n">
        <v>14</v>
      </c>
      <c r="M744" s="33">
        <f>F744-E744</f>
        <v/>
      </c>
      <c r="N744" s="33">
        <f>L744-K744</f>
        <v/>
      </c>
    </row>
    <row r="745">
      <c r="A745" s="58" t="inlineStr">
        <is>
          <t>17029 Wine Dad's - Summit Ave Jersey City</t>
        </is>
      </c>
      <c r="B745" s="58" t="inlineStr">
        <is>
          <t>Hudson</t>
        </is>
      </c>
      <c r="C745" s="58" t="inlineStr">
        <is>
          <t>Jaime Colonna</t>
        </is>
      </c>
      <c r="D745" s="58" t="inlineStr">
        <is>
          <t>Off-premise</t>
        </is>
      </c>
      <c r="E745" s="53" t="n">
        <v>0</v>
      </c>
      <c r="F745" s="53" t="n">
        <v>5</v>
      </c>
      <c r="G745" s="55" t="n">
        <v>0</v>
      </c>
      <c r="H745" s="55" t="n">
        <v>42.79</v>
      </c>
      <c r="I745" s="53" t="n">
        <v>0</v>
      </c>
      <c r="J745" s="53" t="n">
        <v>22</v>
      </c>
      <c r="K745" s="53" t="n">
        <v>0</v>
      </c>
      <c r="L745" s="53" t="n">
        <v>5</v>
      </c>
      <c r="M745" s="33">
        <f>F745-E745</f>
        <v/>
      </c>
      <c r="N745" s="33">
        <f>L745-K745</f>
        <v/>
      </c>
    </row>
    <row r="746">
      <c r="A746" s="58" t="inlineStr">
        <is>
          <t>170468 The Ferryman On 1st</t>
        </is>
      </c>
      <c r="B746" s="58" t="inlineStr">
        <is>
          <t>Hudson</t>
        </is>
      </c>
      <c r="C746" s="58" t="inlineStr">
        <is>
          <t>Jaime Colonna</t>
        </is>
      </c>
      <c r="D746" s="58" t="inlineStr">
        <is>
          <t>On-premise</t>
        </is>
      </c>
      <c r="E746" s="53" t="n">
        <v>5</v>
      </c>
      <c r="F746" s="53" t="n">
        <v>10</v>
      </c>
      <c r="G746" s="55" t="n">
        <v>64</v>
      </c>
      <c r="H746" s="55" t="n">
        <v>149.3</v>
      </c>
      <c r="I746" s="53" t="n">
        <v>33</v>
      </c>
      <c r="J746" s="53" t="n">
        <v>15</v>
      </c>
      <c r="K746" s="53" t="n">
        <v>5</v>
      </c>
      <c r="L746" s="53" t="n">
        <v>10</v>
      </c>
      <c r="M746" s="33">
        <f>F746-E746</f>
        <v/>
      </c>
      <c r="N746" s="33">
        <f>L746-K746</f>
        <v/>
      </c>
    </row>
    <row r="747">
      <c r="A747" s="58" t="inlineStr">
        <is>
          <t>26003 La Casona Cafe Restaurant Bar</t>
        </is>
      </c>
      <c r="B747" s="58" t="inlineStr">
        <is>
          <t>Passaic</t>
        </is>
      </c>
      <c r="C747" s="58" t="inlineStr">
        <is>
          <t>Javier Melo</t>
        </is>
      </c>
      <c r="D747" s="58" t="inlineStr">
        <is>
          <t>On-premise</t>
        </is>
      </c>
      <c r="E747" s="53" t="n">
        <v>133</v>
      </c>
      <c r="F747" s="53" t="n">
        <v>126</v>
      </c>
      <c r="G747" s="55" t="n">
        <v>1253.41</v>
      </c>
      <c r="H747" s="55" t="n">
        <v>1118.05</v>
      </c>
      <c r="I747" s="53" t="n">
        <v>37</v>
      </c>
      <c r="J747" s="53" t="n">
        <v>19</v>
      </c>
      <c r="K747" s="53" t="n">
        <v>0</v>
      </c>
      <c r="L747" s="53" t="n">
        <v>5</v>
      </c>
      <c r="M747" s="33">
        <f>F747-E747</f>
        <v/>
      </c>
      <c r="N747" s="33">
        <f>L747-K747</f>
        <v/>
      </c>
    </row>
    <row r="748">
      <c r="A748" s="58" t="inlineStr">
        <is>
          <t>27111 Davids' Place (P)</t>
        </is>
      </c>
      <c r="B748" s="58" t="inlineStr">
        <is>
          <t>Passaic</t>
        </is>
      </c>
      <c r="C748" s="58" t="inlineStr">
        <is>
          <t>Javier Melo</t>
        </is>
      </c>
      <c r="D748" s="58" t="inlineStr">
        <is>
          <t>On-premise</t>
        </is>
      </c>
      <c r="E748" s="53" t="n">
        <v>452</v>
      </c>
      <c r="F748" s="53" t="n">
        <v>275</v>
      </c>
      <c r="G748" s="55" t="n">
        <v>3286.15</v>
      </c>
      <c r="H748" s="55" t="n">
        <v>2104.52</v>
      </c>
      <c r="I748" s="53" t="n">
        <v>0</v>
      </c>
      <c r="J748" s="53" t="n">
        <v>0</v>
      </c>
      <c r="K748" s="53" t="n">
        <v>0</v>
      </c>
      <c r="L748" s="53" t="n">
        <v>5</v>
      </c>
      <c r="M748" s="33">
        <f>F748-E748</f>
        <v/>
      </c>
      <c r="N748" s="33">
        <f>L748-K748</f>
        <v/>
      </c>
    </row>
    <row r="749">
      <c r="A749" s="58" t="inlineStr">
        <is>
          <t>191302 Liquor Factory I Landing</t>
        </is>
      </c>
      <c r="B749" s="58" t="inlineStr">
        <is>
          <t>Morris</t>
        </is>
      </c>
      <c r="C749" s="58" t="inlineStr">
        <is>
          <t>Jayson Romine</t>
        </is>
      </c>
      <c r="D749" s="58" t="inlineStr">
        <is>
          <t>Off-premise</t>
        </is>
      </c>
      <c r="E749" s="53" t="n">
        <v>2812</v>
      </c>
      <c r="F749" s="53" t="n">
        <v>2450</v>
      </c>
      <c r="G749" s="55" t="n">
        <v>17396.05</v>
      </c>
      <c r="H749" s="55" t="n">
        <v>15316.03</v>
      </c>
      <c r="I749" s="53" t="n">
        <v>1163</v>
      </c>
      <c r="J749" s="53" t="n">
        <v>967</v>
      </c>
      <c r="K749" s="53" t="n">
        <v>456</v>
      </c>
      <c r="L749" s="53" t="n">
        <v>461</v>
      </c>
      <c r="M749" s="33">
        <f>F749-E749</f>
        <v/>
      </c>
      <c r="N749" s="33">
        <f>L749-K749</f>
        <v/>
      </c>
    </row>
    <row r="750">
      <c r="A750" s="58" t="inlineStr">
        <is>
          <t>29013 Lyndhurst Liquors (P)</t>
        </is>
      </c>
      <c r="B750" s="58" t="inlineStr">
        <is>
          <t>Bergen</t>
        </is>
      </c>
      <c r="C750" s="58" t="inlineStr">
        <is>
          <t>Jim Heaney</t>
        </is>
      </c>
      <c r="D750" s="58" t="inlineStr">
        <is>
          <t>Off-premise</t>
        </is>
      </c>
      <c r="E750" s="53" t="n">
        <v>1116</v>
      </c>
      <c r="F750" s="53" t="n">
        <v>990</v>
      </c>
      <c r="G750" s="55" t="n">
        <v>7615.169999999999</v>
      </c>
      <c r="H750" s="55" t="n">
        <v>7222.95</v>
      </c>
      <c r="I750" s="53" t="n">
        <v>144</v>
      </c>
      <c r="J750" s="53" t="n">
        <v>119</v>
      </c>
      <c r="K750" s="53" t="n">
        <v>198</v>
      </c>
      <c r="L750" s="53" t="n">
        <v>203</v>
      </c>
      <c r="M750" s="33">
        <f>F750-E750</f>
        <v/>
      </c>
      <c r="N750" s="33">
        <f>L750-K750</f>
        <v/>
      </c>
    </row>
    <row r="751">
      <c r="A751" s="58" t="inlineStr">
        <is>
          <t>190005 Rose City Liquors</t>
        </is>
      </c>
      <c r="B751" s="58" t="inlineStr">
        <is>
          <t>Morris</t>
        </is>
      </c>
      <c r="C751" s="58" t="inlineStr">
        <is>
          <t>John O'Donoghue</t>
        </is>
      </c>
      <c r="D751" s="58" t="inlineStr">
        <is>
          <t>Unmatched</t>
        </is>
      </c>
      <c r="E751" s="53" t="n">
        <v>0</v>
      </c>
      <c r="F751" s="53" t="n">
        <v>5</v>
      </c>
      <c r="G751" s="55" t="n">
        <v>0</v>
      </c>
      <c r="H751" s="55" t="n">
        <v>43.04</v>
      </c>
      <c r="I751" s="53" t="n">
        <v>11</v>
      </c>
      <c r="J751" s="53" t="n">
        <v>43</v>
      </c>
      <c r="K751" s="53" t="n">
        <v>0</v>
      </c>
      <c r="L751" s="53" t="n">
        <v>5</v>
      </c>
      <c r="M751" s="33">
        <f>F751-E751</f>
        <v/>
      </c>
      <c r="N751" s="33">
        <f>L751-K751</f>
        <v/>
      </c>
    </row>
    <row r="752">
      <c r="A752" s="58" t="inlineStr">
        <is>
          <t>190015 Buyrite Of Chatham</t>
        </is>
      </c>
      <c r="B752" s="58" t="inlineStr">
        <is>
          <t>Morris</t>
        </is>
      </c>
      <c r="C752" s="58" t="inlineStr">
        <is>
          <t>John O'Donoghue</t>
        </is>
      </c>
      <c r="D752" s="58" t="inlineStr">
        <is>
          <t>Unmatched</t>
        </is>
      </c>
      <c r="E752" s="53" t="n">
        <v>25</v>
      </c>
      <c r="F752" s="53" t="n">
        <v>30</v>
      </c>
      <c r="G752" s="55" t="n">
        <v>147.68</v>
      </c>
      <c r="H752" s="55" t="n">
        <v>190.98</v>
      </c>
      <c r="I752" s="53" t="n">
        <v>201</v>
      </c>
      <c r="J752" s="53" t="n">
        <v>170</v>
      </c>
      <c r="K752" s="53" t="n">
        <v>25</v>
      </c>
      <c r="L752" s="53" t="n">
        <v>30</v>
      </c>
      <c r="M752" s="33">
        <f>F752-E752</f>
        <v/>
      </c>
      <c r="N752" s="33">
        <f>L752-K752</f>
        <v/>
      </c>
    </row>
    <row r="753">
      <c r="A753" s="58" t="inlineStr">
        <is>
          <t>190323 Morris Wine &amp; Liquor</t>
        </is>
      </c>
      <c r="B753" s="58" t="inlineStr">
        <is>
          <t>Morris</t>
        </is>
      </c>
      <c r="C753" s="58" t="inlineStr">
        <is>
          <t>John O'Donoghue</t>
        </is>
      </c>
      <c r="D753" s="58" t="inlineStr">
        <is>
          <t>Unmatched</t>
        </is>
      </c>
      <c r="E753" s="53" t="n">
        <v>0</v>
      </c>
      <c r="F753" s="53" t="n">
        <v>5</v>
      </c>
      <c r="G753" s="55" t="n">
        <v>0</v>
      </c>
      <c r="H753" s="55" t="n">
        <v>43.05</v>
      </c>
      <c r="I753" s="53" t="n">
        <v>49</v>
      </c>
      <c r="J753" s="53" t="n">
        <v>18</v>
      </c>
      <c r="K753" s="53" t="n">
        <v>0</v>
      </c>
      <c r="L753" s="53" t="n">
        <v>5</v>
      </c>
      <c r="M753" s="33">
        <f>F753-E753</f>
        <v/>
      </c>
      <c r="N753" s="33">
        <f>L753-K753</f>
        <v/>
      </c>
    </row>
    <row r="754">
      <c r="A754" s="58" t="inlineStr">
        <is>
          <t>190652 Shop Rite W &amp; S Chester</t>
        </is>
      </c>
      <c r="B754" s="58" t="inlineStr">
        <is>
          <t>Morris</t>
        </is>
      </c>
      <c r="C754" s="58" t="inlineStr">
        <is>
          <t>John O'Donoghue</t>
        </is>
      </c>
      <c r="D754" s="58" t="inlineStr">
        <is>
          <t>Unmatched</t>
        </is>
      </c>
      <c r="E754" s="53" t="n">
        <v>15</v>
      </c>
      <c r="F754" s="53" t="n">
        <v>20</v>
      </c>
      <c r="G754" s="55" t="n">
        <v>113.61</v>
      </c>
      <c r="H754" s="55" t="n">
        <v>141.97</v>
      </c>
      <c r="I754" s="53" t="n">
        <v>426</v>
      </c>
      <c r="J754" s="53" t="n">
        <v>454</v>
      </c>
      <c r="K754" s="53" t="n">
        <v>15</v>
      </c>
      <c r="L754" s="53" t="n">
        <v>20</v>
      </c>
      <c r="M754" s="33">
        <f>F754-E754</f>
        <v/>
      </c>
      <c r="N754" s="33">
        <f>L754-K754</f>
        <v/>
      </c>
    </row>
    <row r="755">
      <c r="A755" s="58" t="inlineStr">
        <is>
          <t>192158 Weis Market</t>
        </is>
      </c>
      <c r="B755" s="58" t="inlineStr">
        <is>
          <t>Morris</t>
        </is>
      </c>
      <c r="C755" s="58" t="inlineStr">
        <is>
          <t>John O'Donoghue</t>
        </is>
      </c>
      <c r="D755" s="58" t="inlineStr">
        <is>
          <t>Unmatched</t>
        </is>
      </c>
      <c r="E755" s="53" t="n">
        <v>15</v>
      </c>
      <c r="F755" s="53" t="n">
        <v>20</v>
      </c>
      <c r="G755" s="55" t="n">
        <v>129.9</v>
      </c>
      <c r="H755" s="55" t="n">
        <v>172.94</v>
      </c>
      <c r="I755" s="53" t="n">
        <v>287</v>
      </c>
      <c r="J755" s="53" t="n">
        <v>253</v>
      </c>
      <c r="K755" s="53" t="n">
        <v>15</v>
      </c>
      <c r="L755" s="53" t="n">
        <v>20</v>
      </c>
      <c r="M755" s="33">
        <f>F755-E755</f>
        <v/>
      </c>
      <c r="N755" s="33">
        <f>L755-K755</f>
        <v/>
      </c>
    </row>
    <row r="756">
      <c r="A756" s="58" t="inlineStr">
        <is>
          <t>150042 St Cloud Liquors</t>
        </is>
      </c>
      <c r="B756" s="58" t="inlineStr">
        <is>
          <t>Essex</t>
        </is>
      </c>
      <c r="C756" s="58" t="inlineStr">
        <is>
          <t>Michael Harboy</t>
        </is>
      </c>
      <c r="D756" s="58" t="inlineStr">
        <is>
          <t>Off-premise</t>
        </is>
      </c>
      <c r="E756" s="53" t="n">
        <v>0</v>
      </c>
      <c r="F756" s="53" t="n">
        <v>5</v>
      </c>
      <c r="G756" s="55" t="n">
        <v>0</v>
      </c>
      <c r="H756" s="55" t="n">
        <v>42.01</v>
      </c>
      <c r="I756" s="53" t="n">
        <v>68</v>
      </c>
      <c r="J756" s="53" t="n">
        <v>59</v>
      </c>
      <c r="K756" s="53" t="n">
        <v>0</v>
      </c>
      <c r="L756" s="53" t="n">
        <v>5</v>
      </c>
      <c r="M756" s="33">
        <f>F756-E756</f>
        <v/>
      </c>
      <c r="N756" s="33">
        <f>L756-K756</f>
        <v/>
      </c>
    </row>
    <row r="757">
      <c r="A757" s="58" t="inlineStr">
        <is>
          <t>150628 Don's Wine &amp; Liq(P)</t>
        </is>
      </c>
      <c r="B757" s="58" t="inlineStr">
        <is>
          <t>Essex</t>
        </is>
      </c>
      <c r="C757" s="58" t="inlineStr">
        <is>
          <t>Michael Harboy</t>
        </is>
      </c>
      <c r="D757" s="58" t="inlineStr">
        <is>
          <t>Off-premise</t>
        </is>
      </c>
      <c r="E757" s="53" t="n">
        <v>0</v>
      </c>
      <c r="F757" s="53" t="n">
        <v>5</v>
      </c>
      <c r="G757" s="55" t="n">
        <v>0</v>
      </c>
      <c r="H757" s="55" t="n">
        <v>43.04</v>
      </c>
      <c r="I757" s="53" t="n">
        <v>105</v>
      </c>
      <c r="J757" s="53" t="n">
        <v>92</v>
      </c>
      <c r="K757" s="53" t="n">
        <v>0</v>
      </c>
      <c r="L757" s="53" t="n">
        <v>5</v>
      </c>
      <c r="M757" s="33">
        <f>F757-E757</f>
        <v/>
      </c>
      <c r="N757" s="33">
        <f>L757-K757</f>
        <v/>
      </c>
    </row>
    <row r="758">
      <c r="A758" s="58" t="inlineStr">
        <is>
          <t>38002 Satin Dolls (A)</t>
        </is>
      </c>
      <c r="B758" s="58" t="inlineStr">
        <is>
          <t>Bergen</t>
        </is>
      </c>
      <c r="C758" s="58" t="inlineStr">
        <is>
          <t>Nick Melissari</t>
        </is>
      </c>
      <c r="D758" s="58" t="inlineStr">
        <is>
          <t>On-premise</t>
        </is>
      </c>
      <c r="E758" s="53" t="n">
        <v>668</v>
      </c>
      <c r="F758" s="53" t="n">
        <v>522</v>
      </c>
      <c r="G758" s="55" t="n">
        <v>4701.11</v>
      </c>
      <c r="H758" s="55" t="n">
        <v>3705.440000000001</v>
      </c>
      <c r="I758" s="53" t="n">
        <v>7</v>
      </c>
      <c r="J758" s="53" t="n">
        <v>1</v>
      </c>
      <c r="K758" s="53" t="n">
        <v>15</v>
      </c>
      <c r="L758" s="53" t="n">
        <v>20</v>
      </c>
      <c r="M758" s="33">
        <f>F758-E758</f>
        <v/>
      </c>
      <c r="N758" s="33">
        <f>L758-K758</f>
        <v/>
      </c>
    </row>
    <row r="759">
      <c r="A759" s="58" t="inlineStr">
        <is>
          <t>79001 Victor's Maywood Inn</t>
        </is>
      </c>
      <c r="B759" s="58" t="inlineStr">
        <is>
          <t>Bergen</t>
        </is>
      </c>
      <c r="C759" s="58" t="inlineStr">
        <is>
          <t>Nick Melissari</t>
        </is>
      </c>
      <c r="D759" s="58" t="inlineStr">
        <is>
          <t>On-premise</t>
        </is>
      </c>
      <c r="E759" s="53" t="n">
        <v>394</v>
      </c>
      <c r="F759" s="53" t="n">
        <v>315</v>
      </c>
      <c r="G759" s="55" t="n">
        <v>2669.7</v>
      </c>
      <c r="H759" s="55" t="n">
        <v>1861.3</v>
      </c>
      <c r="I759" s="53" t="n">
        <v>53</v>
      </c>
      <c r="J759" s="53" t="n">
        <v>98</v>
      </c>
      <c r="K759" s="53" t="n">
        <v>0</v>
      </c>
      <c r="L759" s="53" t="n">
        <v>5</v>
      </c>
      <c r="M759" s="33">
        <f>F759-E759</f>
        <v/>
      </c>
      <c r="N759" s="33">
        <f>L759-K759</f>
        <v/>
      </c>
    </row>
    <row r="760">
      <c r="A760" s="58" t="inlineStr">
        <is>
          <t>46007 Kumade</t>
        </is>
      </c>
      <c r="B760" s="58" t="inlineStr">
        <is>
          <t>Bergen</t>
        </is>
      </c>
      <c r="C760" s="58" t="inlineStr">
        <is>
          <t>Nick Melissari</t>
        </is>
      </c>
      <c r="D760" s="58" t="inlineStr">
        <is>
          <t>On-premise</t>
        </is>
      </c>
      <c r="E760" s="53" t="n">
        <v>10</v>
      </c>
      <c r="F760" s="53" t="n">
        <v>20</v>
      </c>
      <c r="G760" s="55" t="n">
        <v>87.25</v>
      </c>
      <c r="H760" s="55" t="n">
        <v>186.89</v>
      </c>
      <c r="I760" s="53" t="n">
        <v>0</v>
      </c>
      <c r="J760" s="53" t="n">
        <v>0</v>
      </c>
      <c r="K760" s="53" t="n">
        <v>5</v>
      </c>
      <c r="L760" s="53" t="n">
        <v>10</v>
      </c>
      <c r="M760" s="33">
        <f>F760-E760</f>
        <v/>
      </c>
      <c r="N760" s="33">
        <f>L760-K760</f>
        <v/>
      </c>
    </row>
    <row r="761">
      <c r="A761" s="58" t="inlineStr">
        <is>
          <t>22013 Hi-Beams (P)</t>
        </is>
      </c>
      <c r="B761" s="58" t="inlineStr">
        <is>
          <t>Passaic</t>
        </is>
      </c>
      <c r="C761" s="58" t="inlineStr">
        <is>
          <t>Pablo Lopez</t>
        </is>
      </c>
      <c r="D761" s="58" t="inlineStr">
        <is>
          <t>On-premise</t>
        </is>
      </c>
      <c r="E761" s="53" t="n">
        <v>229</v>
      </c>
      <c r="F761" s="53" t="n">
        <v>228</v>
      </c>
      <c r="G761" s="55" t="n">
        <v>2286.38</v>
      </c>
      <c r="H761" s="55" t="n">
        <v>2281.43</v>
      </c>
      <c r="I761" s="53" t="n">
        <v>33</v>
      </c>
      <c r="J761" s="53" t="n">
        <v>25</v>
      </c>
      <c r="K761" s="53" t="n">
        <v>1</v>
      </c>
      <c r="L761" s="53" t="n">
        <v>6</v>
      </c>
      <c r="M761" s="33">
        <f>F761-E761</f>
        <v/>
      </c>
      <c r="N761" s="33">
        <f>L761-K761</f>
        <v/>
      </c>
    </row>
    <row r="762">
      <c r="A762" s="58" t="inlineStr">
        <is>
          <t>24063 Noches De Colombia (Clifton)</t>
        </is>
      </c>
      <c r="B762" s="58" t="inlineStr">
        <is>
          <t>Passaic</t>
        </is>
      </c>
      <c r="C762" s="58" t="inlineStr">
        <is>
          <t>Pablo Lopez</t>
        </is>
      </c>
      <c r="D762" s="58" t="inlineStr">
        <is>
          <t>On-premise</t>
        </is>
      </c>
      <c r="E762" s="53" t="n">
        <v>170</v>
      </c>
      <c r="F762" s="53" t="n">
        <v>195</v>
      </c>
      <c r="G762" s="55" t="n">
        <v>1713.32</v>
      </c>
      <c r="H762" s="55" t="n">
        <v>1881.77</v>
      </c>
      <c r="I762" s="53" t="n">
        <v>46</v>
      </c>
      <c r="J762" s="53" t="n">
        <v>87</v>
      </c>
      <c r="K762" s="53" t="n">
        <v>4</v>
      </c>
      <c r="L762" s="53" t="n">
        <v>9</v>
      </c>
      <c r="M762" s="33">
        <f>F762-E762</f>
        <v/>
      </c>
      <c r="N762" s="33">
        <f>L762-K762</f>
        <v/>
      </c>
    </row>
    <row r="763">
      <c r="A763" s="58" t="inlineStr">
        <is>
          <t>20100 Serie 92 Bar &amp; Liquor</t>
        </is>
      </c>
      <c r="B763" s="58" t="inlineStr">
        <is>
          <t>Passaic</t>
        </is>
      </c>
      <c r="C763" s="58" t="inlineStr">
        <is>
          <t>Pablo Lopez</t>
        </is>
      </c>
      <c r="D763" s="58" t="inlineStr">
        <is>
          <t>Unmatched</t>
        </is>
      </c>
      <c r="E763" s="53" t="n">
        <v>349</v>
      </c>
      <c r="F763" s="53" t="n">
        <v>360</v>
      </c>
      <c r="G763" s="55" t="n">
        <v>3053.48</v>
      </c>
      <c r="H763" s="55" t="n">
        <v>2713.69</v>
      </c>
      <c r="I763" s="53" t="n">
        <v>0</v>
      </c>
      <c r="J763" s="53" t="n">
        <v>0</v>
      </c>
      <c r="K763" s="53" t="n">
        <v>5</v>
      </c>
      <c r="L763" s="53" t="n">
        <v>10</v>
      </c>
      <c r="M763" s="33">
        <f>F763-E763</f>
        <v/>
      </c>
      <c r="N763" s="33">
        <f>L763-K763</f>
        <v/>
      </c>
    </row>
    <row r="764">
      <c r="A764" s="58" t="inlineStr">
        <is>
          <t>20032 Riverside Liquors (Paterson)</t>
        </is>
      </c>
      <c r="B764" s="58" t="inlineStr">
        <is>
          <t>Passaic</t>
        </is>
      </c>
      <c r="C764" s="58" t="inlineStr">
        <is>
          <t>Pablo Lopez</t>
        </is>
      </c>
      <c r="D764" s="58" t="inlineStr">
        <is>
          <t>Unmatched</t>
        </is>
      </c>
      <c r="E764" s="53" t="n">
        <v>809</v>
      </c>
      <c r="F764" s="53" t="n">
        <v>744</v>
      </c>
      <c r="G764" s="55" t="n">
        <v>6597.8</v>
      </c>
      <c r="H764" s="55" t="n">
        <v>6518.09</v>
      </c>
      <c r="I764" s="53" t="n">
        <v>5</v>
      </c>
      <c r="J764" s="53" t="n">
        <v>5</v>
      </c>
      <c r="K764" s="53" t="n">
        <v>30</v>
      </c>
      <c r="L764" s="53" t="n">
        <v>35</v>
      </c>
      <c r="M764" s="33">
        <f>F764-E764</f>
        <v/>
      </c>
      <c r="N764" s="33">
        <f>L764-K764</f>
        <v/>
      </c>
    </row>
    <row r="765">
      <c r="A765" s="58" t="inlineStr">
        <is>
          <t>41006 Straphanger Saloon (A)</t>
        </is>
      </c>
      <c r="B765" s="58" t="inlineStr">
        <is>
          <t>Bergen</t>
        </is>
      </c>
      <c r="C765" s="58" t="inlineStr">
        <is>
          <t>Paul Mclaughlin</t>
        </is>
      </c>
      <c r="D765" s="58" t="inlineStr">
        <is>
          <t>On-premise</t>
        </is>
      </c>
      <c r="E765" s="53" t="n">
        <v>709</v>
      </c>
      <c r="F765" s="53" t="n">
        <v>671</v>
      </c>
      <c r="G765" s="55" t="n">
        <v>5383.99</v>
      </c>
      <c r="H765" s="55" t="n">
        <v>5049.129999999999</v>
      </c>
      <c r="I765" s="53" t="n">
        <v>132</v>
      </c>
      <c r="J765" s="53" t="n">
        <v>157</v>
      </c>
      <c r="K765" s="53" t="n">
        <v>15</v>
      </c>
      <c r="L765" s="53" t="n">
        <v>20</v>
      </c>
      <c r="M765" s="33">
        <f>F765-E765</f>
        <v/>
      </c>
      <c r="N765" s="33">
        <f>L765-K765</f>
        <v/>
      </c>
    </row>
    <row r="766">
      <c r="A766" s="58" t="inlineStr">
        <is>
          <t>61004 Andiamo</t>
        </is>
      </c>
      <c r="B766" s="58" t="inlineStr">
        <is>
          <t>Bergen</t>
        </is>
      </c>
      <c r="C766" s="58" t="inlineStr">
        <is>
          <t>Paul Mclaughlin</t>
        </is>
      </c>
      <c r="D766" s="58" t="inlineStr">
        <is>
          <t>On-premise</t>
        </is>
      </c>
      <c r="E766" s="53" t="n">
        <v>102</v>
      </c>
      <c r="F766" s="53" t="n">
        <v>90</v>
      </c>
      <c r="G766" s="55" t="n">
        <v>991.21</v>
      </c>
      <c r="H766" s="55" t="n">
        <v>908.0100000000001</v>
      </c>
      <c r="I766" s="53" t="n">
        <v>47</v>
      </c>
      <c r="J766" s="53" t="n">
        <v>53</v>
      </c>
      <c r="K766" s="53" t="n">
        <v>46</v>
      </c>
      <c r="L766" s="53" t="n">
        <v>51</v>
      </c>
      <c r="M766" s="33">
        <f>F766-E766</f>
        <v/>
      </c>
      <c r="N766" s="33">
        <f>L766-K766</f>
        <v/>
      </c>
    </row>
    <row r="767">
      <c r="A767" s="58" t="inlineStr">
        <is>
          <t>70005 Montvale Bowl (A)</t>
        </is>
      </c>
      <c r="B767" s="58" t="inlineStr">
        <is>
          <t>Bergen</t>
        </is>
      </c>
      <c r="C767" s="58" t="inlineStr">
        <is>
          <t>Paul Mclaughlin</t>
        </is>
      </c>
      <c r="D767" s="58" t="inlineStr">
        <is>
          <t>On-premise</t>
        </is>
      </c>
      <c r="E767" s="53" t="n">
        <v>180</v>
      </c>
      <c r="F767" s="53" t="n">
        <v>174</v>
      </c>
      <c r="G767" s="55" t="n">
        <v>1334.32</v>
      </c>
      <c r="H767" s="55" t="n">
        <v>1314.9</v>
      </c>
      <c r="I767" s="53" t="n">
        <v>27</v>
      </c>
      <c r="J767" s="53" t="n">
        <v>39</v>
      </c>
      <c r="K767" s="53" t="n">
        <v>5</v>
      </c>
      <c r="L767" s="53" t="n">
        <v>10</v>
      </c>
      <c r="M767" s="33">
        <f>F767-E767</f>
        <v/>
      </c>
      <c r="N767" s="33">
        <f>L767-K767</f>
        <v/>
      </c>
    </row>
    <row r="768">
      <c r="A768" s="58" t="inlineStr">
        <is>
          <t>57015 Elks Post 2290 (Z)</t>
        </is>
      </c>
      <c r="B768" s="58" t="inlineStr">
        <is>
          <t>Bergen</t>
        </is>
      </c>
      <c r="C768" s="58" t="inlineStr">
        <is>
          <t>Robin Feldman</t>
        </is>
      </c>
      <c r="D768" s="58" t="inlineStr">
        <is>
          <t>On-premise</t>
        </is>
      </c>
      <c r="E768" s="53" t="n">
        <v>79</v>
      </c>
      <c r="F768" s="53" t="n">
        <v>122</v>
      </c>
      <c r="G768" s="55" t="n">
        <v>679.1999999999999</v>
      </c>
      <c r="H768" s="55" t="n">
        <v>1002.42</v>
      </c>
      <c r="I768" s="53" t="n">
        <v>22</v>
      </c>
      <c r="J768" s="53" t="n">
        <v>33</v>
      </c>
      <c r="K768" s="53" t="n">
        <v>10</v>
      </c>
      <c r="L768" s="53" t="n">
        <v>15</v>
      </c>
      <c r="M768" s="33">
        <f>F768-E768</f>
        <v/>
      </c>
      <c r="N768" s="33">
        <f>L768-K768</f>
        <v/>
      </c>
    </row>
    <row r="769">
      <c r="A769" s="58" t="inlineStr">
        <is>
          <t>56022 Elks Post 1477</t>
        </is>
      </c>
      <c r="B769" s="58" t="inlineStr">
        <is>
          <t>Bergen</t>
        </is>
      </c>
      <c r="C769" s="58" t="inlineStr">
        <is>
          <t>Robin Feldman</t>
        </is>
      </c>
      <c r="D769" s="58" t="inlineStr">
        <is>
          <t>On-premise</t>
        </is>
      </c>
      <c r="E769" s="53" t="n">
        <v>163</v>
      </c>
      <c r="F769" s="53" t="n">
        <v>224</v>
      </c>
      <c r="G769" s="55" t="n">
        <v>1223.62</v>
      </c>
      <c r="H769" s="55" t="n">
        <v>1792.13</v>
      </c>
      <c r="I769" s="53" t="n">
        <v>47</v>
      </c>
      <c r="J769" s="53" t="n">
        <v>31</v>
      </c>
      <c r="K769" s="53" t="n">
        <v>3</v>
      </c>
      <c r="L769" s="53" t="n">
        <v>8</v>
      </c>
      <c r="M769" s="33">
        <f>F769-E769</f>
        <v/>
      </c>
      <c r="N769" s="33">
        <f>L769-K769</f>
        <v/>
      </c>
    </row>
    <row r="770">
      <c r="A770" s="58" t="inlineStr">
        <is>
          <t>250068 Jakob Liquors</t>
        </is>
      </c>
      <c r="B770" s="58" t="inlineStr">
        <is>
          <t>Union</t>
        </is>
      </c>
      <c r="C770" s="58" t="inlineStr">
        <is>
          <t>Alex Rodriguez</t>
        </is>
      </c>
      <c r="D770" s="58" t="inlineStr">
        <is>
          <t>Off-premise</t>
        </is>
      </c>
      <c r="E770" s="53" t="n">
        <v>5</v>
      </c>
      <c r="F770" s="53" t="n">
        <v>9</v>
      </c>
      <c r="G770" s="55" t="n">
        <v>42.01</v>
      </c>
      <c r="H770" s="55" t="n">
        <v>71.53</v>
      </c>
      <c r="I770" s="53" t="n">
        <v>123</v>
      </c>
      <c r="J770" s="53" t="n">
        <v>142</v>
      </c>
      <c r="K770" s="53" t="n">
        <v>5</v>
      </c>
      <c r="L770" s="53" t="n">
        <v>9</v>
      </c>
      <c r="M770" s="33">
        <f>F770-E770</f>
        <v/>
      </c>
      <c r="N770" s="33">
        <f>L770-K770</f>
        <v/>
      </c>
    </row>
    <row r="771">
      <c r="A771" s="58" t="inlineStr">
        <is>
          <t>250130 Westminster Liquors</t>
        </is>
      </c>
      <c r="B771" s="58" t="inlineStr">
        <is>
          <t>Union</t>
        </is>
      </c>
      <c r="C771" s="58" t="inlineStr">
        <is>
          <t>Alex Rodriguez</t>
        </is>
      </c>
      <c r="D771" s="58" t="inlineStr">
        <is>
          <t>Off-premise</t>
        </is>
      </c>
      <c r="E771" s="53" t="n">
        <v>5</v>
      </c>
      <c r="F771" s="53" t="n">
        <v>9</v>
      </c>
      <c r="G771" s="55" t="n">
        <v>42.01</v>
      </c>
      <c r="H771" s="55" t="n">
        <v>71.53</v>
      </c>
      <c r="I771" s="53" t="n">
        <v>105</v>
      </c>
      <c r="J771" s="53" t="n">
        <v>65</v>
      </c>
      <c r="K771" s="53" t="n">
        <v>5</v>
      </c>
      <c r="L771" s="53" t="n">
        <v>9</v>
      </c>
      <c r="M771" s="33">
        <f>F771-E771</f>
        <v/>
      </c>
      <c r="N771" s="33">
        <f>L771-K771</f>
        <v/>
      </c>
    </row>
    <row r="772">
      <c r="A772" s="58" t="inlineStr">
        <is>
          <t>250308 Super Discount Liquors</t>
        </is>
      </c>
      <c r="B772" s="58" t="inlineStr">
        <is>
          <t>Union</t>
        </is>
      </c>
      <c r="C772" s="58" t="inlineStr">
        <is>
          <t>Alex Rodriguez</t>
        </is>
      </c>
      <c r="D772" s="58" t="inlineStr">
        <is>
          <t>Off-premise</t>
        </is>
      </c>
      <c r="E772" s="53" t="n">
        <v>11</v>
      </c>
      <c r="F772" s="53" t="n">
        <v>15</v>
      </c>
      <c r="G772" s="55" t="n">
        <v>85.84999999999999</v>
      </c>
      <c r="H772" s="55" t="n">
        <v>128.61</v>
      </c>
      <c r="I772" s="53" t="n">
        <v>137</v>
      </c>
      <c r="J772" s="53" t="n">
        <v>126</v>
      </c>
      <c r="K772" s="53" t="n">
        <v>11</v>
      </c>
      <c r="L772" s="53" t="n">
        <v>15</v>
      </c>
      <c r="M772" s="33">
        <f>F772-E772</f>
        <v/>
      </c>
      <c r="N772" s="33">
        <f>L772-K772</f>
        <v/>
      </c>
    </row>
    <row r="773">
      <c r="A773" s="58" t="inlineStr">
        <is>
          <t>250315 Cantinho Liquors</t>
        </is>
      </c>
      <c r="B773" s="58" t="inlineStr">
        <is>
          <t>Union</t>
        </is>
      </c>
      <c r="C773" s="58" t="inlineStr">
        <is>
          <t>Alex Rodriguez</t>
        </is>
      </c>
      <c r="D773" s="58" t="inlineStr">
        <is>
          <t>Off-premise</t>
        </is>
      </c>
      <c r="E773" s="53" t="n">
        <v>30</v>
      </c>
      <c r="F773" s="53" t="n">
        <v>34</v>
      </c>
      <c r="G773" s="55" t="n">
        <v>214.29</v>
      </c>
      <c r="H773" s="55" t="n">
        <v>235.35</v>
      </c>
      <c r="I773" s="53" t="n">
        <v>76</v>
      </c>
      <c r="J773" s="53" t="n">
        <v>37</v>
      </c>
      <c r="K773" s="53" t="n">
        <v>30</v>
      </c>
      <c r="L773" s="53" t="n">
        <v>34</v>
      </c>
      <c r="M773" s="33">
        <f>F773-E773</f>
        <v/>
      </c>
      <c r="N773" s="33">
        <f>L773-K773</f>
        <v/>
      </c>
    </row>
    <row r="774">
      <c r="A774" s="58" t="inlineStr">
        <is>
          <t>17001 Underdog Lounge(P)</t>
        </is>
      </c>
      <c r="B774" s="58" t="inlineStr">
        <is>
          <t>Passaic</t>
        </is>
      </c>
      <c r="C774" s="58" t="inlineStr">
        <is>
          <t>Allison Scott</t>
        </is>
      </c>
      <c r="D774" s="58" t="inlineStr">
        <is>
          <t>On-premise</t>
        </is>
      </c>
      <c r="E774" s="53" t="n">
        <v>87</v>
      </c>
      <c r="F774" s="53" t="n">
        <v>139</v>
      </c>
      <c r="G774" s="55" t="n">
        <v>778.1600000000001</v>
      </c>
      <c r="H774" s="55" t="n">
        <v>1101.57</v>
      </c>
      <c r="I774" s="53" t="n">
        <v>19</v>
      </c>
      <c r="J774" s="53" t="n">
        <v>24</v>
      </c>
      <c r="K774" s="53" t="n">
        <v>7</v>
      </c>
      <c r="L774" s="53" t="n">
        <v>11</v>
      </c>
      <c r="M774" s="33">
        <f>F774-E774</f>
        <v/>
      </c>
      <c r="N774" s="33">
        <f>L774-K774</f>
        <v/>
      </c>
    </row>
    <row r="775">
      <c r="A775" s="58" t="inlineStr">
        <is>
          <t>19005 Celtic Corner</t>
        </is>
      </c>
      <c r="B775" s="58" t="inlineStr">
        <is>
          <t>Passaic</t>
        </is>
      </c>
      <c r="C775" s="58" t="inlineStr">
        <is>
          <t>Allison Scott</t>
        </is>
      </c>
      <c r="D775" s="58" t="inlineStr">
        <is>
          <t>On-premise</t>
        </is>
      </c>
      <c r="E775" s="53" t="n">
        <v>182</v>
      </c>
      <c r="F775" s="53" t="n">
        <v>216</v>
      </c>
      <c r="G775" s="55" t="n">
        <v>1232.64</v>
      </c>
      <c r="H775" s="55" t="n">
        <v>1542.02</v>
      </c>
      <c r="I775" s="53" t="n">
        <v>80</v>
      </c>
      <c r="J775" s="53" t="n">
        <v>100</v>
      </c>
      <c r="K775" s="53" t="n">
        <v>5</v>
      </c>
      <c r="L775" s="53" t="n">
        <v>9</v>
      </c>
      <c r="M775" s="33">
        <f>F775-E775</f>
        <v/>
      </c>
      <c r="N775" s="33">
        <f>L775-K775</f>
        <v/>
      </c>
    </row>
    <row r="776">
      <c r="A776" s="58" t="inlineStr">
        <is>
          <t>19011 Las Maravillas Restaurant</t>
        </is>
      </c>
      <c r="B776" s="58" t="inlineStr">
        <is>
          <t>Passaic</t>
        </is>
      </c>
      <c r="C776" s="58" t="inlineStr">
        <is>
          <t>Allison Scott</t>
        </is>
      </c>
      <c r="D776" s="58" t="inlineStr">
        <is>
          <t>On-premise</t>
        </is>
      </c>
      <c r="E776" s="53" t="n">
        <v>136</v>
      </c>
      <c r="F776" s="53" t="n">
        <v>140</v>
      </c>
      <c r="G776" s="55" t="n">
        <v>1234.17</v>
      </c>
      <c r="H776" s="55" t="n">
        <v>1311.27</v>
      </c>
      <c r="I776" s="53" t="n">
        <v>26</v>
      </c>
      <c r="J776" s="53" t="n">
        <v>16</v>
      </c>
      <c r="K776" s="53" t="n">
        <v>18</v>
      </c>
      <c r="L776" s="53" t="n">
        <v>22</v>
      </c>
      <c r="M776" s="33">
        <f>F776-E776</f>
        <v/>
      </c>
      <c r="N776" s="33">
        <f>L776-K776</f>
        <v/>
      </c>
    </row>
    <row r="777">
      <c r="A777" s="58" t="inlineStr">
        <is>
          <t>15067 Naxos Estiatorio</t>
        </is>
      </c>
      <c r="B777" s="58" t="inlineStr">
        <is>
          <t>Passaic</t>
        </is>
      </c>
      <c r="C777" s="58" t="inlineStr">
        <is>
          <t>Allison Scott</t>
        </is>
      </c>
      <c r="D777" s="58" t="inlineStr">
        <is>
          <t>On-premise</t>
        </is>
      </c>
      <c r="E777" s="53" t="n">
        <v>37</v>
      </c>
      <c r="F777" s="53" t="n">
        <v>70</v>
      </c>
      <c r="G777" s="55" t="n">
        <v>357.9</v>
      </c>
      <c r="H777" s="55" t="n">
        <v>631.14</v>
      </c>
      <c r="I777" s="53" t="n">
        <v>38</v>
      </c>
      <c r="J777" s="53" t="n">
        <v>32</v>
      </c>
      <c r="K777" s="53" t="n">
        <v>18</v>
      </c>
      <c r="L777" s="53" t="n">
        <v>22</v>
      </c>
      <c r="M777" s="33">
        <f>F777-E777</f>
        <v/>
      </c>
      <c r="N777" s="33">
        <f>L777-K777</f>
        <v/>
      </c>
    </row>
    <row r="778">
      <c r="A778" s="58" t="inlineStr">
        <is>
          <t>19002 Puzo's Pizza</t>
        </is>
      </c>
      <c r="B778" s="58" t="inlineStr">
        <is>
          <t>Passaic</t>
        </is>
      </c>
      <c r="C778" s="58" t="inlineStr">
        <is>
          <t>Allison Scott</t>
        </is>
      </c>
      <c r="D778" s="58" t="inlineStr">
        <is>
          <t>On-premise</t>
        </is>
      </c>
      <c r="E778" s="53" t="n">
        <v>40</v>
      </c>
      <c r="F778" s="53" t="n">
        <v>31</v>
      </c>
      <c r="G778" s="55" t="n">
        <v>429.67</v>
      </c>
      <c r="H778" s="55" t="n">
        <v>332.14</v>
      </c>
      <c r="I778" s="53" t="n">
        <v>5</v>
      </c>
      <c r="J778" s="53" t="n">
        <v>9</v>
      </c>
      <c r="K778" s="53" t="n">
        <v>7</v>
      </c>
      <c r="L778" s="53" t="n">
        <v>11</v>
      </c>
      <c r="M778" s="33">
        <f>F778-E778</f>
        <v/>
      </c>
      <c r="N778" s="33">
        <f>L778-K778</f>
        <v/>
      </c>
    </row>
    <row r="779">
      <c r="A779" s="58" t="inlineStr">
        <is>
          <t>191009 Mason Street Grille</t>
        </is>
      </c>
      <c r="B779" s="58" t="inlineStr">
        <is>
          <t>Morris</t>
        </is>
      </c>
      <c r="C779" s="58" t="inlineStr">
        <is>
          <t>Brian Sengebush</t>
        </is>
      </c>
      <c r="D779" s="58" t="inlineStr">
        <is>
          <t>On-premise</t>
        </is>
      </c>
      <c r="E779" s="53" t="n">
        <v>709</v>
      </c>
      <c r="F779" s="53" t="n">
        <v>813</v>
      </c>
      <c r="G779" s="55" t="n">
        <v>4261.88</v>
      </c>
      <c r="H779" s="55" t="n">
        <v>5253.29</v>
      </c>
      <c r="I779" s="53" t="n">
        <v>328</v>
      </c>
      <c r="J779" s="53" t="n">
        <v>321</v>
      </c>
      <c r="K779" s="53" t="n">
        <v>29</v>
      </c>
      <c r="L779" s="53" t="n">
        <v>33</v>
      </c>
      <c r="M779" s="33">
        <f>F779-E779</f>
        <v/>
      </c>
      <c r="N779" s="33">
        <f>L779-K779</f>
        <v/>
      </c>
    </row>
    <row r="780">
      <c r="A780" s="58" t="inlineStr">
        <is>
          <t>190108 Harrigan's Rest. (P)</t>
        </is>
      </c>
      <c r="B780" s="58" t="inlineStr">
        <is>
          <t>Morris</t>
        </is>
      </c>
      <c r="C780" s="58" t="inlineStr">
        <is>
          <t>Brian Sengebush</t>
        </is>
      </c>
      <c r="D780" s="58" t="inlineStr">
        <is>
          <t>On-premise</t>
        </is>
      </c>
      <c r="E780" s="53" t="n">
        <v>346</v>
      </c>
      <c r="F780" s="53" t="n">
        <v>304</v>
      </c>
      <c r="G780" s="55" t="n">
        <v>1993.04</v>
      </c>
      <c r="H780" s="55" t="n">
        <v>1684.64</v>
      </c>
      <c r="I780" s="53" t="n">
        <v>44</v>
      </c>
      <c r="J780" s="53" t="n">
        <v>40</v>
      </c>
      <c r="K780" s="53" t="n">
        <v>3</v>
      </c>
      <c r="L780" s="53" t="n">
        <v>7</v>
      </c>
      <c r="M780" s="33">
        <f>F780-E780</f>
        <v/>
      </c>
      <c r="N780" s="33">
        <f>L780-K780</f>
        <v/>
      </c>
    </row>
    <row r="781">
      <c r="A781" s="58" t="inlineStr">
        <is>
          <t>190615 The Second Half On Main</t>
        </is>
      </c>
      <c r="B781" s="58" t="inlineStr">
        <is>
          <t>Morris</t>
        </is>
      </c>
      <c r="C781" s="58" t="inlineStr">
        <is>
          <t>Brian Sengebush</t>
        </is>
      </c>
      <c r="D781" s="58" t="inlineStr">
        <is>
          <t>On-premise</t>
        </is>
      </c>
      <c r="E781" s="53" t="n">
        <v>91</v>
      </c>
      <c r="F781" s="53" t="n">
        <v>91</v>
      </c>
      <c r="G781" s="55" t="n">
        <v>743.3</v>
      </c>
      <c r="H781" s="55" t="n">
        <v>758.78</v>
      </c>
      <c r="I781" s="53" t="n">
        <v>2</v>
      </c>
      <c r="J781" s="53" t="n">
        <v>8</v>
      </c>
      <c r="K781" s="53" t="n">
        <v>5</v>
      </c>
      <c r="L781" s="53" t="n">
        <v>9</v>
      </c>
      <c r="M781" s="33">
        <f>F781-E781</f>
        <v/>
      </c>
      <c r="N781" s="33">
        <f>L781-K781</f>
        <v/>
      </c>
    </row>
    <row r="782">
      <c r="A782" s="58" t="inlineStr">
        <is>
          <t>79002 Hollywd Liq&amp;Deli (A)</t>
        </is>
      </c>
      <c r="B782" s="58" t="inlineStr">
        <is>
          <t>Bergen</t>
        </is>
      </c>
      <c r="C782" s="58" t="inlineStr">
        <is>
          <t>Chris Payton</t>
        </is>
      </c>
      <c r="D782" s="58" t="inlineStr">
        <is>
          <t>Off-premise</t>
        </is>
      </c>
      <c r="E782" s="53" t="n">
        <v>1210</v>
      </c>
      <c r="F782" s="53" t="n">
        <v>1192</v>
      </c>
      <c r="G782" s="55" t="n">
        <v>8298.790000000001</v>
      </c>
      <c r="H782" s="55" t="n">
        <v>8274.050000000001</v>
      </c>
      <c r="I782" s="53" t="n">
        <v>202</v>
      </c>
      <c r="J782" s="53" t="n">
        <v>204</v>
      </c>
      <c r="K782" s="53" t="n">
        <v>171</v>
      </c>
      <c r="L782" s="53" t="n">
        <v>175</v>
      </c>
      <c r="M782" s="33">
        <f>F782-E782</f>
        <v/>
      </c>
      <c r="N782" s="33">
        <f>L782-K782</f>
        <v/>
      </c>
    </row>
    <row r="783">
      <c r="A783" s="58" t="inlineStr">
        <is>
          <t>45005 Colonial Bar</t>
        </is>
      </c>
      <c r="B783" s="58" t="inlineStr">
        <is>
          <t>Bergen</t>
        </is>
      </c>
      <c r="C783" s="58" t="inlineStr">
        <is>
          <t>Chris Payton</t>
        </is>
      </c>
      <c r="D783" s="58" t="inlineStr">
        <is>
          <t>On-premise</t>
        </is>
      </c>
      <c r="E783" s="53" t="n">
        <v>313</v>
      </c>
      <c r="F783" s="53" t="n">
        <v>314</v>
      </c>
      <c r="G783" s="55" t="n">
        <v>2631</v>
      </c>
      <c r="H783" s="55" t="n">
        <v>2498.23</v>
      </c>
      <c r="I783" s="53" t="n">
        <v>12</v>
      </c>
      <c r="J783" s="53" t="n">
        <v>84</v>
      </c>
      <c r="K783" s="53" t="n">
        <v>4</v>
      </c>
      <c r="L783" s="53" t="n">
        <v>8</v>
      </c>
      <c r="M783" s="33">
        <f>F783-E783</f>
        <v/>
      </c>
      <c r="N783" s="33">
        <f>L783-K783</f>
        <v/>
      </c>
    </row>
    <row r="784">
      <c r="A784" s="58" t="inlineStr">
        <is>
          <t>46009 Banner Delicatessen</t>
        </is>
      </c>
      <c r="B784" s="58" t="inlineStr">
        <is>
          <t>Bergen</t>
        </is>
      </c>
      <c r="C784" s="58" t="inlineStr">
        <is>
          <t>Dan Lagala</t>
        </is>
      </c>
      <c r="D784" s="58" t="inlineStr">
        <is>
          <t>Off-premise</t>
        </is>
      </c>
      <c r="E784" s="53" t="n">
        <v>2640</v>
      </c>
      <c r="F784" s="53" t="n">
        <v>2416</v>
      </c>
      <c r="G784" s="55" t="n">
        <v>18704.33</v>
      </c>
      <c r="H784" s="55" t="n">
        <v>17177.7</v>
      </c>
      <c r="I784" s="53" t="n">
        <v>254</v>
      </c>
      <c r="J784" s="53" t="n">
        <v>253</v>
      </c>
      <c r="K784" s="53" t="n">
        <v>188</v>
      </c>
      <c r="L784" s="53" t="n">
        <v>192</v>
      </c>
      <c r="M784" s="33">
        <f>F784-E784</f>
        <v/>
      </c>
      <c r="N784" s="33">
        <f>L784-K784</f>
        <v/>
      </c>
    </row>
    <row r="785">
      <c r="A785" s="58" t="inlineStr">
        <is>
          <t>49065 Haven Rest/Bar (A)</t>
        </is>
      </c>
      <c r="B785" s="58" t="inlineStr">
        <is>
          <t>Bergen</t>
        </is>
      </c>
      <c r="C785" s="58" t="inlineStr">
        <is>
          <t>Dan Lagala</t>
        </is>
      </c>
      <c r="D785" s="58" t="inlineStr">
        <is>
          <t>On-premise</t>
        </is>
      </c>
      <c r="E785" s="53" t="n">
        <v>96</v>
      </c>
      <c r="F785" s="53" t="n">
        <v>103</v>
      </c>
      <c r="G785" s="55" t="n">
        <v>1032.13</v>
      </c>
      <c r="H785" s="55" t="n">
        <v>1121.03</v>
      </c>
      <c r="I785" s="53" t="n">
        <v>34</v>
      </c>
      <c r="J785" s="53" t="n">
        <v>18</v>
      </c>
      <c r="K785" s="53" t="n">
        <v>19</v>
      </c>
      <c r="L785" s="53" t="n">
        <v>23</v>
      </c>
      <c r="M785" s="33">
        <f>F785-E785</f>
        <v/>
      </c>
      <c r="N785" s="33">
        <f>L785-K785</f>
        <v/>
      </c>
    </row>
    <row r="786">
      <c r="A786" s="58" t="inlineStr">
        <is>
          <t>49074 Dong Bang Grill</t>
        </is>
      </c>
      <c r="B786" s="58" t="inlineStr">
        <is>
          <t>Bergen</t>
        </is>
      </c>
      <c r="C786" s="58" t="inlineStr">
        <is>
          <t>Dan Lagala</t>
        </is>
      </c>
      <c r="D786" s="58" t="inlineStr">
        <is>
          <t>On-premise</t>
        </is>
      </c>
      <c r="E786" s="53" t="n">
        <v>20</v>
      </c>
      <c r="F786" s="53" t="n">
        <v>30</v>
      </c>
      <c r="G786" s="55" t="n">
        <v>153.03</v>
      </c>
      <c r="H786" s="55" t="n">
        <v>258.85</v>
      </c>
      <c r="I786" s="53" t="n">
        <v>0</v>
      </c>
      <c r="J786" s="53" t="n">
        <v>0</v>
      </c>
      <c r="K786" s="53" t="n">
        <v>10</v>
      </c>
      <c r="L786" s="53" t="n">
        <v>14</v>
      </c>
      <c r="M786" s="33">
        <f>F786-E786</f>
        <v/>
      </c>
      <c r="N786" s="33">
        <f>L786-K786</f>
        <v/>
      </c>
    </row>
    <row r="787">
      <c r="A787" s="58" t="inlineStr">
        <is>
          <t>49083 Courtyard By Marriott Edgewater</t>
        </is>
      </c>
      <c r="B787" s="58" t="inlineStr">
        <is>
          <t>Bergen</t>
        </is>
      </c>
      <c r="C787" s="58" t="inlineStr">
        <is>
          <t>Dan Lagala</t>
        </is>
      </c>
      <c r="D787" s="58" t="inlineStr">
        <is>
          <t>On-premise</t>
        </is>
      </c>
      <c r="E787" s="53" t="n">
        <v>30</v>
      </c>
      <c r="F787" s="53" t="n">
        <v>33</v>
      </c>
      <c r="G787" s="55" t="n">
        <v>306.69</v>
      </c>
      <c r="H787" s="55" t="n">
        <v>359.5</v>
      </c>
      <c r="I787" s="53" t="n">
        <v>3</v>
      </c>
      <c r="J787" s="53" t="n">
        <v>3</v>
      </c>
      <c r="K787" s="53" t="n">
        <v>-2</v>
      </c>
      <c r="L787" s="53" t="n">
        <v>2</v>
      </c>
      <c r="M787" s="33">
        <f>F787-E787</f>
        <v/>
      </c>
      <c r="N787" s="33">
        <f>L787-K787</f>
        <v/>
      </c>
    </row>
    <row r="788">
      <c r="A788" s="58" t="inlineStr">
        <is>
          <t>170049 Cosmo Liquors &amp; Grocery</t>
        </is>
      </c>
      <c r="B788" s="58" t="inlineStr">
        <is>
          <t>Hudson</t>
        </is>
      </c>
      <c r="C788" s="58" t="inlineStr">
        <is>
          <t>Dylan Rubino</t>
        </is>
      </c>
      <c r="D788" s="58" t="inlineStr">
        <is>
          <t>Off-premise</t>
        </is>
      </c>
      <c r="E788" s="53" t="n">
        <v>5</v>
      </c>
      <c r="F788" s="53" t="n">
        <v>9</v>
      </c>
      <c r="G788" s="55" t="n">
        <v>42.01</v>
      </c>
      <c r="H788" s="55" t="n">
        <v>84.03</v>
      </c>
      <c r="I788" s="53" t="n">
        <v>91</v>
      </c>
      <c r="J788" s="53" t="n">
        <v>108</v>
      </c>
      <c r="K788" s="53" t="n">
        <v>5</v>
      </c>
      <c r="L788" s="53" t="n">
        <v>9</v>
      </c>
      <c r="M788" s="33">
        <f>F788-E788</f>
        <v/>
      </c>
      <c r="N788" s="33">
        <f>L788-K788</f>
        <v/>
      </c>
    </row>
    <row r="789">
      <c r="A789" s="58" t="inlineStr">
        <is>
          <t>170077 Moon Liquors (P)</t>
        </is>
      </c>
      <c r="B789" s="58" t="inlineStr">
        <is>
          <t>Hudson</t>
        </is>
      </c>
      <c r="C789" s="58" t="inlineStr">
        <is>
          <t>Dylan Rubino</t>
        </is>
      </c>
      <c r="D789" s="58" t="inlineStr">
        <is>
          <t>Off-premise</t>
        </is>
      </c>
      <c r="E789" s="53" t="n">
        <v>10</v>
      </c>
      <c r="F789" s="53" t="n">
        <v>14</v>
      </c>
      <c r="G789" s="55" t="n">
        <v>85.31</v>
      </c>
      <c r="H789" s="55" t="n">
        <v>127.33</v>
      </c>
      <c r="I789" s="53" t="n">
        <v>62</v>
      </c>
      <c r="J789" s="53" t="n">
        <v>32</v>
      </c>
      <c r="K789" s="53" t="n">
        <v>10</v>
      </c>
      <c r="L789" s="53" t="n">
        <v>14</v>
      </c>
      <c r="M789" s="33">
        <f>F789-E789</f>
        <v/>
      </c>
      <c r="N789" s="33">
        <f>L789-K789</f>
        <v/>
      </c>
    </row>
    <row r="790">
      <c r="A790" s="58" t="inlineStr">
        <is>
          <t>170203 Town Beverage</t>
        </is>
      </c>
      <c r="B790" s="58" t="inlineStr">
        <is>
          <t>Hudson</t>
        </is>
      </c>
      <c r="C790" s="58" t="inlineStr">
        <is>
          <t>Dylan Rubino</t>
        </is>
      </c>
      <c r="D790" s="58" t="inlineStr">
        <is>
          <t>Off-premise</t>
        </is>
      </c>
      <c r="E790" s="53" t="n">
        <v>48</v>
      </c>
      <c r="F790" s="53" t="n">
        <v>52</v>
      </c>
      <c r="G790" s="55" t="n">
        <v>354.18</v>
      </c>
      <c r="H790" s="55" t="n">
        <v>397.39</v>
      </c>
      <c r="I790" s="53" t="n">
        <v>218</v>
      </c>
      <c r="J790" s="53" t="n">
        <v>172</v>
      </c>
      <c r="K790" s="53" t="n">
        <v>48</v>
      </c>
      <c r="L790" s="53" t="n">
        <v>52</v>
      </c>
      <c r="M790" s="33">
        <f>F790-E790</f>
        <v/>
      </c>
      <c r="N790" s="33">
        <f>L790-K790</f>
        <v/>
      </c>
    </row>
    <row r="791">
      <c r="A791" s="58" t="inlineStr">
        <is>
          <t>170224 Bond Drugs</t>
        </is>
      </c>
      <c r="B791" s="58" t="inlineStr">
        <is>
          <t>Hudson</t>
        </is>
      </c>
      <c r="C791" s="58" t="inlineStr">
        <is>
          <t>Dylan Rubino</t>
        </is>
      </c>
      <c r="D791" s="58" t="inlineStr">
        <is>
          <t>Off-premise</t>
        </is>
      </c>
      <c r="E791" s="53" t="n">
        <v>0</v>
      </c>
      <c r="F791" s="53" t="n">
        <v>4</v>
      </c>
      <c r="G791" s="55" t="n">
        <v>0</v>
      </c>
      <c r="H791" s="55" t="n">
        <v>26.64</v>
      </c>
      <c r="I791" s="53" t="n">
        <v>47</v>
      </c>
      <c r="J791" s="53" t="n">
        <v>31</v>
      </c>
      <c r="K791" s="53" t="n">
        <v>0</v>
      </c>
      <c r="L791" s="53" t="n">
        <v>4</v>
      </c>
      <c r="M791" s="33">
        <f>F791-E791</f>
        <v/>
      </c>
      <c r="N791" s="33">
        <f>L791-K791</f>
        <v/>
      </c>
    </row>
    <row r="792">
      <c r="A792" s="58" t="inlineStr">
        <is>
          <t>170916 Courtyard Secaucus Meadowlands</t>
        </is>
      </c>
      <c r="B792" s="58" t="inlineStr">
        <is>
          <t>Hudson</t>
        </is>
      </c>
      <c r="C792" s="58" t="inlineStr">
        <is>
          <t>Dylan Rubino</t>
        </is>
      </c>
      <c r="D792" s="58" t="inlineStr">
        <is>
          <t>On-premise</t>
        </is>
      </c>
      <c r="E792" s="53" t="n">
        <v>0</v>
      </c>
      <c r="F792" s="53" t="n">
        <v>4</v>
      </c>
      <c r="G792" s="55" t="n">
        <v>0</v>
      </c>
      <c r="H792" s="55" t="n">
        <v>52.64</v>
      </c>
      <c r="I792" s="53" t="n">
        <v>0</v>
      </c>
      <c r="J792" s="53" t="n">
        <v>7</v>
      </c>
      <c r="K792" s="53" t="n">
        <v>0</v>
      </c>
      <c r="L792" s="53" t="n">
        <v>4</v>
      </c>
      <c r="M792" s="33">
        <f>F792-E792</f>
        <v/>
      </c>
      <c r="N792" s="33">
        <f>L792-K792</f>
        <v/>
      </c>
    </row>
    <row r="793">
      <c r="A793" s="58" t="inlineStr">
        <is>
          <t>171349 Payano Liquors</t>
        </is>
      </c>
      <c r="B793" s="58" t="inlineStr">
        <is>
          <t>Hudson</t>
        </is>
      </c>
      <c r="C793" s="58" t="inlineStr">
        <is>
          <t>Dylan Rubino</t>
        </is>
      </c>
      <c r="D793" s="58" t="inlineStr">
        <is>
          <t>Off-premise</t>
        </is>
      </c>
      <c r="E793" s="53" t="n">
        <v>39</v>
      </c>
      <c r="F793" s="53" t="n">
        <v>43</v>
      </c>
      <c r="G793" s="55" t="n">
        <v>300.44</v>
      </c>
      <c r="H793" s="55" t="n">
        <v>329.09</v>
      </c>
      <c r="I793" s="53" t="n">
        <v>29</v>
      </c>
      <c r="J793" s="53" t="n">
        <v>55</v>
      </c>
      <c r="K793" s="53" t="n">
        <v>39</v>
      </c>
      <c r="L793" s="53" t="n">
        <v>43</v>
      </c>
      <c r="M793" s="33">
        <f>F793-E793</f>
        <v/>
      </c>
      <c r="N793" s="33">
        <f>L793-K793</f>
        <v/>
      </c>
    </row>
    <row r="794">
      <c r="A794" s="58" t="inlineStr">
        <is>
          <t>178001 Tonnelle Wine &amp; Liq</t>
        </is>
      </c>
      <c r="B794" s="58" t="inlineStr">
        <is>
          <t>Hudson</t>
        </is>
      </c>
      <c r="C794" s="58" t="inlineStr">
        <is>
          <t>Dylan Rubino</t>
        </is>
      </c>
      <c r="D794" s="58" t="inlineStr">
        <is>
          <t>Off-premise</t>
        </is>
      </c>
      <c r="E794" s="53" t="n">
        <v>19</v>
      </c>
      <c r="F794" s="53" t="n">
        <v>23</v>
      </c>
      <c r="G794" s="55" t="n">
        <v>155.45</v>
      </c>
      <c r="H794" s="55" t="n">
        <v>159.32</v>
      </c>
      <c r="I794" s="53" t="n">
        <v>60</v>
      </c>
      <c r="J794" s="53" t="n">
        <v>24</v>
      </c>
      <c r="K794" s="53" t="n">
        <v>19</v>
      </c>
      <c r="L794" s="53" t="n">
        <v>23</v>
      </c>
      <c r="M794" s="33">
        <f>F794-E794</f>
        <v/>
      </c>
      <c r="N794" s="33">
        <f>L794-K794</f>
        <v/>
      </c>
    </row>
    <row r="795">
      <c r="A795" s="58" t="inlineStr">
        <is>
          <t>150402 Coolvines Newark</t>
        </is>
      </c>
      <c r="B795" s="58" t="inlineStr">
        <is>
          <t>Essex</t>
        </is>
      </c>
      <c r="C795" s="58" t="inlineStr">
        <is>
          <t>Hakan Sadik</t>
        </is>
      </c>
      <c r="D795" s="58" t="inlineStr">
        <is>
          <t>Off-premise</t>
        </is>
      </c>
      <c r="E795" s="53" t="n">
        <v>0</v>
      </c>
      <c r="F795" s="53" t="n">
        <v>4</v>
      </c>
      <c r="G795" s="55" t="n">
        <v>0</v>
      </c>
      <c r="H795" s="55" t="n">
        <v>26.64</v>
      </c>
      <c r="I795" s="53" t="n">
        <v>34</v>
      </c>
      <c r="J795" s="53" t="n">
        <v>32</v>
      </c>
      <c r="K795" s="53" t="n">
        <v>0</v>
      </c>
      <c r="L795" s="53" t="n">
        <v>4</v>
      </c>
      <c r="M795" s="33">
        <f>F795-E795</f>
        <v/>
      </c>
      <c r="N795" s="33">
        <f>L795-K795</f>
        <v/>
      </c>
    </row>
    <row r="796">
      <c r="A796" s="58" t="inlineStr">
        <is>
          <t>150614 International Liquor</t>
        </is>
      </c>
      <c r="B796" s="58" t="inlineStr">
        <is>
          <t>Essex</t>
        </is>
      </c>
      <c r="C796" s="58" t="inlineStr">
        <is>
          <t>Hakan Sadik</t>
        </is>
      </c>
      <c r="D796" s="58" t="inlineStr">
        <is>
          <t>Off-premise</t>
        </is>
      </c>
      <c r="E796" s="53" t="n">
        <v>2</v>
      </c>
      <c r="F796" s="53" t="n">
        <v>6</v>
      </c>
      <c r="G796" s="55" t="n">
        <v>24.81</v>
      </c>
      <c r="H796" s="55" t="n">
        <v>66.81999999999999</v>
      </c>
      <c r="I796" s="53" t="n">
        <v>347</v>
      </c>
      <c r="J796" s="53" t="n">
        <v>328</v>
      </c>
      <c r="K796" s="53" t="n">
        <v>2</v>
      </c>
      <c r="L796" s="53" t="n">
        <v>6</v>
      </c>
      <c r="M796" s="33">
        <f>F796-E796</f>
        <v/>
      </c>
      <c r="N796" s="33">
        <f>L796-K796</f>
        <v/>
      </c>
    </row>
    <row r="797">
      <c r="A797" s="58" t="inlineStr">
        <is>
          <t>150617 Irvington 876</t>
        </is>
      </c>
      <c r="B797" s="58" t="inlineStr">
        <is>
          <t>Essex</t>
        </is>
      </c>
      <c r="C797" s="58" t="inlineStr">
        <is>
          <t>Hakan Sadik</t>
        </is>
      </c>
      <c r="D797" s="58" t="inlineStr">
        <is>
          <t>Off-premise</t>
        </is>
      </c>
      <c r="E797" s="53" t="n">
        <v>2</v>
      </c>
      <c r="F797" s="53" t="n">
        <v>6</v>
      </c>
      <c r="G797" s="55" t="n">
        <v>24.81</v>
      </c>
      <c r="H797" s="55" t="n">
        <v>74.42</v>
      </c>
      <c r="I797" s="53" t="n">
        <v>399</v>
      </c>
      <c r="J797" s="53" t="n">
        <v>316</v>
      </c>
      <c r="K797" s="53" t="n">
        <v>2</v>
      </c>
      <c r="L797" s="53" t="n">
        <v>6</v>
      </c>
      <c r="M797" s="33">
        <f>F797-E797</f>
        <v/>
      </c>
      <c r="N797" s="33">
        <f>L797-K797</f>
        <v/>
      </c>
    </row>
    <row r="798">
      <c r="A798" s="58" t="inlineStr">
        <is>
          <t>190721 Liquor Point</t>
        </is>
      </c>
      <c r="B798" s="58" t="inlineStr">
        <is>
          <t>Morris</t>
        </is>
      </c>
      <c r="C798" s="58" t="inlineStr">
        <is>
          <t>John O'Donoghue</t>
        </is>
      </c>
      <c r="D798" s="58" t="inlineStr">
        <is>
          <t>Unmatched</t>
        </is>
      </c>
      <c r="E798" s="53" t="n">
        <v>0</v>
      </c>
      <c r="F798" s="53" t="n">
        <v>4</v>
      </c>
      <c r="G798" s="55" t="n">
        <v>0</v>
      </c>
      <c r="H798" s="55" t="n">
        <v>51.88</v>
      </c>
      <c r="I798" s="53" t="n">
        <v>0</v>
      </c>
      <c r="J798" s="53" t="n">
        <v>28</v>
      </c>
      <c r="K798" s="53" t="n">
        <v>0</v>
      </c>
      <c r="L798" s="53" t="n">
        <v>4</v>
      </c>
      <c r="M798" s="33">
        <f>F798-E798</f>
        <v/>
      </c>
      <c r="N798" s="33">
        <f>L798-K798</f>
        <v/>
      </c>
    </row>
    <row r="799">
      <c r="A799" s="58" t="inlineStr">
        <is>
          <t>192073 Randolph Liquors</t>
        </is>
      </c>
      <c r="B799" s="58" t="inlineStr">
        <is>
          <t>Morris</t>
        </is>
      </c>
      <c r="C799" s="58" t="inlineStr">
        <is>
          <t>John O'Donoghue</t>
        </is>
      </c>
      <c r="D799" s="58" t="inlineStr">
        <is>
          <t>Unmatched</t>
        </is>
      </c>
      <c r="E799" s="53" t="n">
        <v>3</v>
      </c>
      <c r="F799" s="53" t="n">
        <v>7</v>
      </c>
      <c r="G799" s="55" t="n">
        <v>39.48</v>
      </c>
      <c r="H799" s="55" t="n">
        <v>82.59</v>
      </c>
      <c r="I799" s="53" t="n">
        <v>94</v>
      </c>
      <c r="J799" s="53" t="n">
        <v>156</v>
      </c>
      <c r="K799" s="53" t="n">
        <v>3</v>
      </c>
      <c r="L799" s="53" t="n">
        <v>7</v>
      </c>
      <c r="M799" s="33">
        <f>F799-E799</f>
        <v/>
      </c>
      <c r="N799" s="33">
        <f>L799-K799</f>
        <v/>
      </c>
    </row>
    <row r="800">
      <c r="A800" s="58" t="inlineStr">
        <is>
          <t>32016 Cobblestone Hill Deli</t>
        </is>
      </c>
      <c r="B800" s="58" t="inlineStr">
        <is>
          <t>Bergen</t>
        </is>
      </c>
      <c r="C800" s="58" t="inlineStr">
        <is>
          <t>Matt Powierski</t>
        </is>
      </c>
      <c r="D800" s="58" t="inlineStr">
        <is>
          <t>Off-premise</t>
        </is>
      </c>
      <c r="E800" s="53" t="n">
        <v>2185</v>
      </c>
      <c r="F800" s="53" t="n">
        <v>1955</v>
      </c>
      <c r="G800" s="55" t="n">
        <v>14394.69</v>
      </c>
      <c r="H800" s="55" t="n">
        <v>13119.09</v>
      </c>
      <c r="I800" s="53" t="n">
        <v>262</v>
      </c>
      <c r="J800" s="53" t="n">
        <v>380</v>
      </c>
      <c r="K800" s="53" t="n">
        <v>317</v>
      </c>
      <c r="L800" s="53" t="n">
        <v>321</v>
      </c>
      <c r="M800" s="33">
        <f>F800-E800</f>
        <v/>
      </c>
      <c r="N800" s="33">
        <f>L800-K800</f>
        <v/>
      </c>
    </row>
    <row r="801">
      <c r="A801" s="58" t="inlineStr">
        <is>
          <t>37001 Good Fella's (Z) Rest.</t>
        </is>
      </c>
      <c r="B801" s="58" t="inlineStr">
        <is>
          <t>Bergen</t>
        </is>
      </c>
      <c r="C801" s="58" t="inlineStr">
        <is>
          <t>Matt Powierski</t>
        </is>
      </c>
      <c r="D801" s="58" t="inlineStr">
        <is>
          <t>On-premise</t>
        </is>
      </c>
      <c r="E801" s="53" t="n">
        <v>27</v>
      </c>
      <c r="F801" s="53" t="n">
        <v>51</v>
      </c>
      <c r="G801" s="55" t="n">
        <v>262.97</v>
      </c>
      <c r="H801" s="55" t="n">
        <v>500.05</v>
      </c>
      <c r="I801" s="53" t="n">
        <v>1</v>
      </c>
      <c r="J801" s="53" t="n">
        <v>1</v>
      </c>
      <c r="K801" s="53" t="n">
        <v>9</v>
      </c>
      <c r="L801" s="53" t="n">
        <v>13</v>
      </c>
      <c r="M801" s="33">
        <f>F801-E801</f>
        <v/>
      </c>
      <c r="N801" s="33">
        <f>L801-K801</f>
        <v/>
      </c>
    </row>
    <row r="802">
      <c r="A802" s="58" t="inlineStr">
        <is>
          <t>150451 Wine Village</t>
        </is>
      </c>
      <c r="B802" s="58" t="inlineStr">
        <is>
          <t>Essex</t>
        </is>
      </c>
      <c r="C802" s="58" t="inlineStr">
        <is>
          <t>Michael Harboy</t>
        </is>
      </c>
      <c r="D802" s="58" t="inlineStr">
        <is>
          <t>Off-premise</t>
        </is>
      </c>
      <c r="E802" s="53" t="n">
        <v>10</v>
      </c>
      <c r="F802" s="53" t="n">
        <v>14</v>
      </c>
      <c r="G802" s="55" t="n">
        <v>71.56</v>
      </c>
      <c r="H802" s="55" t="n">
        <v>113.38</v>
      </c>
      <c r="I802" s="53" t="n">
        <v>96</v>
      </c>
      <c r="J802" s="53" t="n">
        <v>203</v>
      </c>
      <c r="K802" s="53" t="n">
        <v>10</v>
      </c>
      <c r="L802" s="53" t="n">
        <v>14</v>
      </c>
      <c r="M802" s="33">
        <f>F802-E802</f>
        <v/>
      </c>
      <c r="N802" s="33">
        <f>L802-K802</f>
        <v/>
      </c>
    </row>
    <row r="803">
      <c r="A803" s="58" t="inlineStr">
        <is>
          <t>37005 Charlies Tav(Z)</t>
        </is>
      </c>
      <c r="B803" s="58" t="inlineStr">
        <is>
          <t>Bergen</t>
        </is>
      </c>
      <c r="C803" s="58" t="inlineStr">
        <is>
          <t>Nick Melissari</t>
        </is>
      </c>
      <c r="D803" s="58" t="inlineStr">
        <is>
          <t>On-premise</t>
        </is>
      </c>
      <c r="E803" s="53" t="n">
        <v>54</v>
      </c>
      <c r="F803" s="53" t="n">
        <v>54</v>
      </c>
      <c r="G803" s="55" t="n">
        <v>534.6800000000001</v>
      </c>
      <c r="H803" s="55" t="n">
        <v>622.6900000000001</v>
      </c>
      <c r="I803" s="53" t="n">
        <v>22</v>
      </c>
      <c r="J803" s="53" t="n">
        <v>53</v>
      </c>
      <c r="K803" s="53" t="n">
        <v>12</v>
      </c>
      <c r="L803" s="53" t="n">
        <v>16</v>
      </c>
      <c r="M803" s="33">
        <f>F803-E803</f>
        <v/>
      </c>
      <c r="N803" s="33">
        <f>L803-K803</f>
        <v/>
      </c>
    </row>
    <row r="804">
      <c r="A804" s="58" t="inlineStr">
        <is>
          <t>92002 Anthony's CF Pizza (A) (Ramsey)</t>
        </is>
      </c>
      <c r="B804" s="58" t="inlineStr">
        <is>
          <t>Bergen</t>
        </is>
      </c>
      <c r="C804" s="58" t="inlineStr">
        <is>
          <t>Nick Melissari</t>
        </is>
      </c>
      <c r="D804" s="58" t="inlineStr">
        <is>
          <t>On-premise</t>
        </is>
      </c>
      <c r="E804" s="53" t="n">
        <v>266</v>
      </c>
      <c r="F804" s="53" t="n">
        <v>255</v>
      </c>
      <c r="G804" s="55" t="n">
        <v>2134.65</v>
      </c>
      <c r="H804" s="55" t="n">
        <v>2177.75</v>
      </c>
      <c r="I804" s="53" t="n">
        <v>66</v>
      </c>
      <c r="J804" s="53" t="n">
        <v>49</v>
      </c>
      <c r="K804" s="53" t="n">
        <v>113</v>
      </c>
      <c r="L804" s="53" t="n">
        <v>117</v>
      </c>
      <c r="M804" s="33">
        <f>F804-E804</f>
        <v/>
      </c>
      <c r="N804" s="33">
        <f>L804-K804</f>
        <v/>
      </c>
    </row>
    <row r="805">
      <c r="A805" s="58" t="inlineStr">
        <is>
          <t>80063 Eddie V's</t>
        </is>
      </c>
      <c r="B805" s="58" t="inlineStr">
        <is>
          <t>Bergen</t>
        </is>
      </c>
      <c r="C805" s="58" t="inlineStr">
        <is>
          <t>Nick Melissari</t>
        </is>
      </c>
      <c r="D805" s="58" t="inlineStr">
        <is>
          <t>Unmatched</t>
        </is>
      </c>
      <c r="E805" s="53" t="n">
        <v>27</v>
      </c>
      <c r="F805" s="53" t="n">
        <v>34</v>
      </c>
      <c r="G805" s="55" t="n">
        <v>290.4</v>
      </c>
      <c r="H805" s="55" t="n">
        <v>358.88</v>
      </c>
      <c r="I805" s="53" t="n">
        <v>24</v>
      </c>
      <c r="J805" s="53" t="n">
        <v>24</v>
      </c>
      <c r="K805" s="53" t="n">
        <v>8</v>
      </c>
      <c r="L805" s="53" t="n">
        <v>12</v>
      </c>
      <c r="M805" s="33">
        <f>F805-E805</f>
        <v/>
      </c>
      <c r="N805" s="33">
        <f>L805-K805</f>
        <v/>
      </c>
    </row>
    <row r="806">
      <c r="A806" s="58" t="inlineStr">
        <is>
          <t>92013 Varka</t>
        </is>
      </c>
      <c r="B806" s="58" t="inlineStr">
        <is>
          <t>Bergen</t>
        </is>
      </c>
      <c r="C806" s="58" t="inlineStr">
        <is>
          <t>Nick Melissari</t>
        </is>
      </c>
      <c r="D806" s="58" t="inlineStr">
        <is>
          <t>On-premise</t>
        </is>
      </c>
      <c r="E806" s="53" t="n">
        <v>40</v>
      </c>
      <c r="F806" s="53" t="n">
        <v>39</v>
      </c>
      <c r="G806" s="55" t="n">
        <v>403.17</v>
      </c>
      <c r="H806" s="55" t="n">
        <v>415.29</v>
      </c>
      <c r="I806" s="53" t="n">
        <v>42</v>
      </c>
      <c r="J806" s="53" t="n">
        <v>42</v>
      </c>
      <c r="K806" s="53" t="n">
        <v>10</v>
      </c>
      <c r="L806" s="53" t="n">
        <v>14</v>
      </c>
      <c r="M806" s="33">
        <f>F806-E806</f>
        <v/>
      </c>
      <c r="N806" s="33">
        <f>L806-K806</f>
        <v/>
      </c>
    </row>
    <row r="807">
      <c r="A807" s="58" t="inlineStr">
        <is>
          <t>31006 The Roosevelt</t>
        </is>
      </c>
      <c r="B807" s="58" t="inlineStr">
        <is>
          <t>Bergen</t>
        </is>
      </c>
      <c r="C807" s="58" t="inlineStr">
        <is>
          <t>Nick Melissari</t>
        </is>
      </c>
      <c r="D807" s="58" t="inlineStr">
        <is>
          <t>On-premise</t>
        </is>
      </c>
      <c r="E807" s="53" t="n">
        <v>60</v>
      </c>
      <c r="F807" s="53" t="n">
        <v>68</v>
      </c>
      <c r="G807" s="55" t="n">
        <v>486.41</v>
      </c>
      <c r="H807" s="55" t="n">
        <v>578.6400000000001</v>
      </c>
      <c r="I807" s="53" t="n">
        <v>3</v>
      </c>
      <c r="J807" s="53" t="n">
        <v>5</v>
      </c>
      <c r="K807" s="53" t="n">
        <v>0</v>
      </c>
      <c r="L807" s="53" t="n">
        <v>4</v>
      </c>
      <c r="M807" s="33">
        <f>F807-E807</f>
        <v/>
      </c>
      <c r="N807" s="33">
        <f>L807-K807</f>
        <v/>
      </c>
    </row>
    <row r="808">
      <c r="A808" s="58" t="inlineStr">
        <is>
          <t>37070 The Hive Bar &amp; Bistro</t>
        </is>
      </c>
      <c r="B808" s="58" t="inlineStr">
        <is>
          <t>Bergen</t>
        </is>
      </c>
      <c r="C808" s="58" t="inlineStr">
        <is>
          <t>Nick Melissari</t>
        </is>
      </c>
      <c r="D808" s="58" t="inlineStr">
        <is>
          <t>On-premise</t>
        </is>
      </c>
      <c r="E808" s="53" t="n">
        <v>126</v>
      </c>
      <c r="F808" s="53" t="n">
        <v>118</v>
      </c>
      <c r="G808" s="55" t="n">
        <v>1337.35</v>
      </c>
      <c r="H808" s="55" t="n">
        <v>1100.88</v>
      </c>
      <c r="I808" s="53" t="n">
        <v>48</v>
      </c>
      <c r="J808" s="53" t="n">
        <v>43</v>
      </c>
      <c r="K808" s="53" t="n">
        <v>0</v>
      </c>
      <c r="L808" s="53" t="n">
        <v>4</v>
      </c>
      <c r="M808" s="33">
        <f>F808-E808</f>
        <v/>
      </c>
      <c r="N808" s="33">
        <f>L808-K808</f>
        <v/>
      </c>
    </row>
    <row r="809">
      <c r="A809" s="58" t="inlineStr">
        <is>
          <t>21014 Ranchito Mi Peru</t>
        </is>
      </c>
      <c r="B809" s="58" t="inlineStr">
        <is>
          <t>Passaic</t>
        </is>
      </c>
      <c r="C809" s="58" t="inlineStr">
        <is>
          <t>Pablo Lopez</t>
        </is>
      </c>
      <c r="D809" s="58" t="inlineStr">
        <is>
          <t>On-premise</t>
        </is>
      </c>
      <c r="E809" s="53" t="n">
        <v>20</v>
      </c>
      <c r="F809" s="53" t="n">
        <v>234</v>
      </c>
      <c r="G809" s="55" t="n">
        <v>177.4</v>
      </c>
      <c r="H809" s="55" t="n">
        <v>2215.39</v>
      </c>
      <c r="I809" s="53" t="n">
        <v>0</v>
      </c>
      <c r="J809" s="53" t="n">
        <v>6</v>
      </c>
      <c r="K809" s="53" t="n">
        <v>0</v>
      </c>
      <c r="L809" s="53" t="n">
        <v>4</v>
      </c>
      <c r="M809" s="33">
        <f>F809-E809</f>
        <v/>
      </c>
      <c r="N809" s="33">
        <f>L809-K809</f>
        <v/>
      </c>
    </row>
    <row r="810">
      <c r="A810" s="58" t="inlineStr">
        <is>
          <t>22019 Noches De Colombia (Paterson)</t>
        </is>
      </c>
      <c r="B810" s="58" t="inlineStr">
        <is>
          <t>Passaic</t>
        </is>
      </c>
      <c r="C810" s="58" t="inlineStr">
        <is>
          <t>Pablo Lopez</t>
        </is>
      </c>
      <c r="D810" s="58" t="inlineStr">
        <is>
          <t>On-premise</t>
        </is>
      </c>
      <c r="E810" s="53" t="n">
        <v>104</v>
      </c>
      <c r="F810" s="53" t="n">
        <v>130</v>
      </c>
      <c r="G810" s="55" t="n">
        <v>1117.2</v>
      </c>
      <c r="H810" s="55" t="n">
        <v>1412.83</v>
      </c>
      <c r="I810" s="53" t="n">
        <v>7</v>
      </c>
      <c r="J810" s="53" t="n">
        <v>18</v>
      </c>
      <c r="K810" s="53" t="n">
        <v>1</v>
      </c>
      <c r="L810" s="53" t="n">
        <v>5</v>
      </c>
      <c r="M810" s="33">
        <f>F810-E810</f>
        <v/>
      </c>
      <c r="N810" s="33">
        <f>L810-K810</f>
        <v/>
      </c>
    </row>
    <row r="811">
      <c r="A811" s="58" t="inlineStr">
        <is>
          <t>27093 Galleria</t>
        </is>
      </c>
      <c r="B811" s="58" t="inlineStr">
        <is>
          <t>Passaic</t>
        </is>
      </c>
      <c r="C811" s="58" t="inlineStr">
        <is>
          <t>Pablo Lopez</t>
        </is>
      </c>
      <c r="D811" s="58" t="inlineStr">
        <is>
          <t>Unmatched</t>
        </is>
      </c>
      <c r="E811" s="53" t="n">
        <v>0</v>
      </c>
      <c r="F811" s="53" t="n">
        <v>19</v>
      </c>
      <c r="G811" s="55" t="n">
        <v>0</v>
      </c>
      <c r="H811" s="55" t="n">
        <v>204.71</v>
      </c>
      <c r="I811" s="53" t="n">
        <v>0</v>
      </c>
      <c r="J811" s="53" t="n">
        <v>3</v>
      </c>
      <c r="K811" s="53" t="n">
        <v>0</v>
      </c>
      <c r="L811" s="53" t="n">
        <v>4</v>
      </c>
      <c r="M811" s="33">
        <f>F811-E811</f>
        <v/>
      </c>
      <c r="N811" s="33">
        <f>L811-K811</f>
        <v/>
      </c>
    </row>
    <row r="812">
      <c r="A812" s="58" t="inlineStr">
        <is>
          <t>56016 Chapala Grill - Bergenfield</t>
        </is>
      </c>
      <c r="B812" s="58" t="inlineStr">
        <is>
          <t>Bergen</t>
        </is>
      </c>
      <c r="C812" s="58" t="inlineStr">
        <is>
          <t>Paul Mclaughlin</t>
        </is>
      </c>
      <c r="D812" s="58" t="inlineStr">
        <is>
          <t>On-premise</t>
        </is>
      </c>
      <c r="E812" s="53" t="n">
        <v>154</v>
      </c>
      <c r="F812" s="53" t="n">
        <v>196</v>
      </c>
      <c r="G812" s="55" t="n">
        <v>1422.51</v>
      </c>
      <c r="H812" s="55" t="n">
        <v>1884.28</v>
      </c>
      <c r="I812" s="53" t="n">
        <v>22</v>
      </c>
      <c r="J812" s="53" t="n">
        <v>41</v>
      </c>
      <c r="K812" s="53" t="n">
        <v>26</v>
      </c>
      <c r="L812" s="53" t="n">
        <v>30</v>
      </c>
      <c r="M812" s="33">
        <f>F812-E812</f>
        <v/>
      </c>
      <c r="N812" s="33">
        <f>L812-K812</f>
        <v/>
      </c>
    </row>
    <row r="813">
      <c r="A813" s="58" t="inlineStr">
        <is>
          <t>65003 Verana</t>
        </is>
      </c>
      <c r="B813" s="58" t="inlineStr">
        <is>
          <t>Bergen</t>
        </is>
      </c>
      <c r="C813" s="58" t="inlineStr">
        <is>
          <t>Paul Mclaughlin</t>
        </is>
      </c>
      <c r="D813" s="58" t="inlineStr">
        <is>
          <t>On-premise</t>
        </is>
      </c>
      <c r="E813" s="53" t="n">
        <v>9</v>
      </c>
      <c r="F813" s="53" t="n">
        <v>13</v>
      </c>
      <c r="G813" s="55" t="n">
        <v>75.51000000000001</v>
      </c>
      <c r="H813" s="55" t="n">
        <v>93.91</v>
      </c>
      <c r="I813" s="53" t="n">
        <v>2</v>
      </c>
      <c r="J813" s="53" t="n">
        <v>8</v>
      </c>
      <c r="K813" s="53" t="n">
        <v>9</v>
      </c>
      <c r="L813" s="53" t="n">
        <v>13</v>
      </c>
      <c r="M813" s="33">
        <f>F813-E813</f>
        <v/>
      </c>
      <c r="N813" s="33">
        <f>L813-K813</f>
        <v/>
      </c>
    </row>
    <row r="814">
      <c r="A814" s="58" t="inlineStr">
        <is>
          <t>81029 Cosmo Club (Z)</t>
        </is>
      </c>
      <c r="B814" s="58" t="inlineStr">
        <is>
          <t>Bergen</t>
        </is>
      </c>
      <c r="C814" s="58" t="inlineStr">
        <is>
          <t>Paul Mclaughlin</t>
        </is>
      </c>
      <c r="D814" s="58" t="inlineStr">
        <is>
          <t>On-premise</t>
        </is>
      </c>
      <c r="E814" s="53" t="n">
        <v>21</v>
      </c>
      <c r="F814" s="53" t="n">
        <v>23</v>
      </c>
      <c r="G814" s="55" t="n">
        <v>207.14</v>
      </c>
      <c r="H814" s="55" t="n">
        <v>209.72</v>
      </c>
      <c r="I814" s="53" t="n">
        <v>9</v>
      </c>
      <c r="J814" s="53" t="n">
        <v>24</v>
      </c>
      <c r="K814" s="53" t="n">
        <v>7</v>
      </c>
      <c r="L814" s="53" t="n">
        <v>11</v>
      </c>
      <c r="M814" s="33">
        <f>F814-E814</f>
        <v/>
      </c>
      <c r="N814" s="33">
        <f>L814-K814</f>
        <v/>
      </c>
    </row>
    <row r="815">
      <c r="A815" s="58" t="inlineStr">
        <is>
          <t>12023 The Village Inn</t>
        </is>
      </c>
      <c r="B815" s="58" t="inlineStr">
        <is>
          <t>Passaic</t>
        </is>
      </c>
      <c r="C815" s="58" t="inlineStr">
        <is>
          <t>Robin Feldman</t>
        </is>
      </c>
      <c r="D815" s="58" t="inlineStr">
        <is>
          <t>On-premise</t>
        </is>
      </c>
      <c r="E815" s="53" t="n">
        <v>84</v>
      </c>
      <c r="F815" s="53" t="n">
        <v>138</v>
      </c>
      <c r="G815" s="55" t="n">
        <v>672.9000000000001</v>
      </c>
      <c r="H815" s="55" t="n">
        <v>800.63</v>
      </c>
      <c r="I815" s="53" t="n">
        <v>55</v>
      </c>
      <c r="J815" s="53" t="n">
        <v>61</v>
      </c>
      <c r="K815" s="53" t="n">
        <v>4</v>
      </c>
      <c r="L815" s="53" t="n">
        <v>8</v>
      </c>
      <c r="M815" s="33">
        <f>F815-E815</f>
        <v/>
      </c>
      <c r="N815" s="33">
        <f>L815-K815</f>
        <v/>
      </c>
    </row>
    <row r="816">
      <c r="A816" s="58" t="inlineStr">
        <is>
          <t>71015 Park Ridge Vol Fire Dept</t>
        </is>
      </c>
      <c r="B816" s="58" t="inlineStr">
        <is>
          <t>Bergen</t>
        </is>
      </c>
      <c r="C816" s="58" t="inlineStr">
        <is>
          <t>Robin Feldman</t>
        </is>
      </c>
      <c r="D816" s="58" t="inlineStr">
        <is>
          <t>On-premise</t>
        </is>
      </c>
      <c r="E816" s="53" t="n">
        <v>0</v>
      </c>
      <c r="F816" s="53" t="n">
        <v>11</v>
      </c>
      <c r="G816" s="55" t="n">
        <v>0</v>
      </c>
      <c r="H816" s="55" t="n">
        <v>87.69000000000001</v>
      </c>
      <c r="I816" s="53" t="n">
        <v>0</v>
      </c>
      <c r="J816" s="53" t="n">
        <v>0</v>
      </c>
      <c r="K816" s="53" t="n">
        <v>0</v>
      </c>
      <c r="L816" s="53" t="n">
        <v>4</v>
      </c>
      <c r="M816" s="33">
        <f>F816-E816</f>
        <v/>
      </c>
      <c r="N816" s="33">
        <f>L816-K816</f>
        <v/>
      </c>
    </row>
    <row r="817">
      <c r="A817" s="58" t="inlineStr">
        <is>
          <t>191524 GRIFFIN &amp; HOWE</t>
        </is>
      </c>
      <c r="B817" s="58" t="inlineStr">
        <is>
          <t>Sussex</t>
        </is>
      </c>
      <c r="C817" s="58" t="inlineStr">
        <is>
          <t>Robin Feldman</t>
        </is>
      </c>
      <c r="D817" s="58" t="inlineStr">
        <is>
          <t>On-premise</t>
        </is>
      </c>
      <c r="E817" s="53" t="n">
        <v>25</v>
      </c>
      <c r="F817" s="53" t="n">
        <v>40</v>
      </c>
      <c r="G817" s="55" t="n">
        <v>208.3</v>
      </c>
      <c r="H817" s="55" t="n">
        <v>375.31</v>
      </c>
      <c r="I817" s="53" t="n">
        <v>0</v>
      </c>
      <c r="J817" s="53" t="n">
        <v>3</v>
      </c>
      <c r="K817" s="53" t="n">
        <v>12</v>
      </c>
      <c r="L817" s="53" t="n">
        <v>16</v>
      </c>
      <c r="M817" s="33">
        <f>F817-E817</f>
        <v/>
      </c>
      <c r="N817" s="33">
        <f>L817-K817</f>
        <v/>
      </c>
    </row>
    <row r="818">
      <c r="A818" s="58" t="inlineStr">
        <is>
          <t>88009 Matthew Colonial Rest(A)</t>
        </is>
      </c>
      <c r="B818" s="58" t="inlineStr">
        <is>
          <t>Bergen</t>
        </is>
      </c>
      <c r="C818" s="58" t="inlineStr">
        <is>
          <t>Robin Feldman</t>
        </is>
      </c>
      <c r="D818" s="58" t="inlineStr">
        <is>
          <t>On-premise</t>
        </is>
      </c>
      <c r="E818" s="53" t="n">
        <v>0</v>
      </c>
      <c r="F818" s="53" t="n">
        <v>7</v>
      </c>
      <c r="G818" s="55" t="n">
        <v>0</v>
      </c>
      <c r="H818" s="55" t="n">
        <v>75.40000000000001</v>
      </c>
      <c r="I818" s="53" t="n">
        <v>0</v>
      </c>
      <c r="J818" s="53" t="n">
        <v>3</v>
      </c>
      <c r="K818" s="53" t="n">
        <v>0</v>
      </c>
      <c r="L818" s="53" t="n">
        <v>4</v>
      </c>
      <c r="M818" s="33">
        <f>F818-E818</f>
        <v/>
      </c>
      <c r="N818" s="33">
        <f>L818-K818</f>
        <v/>
      </c>
    </row>
    <row r="819">
      <c r="A819" s="58" t="inlineStr">
        <is>
          <t>28033 Homewood Suites By Hilton</t>
        </is>
      </c>
      <c r="B819" s="58" t="inlineStr">
        <is>
          <t>Bergen</t>
        </is>
      </c>
      <c r="C819" s="58" t="inlineStr">
        <is>
          <t>Robin Feldman</t>
        </is>
      </c>
      <c r="D819" s="58" t="inlineStr">
        <is>
          <t>On-premise</t>
        </is>
      </c>
      <c r="E819" s="53" t="n">
        <v>62</v>
      </c>
      <c r="F819" s="53" t="n">
        <v>45</v>
      </c>
      <c r="G819" s="55" t="n">
        <v>437.09</v>
      </c>
      <c r="H819" s="55" t="n">
        <v>488.28</v>
      </c>
      <c r="I819" s="53" t="n">
        <v>24</v>
      </c>
      <c r="J819" s="53" t="n">
        <v>13</v>
      </c>
      <c r="K819" s="53" t="n">
        <v>5</v>
      </c>
      <c r="L819" s="53" t="n">
        <v>9</v>
      </c>
      <c r="M819" s="33">
        <f>F819-E819</f>
        <v/>
      </c>
      <c r="N819" s="33">
        <f>L819-K819</f>
        <v/>
      </c>
    </row>
    <row r="820">
      <c r="A820" s="58" t="inlineStr">
        <is>
          <t>19014 Macaluso's (P)</t>
        </is>
      </c>
      <c r="B820" s="58" t="inlineStr">
        <is>
          <t>Passaic</t>
        </is>
      </c>
      <c r="C820" s="58" t="inlineStr">
        <is>
          <t>Robin Feldman</t>
        </is>
      </c>
      <c r="D820" s="58" t="inlineStr">
        <is>
          <t>On-premise</t>
        </is>
      </c>
      <c r="E820" s="53" t="n">
        <v>43</v>
      </c>
      <c r="F820" s="53" t="n">
        <v>54</v>
      </c>
      <c r="G820" s="55" t="n">
        <v>405.3</v>
      </c>
      <c r="H820" s="55" t="n">
        <v>489.66</v>
      </c>
      <c r="I820" s="53" t="n">
        <v>0</v>
      </c>
      <c r="J820" s="53" t="n">
        <v>13</v>
      </c>
      <c r="K820" s="53" t="n">
        <v>0</v>
      </c>
      <c r="L820" s="53" t="n">
        <v>4</v>
      </c>
      <c r="M820" s="33">
        <f>F820-E820</f>
        <v/>
      </c>
      <c r="N820" s="33">
        <f>L820-K820</f>
        <v/>
      </c>
    </row>
    <row r="821">
      <c r="A821" s="58" t="inlineStr">
        <is>
          <t>42015 Amer Lgn (Z) Little Ferry</t>
        </is>
      </c>
      <c r="B821" s="58" t="inlineStr">
        <is>
          <t>Bergen</t>
        </is>
      </c>
      <c r="C821" s="58" t="inlineStr">
        <is>
          <t>Robin Feldman</t>
        </is>
      </c>
      <c r="D821" s="58" t="inlineStr">
        <is>
          <t>On-premise</t>
        </is>
      </c>
      <c r="E821" s="53" t="n">
        <v>139</v>
      </c>
      <c r="F821" s="53" t="n">
        <v>177</v>
      </c>
      <c r="G821" s="55" t="n">
        <v>1136.77</v>
      </c>
      <c r="H821" s="55" t="n">
        <v>1354.45</v>
      </c>
      <c r="I821" s="53" t="n">
        <v>56</v>
      </c>
      <c r="J821" s="53" t="n">
        <v>43</v>
      </c>
      <c r="K821" s="53" t="n">
        <v>4</v>
      </c>
      <c r="L821" s="53" t="n">
        <v>8</v>
      </c>
      <c r="M821" s="33">
        <f>F821-E821</f>
        <v/>
      </c>
      <c r="N821" s="33">
        <f>L821-K821</f>
        <v/>
      </c>
    </row>
    <row r="822">
      <c r="A822" s="58" t="inlineStr">
        <is>
          <t>60016 Elks Post (Z) Dumont</t>
        </is>
      </c>
      <c r="B822" s="58" t="inlineStr">
        <is>
          <t>Bergen</t>
        </is>
      </c>
      <c r="C822" s="58" t="inlineStr">
        <is>
          <t>Robin Feldman</t>
        </is>
      </c>
      <c r="D822" s="58" t="inlineStr">
        <is>
          <t>On-premise</t>
        </is>
      </c>
      <c r="E822" s="53" t="n">
        <v>78</v>
      </c>
      <c r="F822" s="53" t="n">
        <v>58</v>
      </c>
      <c r="G822" s="55" t="n">
        <v>583.88</v>
      </c>
      <c r="H822" s="55" t="n">
        <v>427.97</v>
      </c>
      <c r="I822" s="53" t="n">
        <v>15</v>
      </c>
      <c r="J822" s="53" t="n">
        <v>20</v>
      </c>
      <c r="K822" s="53" t="n">
        <v>0</v>
      </c>
      <c r="L822" s="53" t="n">
        <v>4</v>
      </c>
      <c r="M822" s="33">
        <f>F822-E822</f>
        <v/>
      </c>
      <c r="N822" s="33">
        <f>L822-K822</f>
        <v/>
      </c>
    </row>
    <row r="823">
      <c r="A823" s="58" t="inlineStr">
        <is>
          <t>230429 Chun Bo (P) Restaurant</t>
        </is>
      </c>
      <c r="B823" s="58" t="inlineStr">
        <is>
          <t>Sussex</t>
        </is>
      </c>
      <c r="C823" s="58" t="inlineStr">
        <is>
          <t>Robin Feldman</t>
        </is>
      </c>
      <c r="D823" s="58" t="inlineStr">
        <is>
          <t>On-premise</t>
        </is>
      </c>
      <c r="E823" s="53" t="n">
        <v>2</v>
      </c>
      <c r="F823" s="53" t="n">
        <v>5</v>
      </c>
      <c r="G823" s="55" t="n">
        <v>18.29</v>
      </c>
      <c r="H823" s="55" t="n">
        <v>63.51</v>
      </c>
      <c r="I823" s="53" t="n">
        <v>8</v>
      </c>
      <c r="J823" s="53" t="n">
        <v>15</v>
      </c>
      <c r="K823" s="53" t="n">
        <v>0</v>
      </c>
      <c r="L823" s="53" t="n">
        <v>4</v>
      </c>
      <c r="M823" s="33">
        <f>F823-E823</f>
        <v/>
      </c>
      <c r="N823" s="33">
        <f>L823-K823</f>
        <v/>
      </c>
    </row>
    <row r="824">
      <c r="A824" s="58" t="inlineStr">
        <is>
          <t>150052 Bottle King Glen Ridge</t>
        </is>
      </c>
      <c r="B824" s="58" t="inlineStr">
        <is>
          <t>Essex</t>
        </is>
      </c>
      <c r="C824" s="58" t="inlineStr">
        <is>
          <t>Alisa Acciardi</t>
        </is>
      </c>
      <c r="D824" s="58" t="inlineStr">
        <is>
          <t>Off-premise</t>
        </is>
      </c>
      <c r="E824" s="53" t="n">
        <v>86</v>
      </c>
      <c r="F824" s="53" t="n">
        <v>89</v>
      </c>
      <c r="G824" s="55" t="n">
        <v>584.2</v>
      </c>
      <c r="H824" s="55" t="n">
        <v>584.16</v>
      </c>
      <c r="I824" s="53" t="n">
        <v>1751</v>
      </c>
      <c r="J824" s="53" t="n">
        <v>1636</v>
      </c>
      <c r="K824" s="53" t="n">
        <v>86</v>
      </c>
      <c r="L824" s="53" t="n">
        <v>89</v>
      </c>
      <c r="M824" s="33">
        <f>F824-E824</f>
        <v/>
      </c>
      <c r="N824" s="33">
        <f>L824-K824</f>
        <v/>
      </c>
    </row>
    <row r="825">
      <c r="A825" s="58" t="inlineStr">
        <is>
          <t>12013 Jalapenos Mexican Grill</t>
        </is>
      </c>
      <c r="B825" s="58" t="inlineStr">
        <is>
          <t>Passaic</t>
        </is>
      </c>
      <c r="C825" s="58" t="inlineStr">
        <is>
          <t>Allison Scott</t>
        </is>
      </c>
      <c r="D825" s="58" t="inlineStr">
        <is>
          <t>On-premise</t>
        </is>
      </c>
      <c r="E825" s="53" t="n">
        <v>127</v>
      </c>
      <c r="F825" s="53" t="n">
        <v>151</v>
      </c>
      <c r="G825" s="55" t="n">
        <v>1146.65</v>
      </c>
      <c r="H825" s="55" t="n">
        <v>1373.82</v>
      </c>
      <c r="I825" s="53" t="n">
        <v>17</v>
      </c>
      <c r="J825" s="53" t="n">
        <v>30</v>
      </c>
      <c r="K825" s="53" t="n">
        <v>6</v>
      </c>
      <c r="L825" s="53" t="n">
        <v>9</v>
      </c>
      <c r="M825" s="33">
        <f>F825-E825</f>
        <v/>
      </c>
      <c r="N825" s="33">
        <f>L825-K825</f>
        <v/>
      </c>
    </row>
    <row r="826">
      <c r="A826" s="58" t="inlineStr">
        <is>
          <t>12054 Red Lobster 225 Wayne</t>
        </is>
      </c>
      <c r="B826" s="58" t="inlineStr">
        <is>
          <t>Passaic</t>
        </is>
      </c>
      <c r="C826" s="58" t="inlineStr">
        <is>
          <t>Allison Scott</t>
        </is>
      </c>
      <c r="D826" s="58" t="inlineStr">
        <is>
          <t>On-premise</t>
        </is>
      </c>
      <c r="E826" s="53" t="n">
        <v>73</v>
      </c>
      <c r="F826" s="53" t="n">
        <v>66</v>
      </c>
      <c r="G826" s="55" t="n">
        <v>718.2800000000001</v>
      </c>
      <c r="H826" s="55" t="n">
        <v>719.13</v>
      </c>
      <c r="I826" s="53" t="n">
        <v>22</v>
      </c>
      <c r="J826" s="53" t="n">
        <v>12</v>
      </c>
      <c r="K826" s="53" t="n">
        <v>1</v>
      </c>
      <c r="L826" s="53" t="n">
        <v>4</v>
      </c>
      <c r="M826" s="33">
        <f>F826-E826</f>
        <v/>
      </c>
      <c r="N826" s="33">
        <f>L826-K826</f>
        <v/>
      </c>
    </row>
    <row r="827">
      <c r="A827" s="58" t="inlineStr">
        <is>
          <t>25056 Emerald Corner (Z)</t>
        </is>
      </c>
      <c r="B827" s="58" t="inlineStr">
        <is>
          <t>Passaic</t>
        </is>
      </c>
      <c r="C827" s="58" t="inlineStr">
        <is>
          <t>Allison Scott</t>
        </is>
      </c>
      <c r="D827" s="58" t="inlineStr">
        <is>
          <t>On-premise</t>
        </is>
      </c>
      <c r="E827" s="53" t="n">
        <v>652</v>
      </c>
      <c r="F827" s="53" t="n">
        <v>625</v>
      </c>
      <c r="G827" s="55" t="n">
        <v>3832.75</v>
      </c>
      <c r="H827" s="55" t="n">
        <v>3956</v>
      </c>
      <c r="I827" s="53" t="n">
        <v>34</v>
      </c>
      <c r="J827" s="53" t="n">
        <v>26</v>
      </c>
      <c r="K827" s="53" t="n">
        <v>0</v>
      </c>
      <c r="L827" s="53" t="n">
        <v>3</v>
      </c>
      <c r="M827" s="33">
        <f>F827-E827</f>
        <v/>
      </c>
      <c r="N827" s="33">
        <f>L827-K827</f>
        <v/>
      </c>
    </row>
    <row r="828">
      <c r="A828" s="58" t="inlineStr">
        <is>
          <t>250087 House of Wine &amp; Liquor Westfield</t>
        </is>
      </c>
      <c r="B828" s="58" t="inlineStr">
        <is>
          <t>Union</t>
        </is>
      </c>
      <c r="C828" s="58" t="inlineStr">
        <is>
          <t>Andrew Lundy</t>
        </is>
      </c>
      <c r="D828" s="58" t="inlineStr">
        <is>
          <t>Off-premise</t>
        </is>
      </c>
      <c r="E828" s="53" t="n">
        <v>27</v>
      </c>
      <c r="F828" s="53" t="n">
        <v>30</v>
      </c>
      <c r="G828" s="55" t="n">
        <v>198.46</v>
      </c>
      <c r="H828" s="55" t="n">
        <v>218.05</v>
      </c>
      <c r="I828" s="53" t="n">
        <v>273</v>
      </c>
      <c r="J828" s="53" t="n">
        <v>295</v>
      </c>
      <c r="K828" s="53" t="n">
        <v>27</v>
      </c>
      <c r="L828" s="53" t="n">
        <v>30</v>
      </c>
      <c r="M828" s="33">
        <f>F828-E828</f>
        <v/>
      </c>
      <c r="N828" s="33">
        <f>L828-K828</f>
        <v/>
      </c>
    </row>
    <row r="829">
      <c r="A829" s="58" t="inlineStr">
        <is>
          <t>250442 Liquor Rangers</t>
        </is>
      </c>
      <c r="B829" s="58" t="inlineStr">
        <is>
          <t>Union</t>
        </is>
      </c>
      <c r="C829" s="58" t="inlineStr">
        <is>
          <t>Andrew Lundy</t>
        </is>
      </c>
      <c r="D829" s="58" t="inlineStr">
        <is>
          <t>Off-premise</t>
        </is>
      </c>
      <c r="E829" s="53" t="n">
        <v>7</v>
      </c>
      <c r="F829" s="53" t="n">
        <v>10</v>
      </c>
      <c r="G829" s="55" t="n">
        <v>83.34</v>
      </c>
      <c r="H829" s="55" t="n">
        <v>70.84</v>
      </c>
      <c r="I829" s="53" t="n">
        <v>3</v>
      </c>
      <c r="J829" s="53" t="n">
        <v>33</v>
      </c>
      <c r="K829" s="53" t="n">
        <v>7</v>
      </c>
      <c r="L829" s="53" t="n">
        <v>10</v>
      </c>
      <c r="M829" s="33">
        <f>F829-E829</f>
        <v/>
      </c>
      <c r="N829" s="33">
        <f>L829-K829</f>
        <v/>
      </c>
    </row>
    <row r="830">
      <c r="A830" s="58" t="inlineStr">
        <is>
          <t>251005 Home Wines &amp; Liquors (360 Union)</t>
        </is>
      </c>
      <c r="B830" s="58" t="inlineStr">
        <is>
          <t>Union</t>
        </is>
      </c>
      <c r="C830" s="58" t="inlineStr">
        <is>
          <t>Andrew Lundy</t>
        </is>
      </c>
      <c r="D830" s="58" t="inlineStr">
        <is>
          <t>Off-premise</t>
        </is>
      </c>
      <c r="E830" s="53" t="n">
        <v>34</v>
      </c>
      <c r="F830" s="53" t="n">
        <v>37</v>
      </c>
      <c r="G830" s="55" t="n">
        <v>224.43</v>
      </c>
      <c r="H830" s="55" t="n">
        <v>267.63</v>
      </c>
      <c r="I830" s="53" t="n">
        <v>191</v>
      </c>
      <c r="J830" s="53" t="n">
        <v>207</v>
      </c>
      <c r="K830" s="53" t="n">
        <v>34</v>
      </c>
      <c r="L830" s="53" t="n">
        <v>37</v>
      </c>
      <c r="M830" s="33">
        <f>F830-E830</f>
        <v/>
      </c>
      <c r="N830" s="33">
        <f>L830-K830</f>
        <v/>
      </c>
    </row>
    <row r="831">
      <c r="A831" s="58" t="inlineStr">
        <is>
          <t>4007 Karls Stumble Inn</t>
        </is>
      </c>
      <c r="B831" s="58" t="inlineStr">
        <is>
          <t>Passaic</t>
        </is>
      </c>
      <c r="C831" s="58" t="inlineStr">
        <is>
          <t>Anthony Palmisano</t>
        </is>
      </c>
      <c r="D831" s="58" t="inlineStr">
        <is>
          <t>On-premise</t>
        </is>
      </c>
      <c r="E831" s="53" t="n">
        <v>397</v>
      </c>
      <c r="F831" s="53" t="n">
        <v>414</v>
      </c>
      <c r="G831" s="55" t="n">
        <v>2349.72</v>
      </c>
      <c r="H831" s="55" t="n">
        <v>2119.71</v>
      </c>
      <c r="I831" s="53" t="n">
        <v>45</v>
      </c>
      <c r="J831" s="53" t="n">
        <v>38</v>
      </c>
      <c r="K831" s="53" t="n">
        <v>4</v>
      </c>
      <c r="L831" s="53" t="n">
        <v>7</v>
      </c>
      <c r="M831" s="33">
        <f>F831-E831</f>
        <v/>
      </c>
      <c r="N831" s="33">
        <f>L831-K831</f>
        <v/>
      </c>
    </row>
    <row r="832">
      <c r="A832" s="58" t="inlineStr">
        <is>
          <t>3018 La Catrina</t>
        </is>
      </c>
      <c r="B832" s="58" t="inlineStr">
        <is>
          <t>Passaic</t>
        </is>
      </c>
      <c r="C832" s="58" t="inlineStr">
        <is>
          <t>Anthony Palmisano</t>
        </is>
      </c>
      <c r="D832" s="58" t="inlineStr">
        <is>
          <t>Unmatched</t>
        </is>
      </c>
      <c r="E832" s="53" t="n">
        <v>0</v>
      </c>
      <c r="F832" s="53" t="n">
        <v>19</v>
      </c>
      <c r="G832" s="55" t="n">
        <v>0</v>
      </c>
      <c r="H832" s="55" t="n">
        <v>177.42</v>
      </c>
      <c r="I832" s="53" t="n">
        <v>0</v>
      </c>
      <c r="J832" s="53" t="n">
        <v>4</v>
      </c>
      <c r="K832" s="53" t="n">
        <v>0</v>
      </c>
      <c r="L832" s="53" t="n">
        <v>3</v>
      </c>
      <c r="M832" s="33">
        <f>F832-E832</f>
        <v/>
      </c>
      <c r="N832" s="33">
        <f>L832-K832</f>
        <v/>
      </c>
    </row>
    <row r="833">
      <c r="A833" s="58" t="inlineStr">
        <is>
          <t>191008 Jefferson Diner &amp; Tav(P)</t>
        </is>
      </c>
      <c r="B833" s="58" t="inlineStr">
        <is>
          <t>Morris</t>
        </is>
      </c>
      <c r="C833" s="58" t="inlineStr">
        <is>
          <t>Brian Sengebush</t>
        </is>
      </c>
      <c r="D833" s="58" t="inlineStr">
        <is>
          <t>On-premise</t>
        </is>
      </c>
      <c r="E833" s="53" t="n">
        <v>96</v>
      </c>
      <c r="F833" s="53" t="n">
        <v>112</v>
      </c>
      <c r="G833" s="55" t="n">
        <v>675.3500000000001</v>
      </c>
      <c r="H833" s="55" t="n">
        <v>869.1</v>
      </c>
      <c r="I833" s="53" t="n">
        <v>36</v>
      </c>
      <c r="J833" s="53" t="n">
        <v>49</v>
      </c>
      <c r="K833" s="53" t="n">
        <v>5</v>
      </c>
      <c r="L833" s="53" t="n">
        <v>8</v>
      </c>
      <c r="M833" s="33">
        <f>F833-E833</f>
        <v/>
      </c>
      <c r="N833" s="33">
        <f>L833-K833</f>
        <v/>
      </c>
    </row>
    <row r="834">
      <c r="A834" s="58" t="inlineStr">
        <is>
          <t>191618 Polo's Bar And Grill</t>
        </is>
      </c>
      <c r="B834" s="58" t="inlineStr">
        <is>
          <t>Morris</t>
        </is>
      </c>
      <c r="C834" s="58" t="inlineStr">
        <is>
          <t>Brian Sengebush</t>
        </is>
      </c>
      <c r="D834" s="58" t="inlineStr">
        <is>
          <t>On-premise</t>
        </is>
      </c>
      <c r="E834" s="53" t="n">
        <v>137</v>
      </c>
      <c r="F834" s="53" t="n">
        <v>167</v>
      </c>
      <c r="G834" s="55" t="n">
        <v>812.88</v>
      </c>
      <c r="H834" s="55" t="n">
        <v>1233.6</v>
      </c>
      <c r="I834" s="53" t="n">
        <v>19</v>
      </c>
      <c r="J834" s="53" t="n">
        <v>20</v>
      </c>
      <c r="K834" s="53" t="n">
        <v>8</v>
      </c>
      <c r="L834" s="53" t="n">
        <v>11</v>
      </c>
      <c r="M834" s="33">
        <f>F834-E834</f>
        <v/>
      </c>
      <c r="N834" s="33">
        <f>L834-K834</f>
        <v/>
      </c>
    </row>
    <row r="835">
      <c r="A835" s="58" t="inlineStr">
        <is>
          <t>191722 Jeffrey A Miller Catering</t>
        </is>
      </c>
      <c r="B835" s="58" t="inlineStr">
        <is>
          <t>Sussex</t>
        </is>
      </c>
      <c r="C835" s="58" t="inlineStr">
        <is>
          <t>Brian Sengebush</t>
        </is>
      </c>
      <c r="D835" s="58" t="inlineStr">
        <is>
          <t>On-premise</t>
        </is>
      </c>
      <c r="E835" s="53" t="n">
        <v>49</v>
      </c>
      <c r="F835" s="53" t="n">
        <v>42</v>
      </c>
      <c r="G835" s="55" t="n">
        <v>426</v>
      </c>
      <c r="H835" s="55" t="n">
        <v>302.94</v>
      </c>
      <c r="I835" s="53" t="n">
        <v>1</v>
      </c>
      <c r="J835" s="53" t="n">
        <v>1</v>
      </c>
      <c r="K835" s="53" t="n">
        <v>0</v>
      </c>
      <c r="L835" s="53" t="n">
        <v>3</v>
      </c>
      <c r="M835" s="33">
        <f>F835-E835</f>
        <v/>
      </c>
      <c r="N835" s="33">
        <f>L835-K835</f>
        <v/>
      </c>
    </row>
    <row r="836">
      <c r="A836" s="58" t="inlineStr">
        <is>
          <t>190219 Columbia Inn</t>
        </is>
      </c>
      <c r="B836" s="58" t="inlineStr">
        <is>
          <t>Morris</t>
        </is>
      </c>
      <c r="C836" s="58" t="inlineStr">
        <is>
          <t>Brian Sengebush</t>
        </is>
      </c>
      <c r="D836" s="58" t="inlineStr">
        <is>
          <t>On-premise</t>
        </is>
      </c>
      <c r="E836" s="53" t="n">
        <v>94</v>
      </c>
      <c r="F836" s="53" t="n">
        <v>89</v>
      </c>
      <c r="G836" s="55" t="n">
        <v>952.7299999999999</v>
      </c>
      <c r="H836" s="55" t="n">
        <v>860.17</v>
      </c>
      <c r="I836" s="53" t="n">
        <v>29</v>
      </c>
      <c r="J836" s="53" t="n">
        <v>14</v>
      </c>
      <c r="K836" s="53" t="n">
        <v>27</v>
      </c>
      <c r="L836" s="53" t="n">
        <v>30</v>
      </c>
      <c r="M836" s="33">
        <f>F836-E836</f>
        <v/>
      </c>
      <c r="N836" s="33">
        <f>L836-K836</f>
        <v/>
      </c>
    </row>
    <row r="837">
      <c r="A837" s="58" t="inlineStr">
        <is>
          <t>191502 Alice's (Z)</t>
        </is>
      </c>
      <c r="B837" s="58" t="inlineStr">
        <is>
          <t>Morris</t>
        </is>
      </c>
      <c r="C837" s="58" t="inlineStr">
        <is>
          <t>Brian Sengebush</t>
        </is>
      </c>
      <c r="D837" s="58" t="inlineStr">
        <is>
          <t>On-premise</t>
        </is>
      </c>
      <c r="E837" s="53" t="n">
        <v>103</v>
      </c>
      <c r="F837" s="53" t="n">
        <v>117</v>
      </c>
      <c r="G837" s="55" t="n">
        <v>698.47</v>
      </c>
      <c r="H837" s="55" t="n">
        <v>939.49</v>
      </c>
      <c r="I837" s="53" t="n">
        <v>85</v>
      </c>
      <c r="J837" s="53" t="n">
        <v>63</v>
      </c>
      <c r="K837" s="53" t="n">
        <v>2</v>
      </c>
      <c r="L837" s="53" t="n">
        <v>5</v>
      </c>
      <c r="M837" s="33">
        <f>F837-E837</f>
        <v/>
      </c>
      <c r="N837" s="33">
        <f>L837-K837</f>
        <v/>
      </c>
    </row>
    <row r="838">
      <c r="A838" s="58" t="inlineStr">
        <is>
          <t>190306 Lena y Carbon VII Parsippany</t>
        </is>
      </c>
      <c r="B838" s="58" t="inlineStr">
        <is>
          <t>Morris</t>
        </is>
      </c>
      <c r="C838" s="58" t="inlineStr">
        <is>
          <t>Brian Sengebush</t>
        </is>
      </c>
      <c r="D838" s="58" t="inlineStr">
        <is>
          <t>On-premise</t>
        </is>
      </c>
      <c r="E838" s="53" t="n">
        <v>65</v>
      </c>
      <c r="F838" s="53" t="n">
        <v>92</v>
      </c>
      <c r="G838" s="55" t="n">
        <v>613.23</v>
      </c>
      <c r="H838" s="55" t="n">
        <v>828</v>
      </c>
      <c r="I838" s="53" t="n">
        <v>12</v>
      </c>
      <c r="J838" s="53" t="n">
        <v>15</v>
      </c>
      <c r="K838" s="53" t="n">
        <v>1</v>
      </c>
      <c r="L838" s="53" t="n">
        <v>4</v>
      </c>
      <c r="M838" s="33">
        <f>F838-E838</f>
        <v/>
      </c>
      <c r="N838" s="33">
        <f>L838-K838</f>
        <v/>
      </c>
    </row>
    <row r="839">
      <c r="A839" s="58" t="inlineStr">
        <is>
          <t>78011 Nanni's (A)</t>
        </is>
      </c>
      <c r="B839" s="58" t="inlineStr">
        <is>
          <t>Bergen</t>
        </is>
      </c>
      <c r="C839" s="58" t="inlineStr">
        <is>
          <t>Chris Payton</t>
        </is>
      </c>
      <c r="D839" s="58" t="inlineStr">
        <is>
          <t>On-premise</t>
        </is>
      </c>
      <c r="E839" s="53" t="n">
        <v>10</v>
      </c>
      <c r="F839" s="53" t="n">
        <v>14</v>
      </c>
      <c r="G839" s="55" t="n">
        <v>80.42</v>
      </c>
      <c r="H839" s="55" t="n">
        <v>120.64</v>
      </c>
      <c r="I839" s="53" t="n">
        <v>0</v>
      </c>
      <c r="J839" s="53" t="n">
        <v>2</v>
      </c>
      <c r="K839" s="53" t="n">
        <v>6</v>
      </c>
      <c r="L839" s="53" t="n">
        <v>9</v>
      </c>
      <c r="M839" s="33">
        <f>F839-E839</f>
        <v/>
      </c>
      <c r="N839" s="33">
        <f>L839-K839</f>
        <v/>
      </c>
    </row>
    <row r="840">
      <c r="A840" s="58" t="inlineStr">
        <is>
          <t>47017 Westside Village (A)</t>
        </is>
      </c>
      <c r="B840" s="58" t="inlineStr">
        <is>
          <t>Bergen</t>
        </is>
      </c>
      <c r="C840" s="58" t="inlineStr">
        <is>
          <t>Chris Payton</t>
        </is>
      </c>
      <c r="D840" s="58" t="inlineStr">
        <is>
          <t>On-premise</t>
        </is>
      </c>
      <c r="E840" s="53" t="n">
        <v>154</v>
      </c>
      <c r="F840" s="53" t="n">
        <v>129</v>
      </c>
      <c r="G840" s="55" t="n">
        <v>1296.4</v>
      </c>
      <c r="H840" s="55" t="n">
        <v>1073.93</v>
      </c>
      <c r="I840" s="53" t="n">
        <v>18</v>
      </c>
      <c r="J840" s="53" t="n">
        <v>14</v>
      </c>
      <c r="K840" s="53" t="n">
        <v>0</v>
      </c>
      <c r="L840" s="53" t="n">
        <v>3</v>
      </c>
      <c r="M840" s="33">
        <f>F840-E840</f>
        <v/>
      </c>
      <c r="N840" s="33">
        <f>L840-K840</f>
        <v/>
      </c>
    </row>
    <row r="841">
      <c r="A841" s="58" t="inlineStr">
        <is>
          <t>44027 354 Steakhouse (A)</t>
        </is>
      </c>
      <c r="B841" s="58" t="inlineStr">
        <is>
          <t>Bergen</t>
        </is>
      </c>
      <c r="C841" s="58" t="inlineStr">
        <is>
          <t>Dan Lagala</t>
        </is>
      </c>
      <c r="D841" s="58" t="inlineStr">
        <is>
          <t>On-premise</t>
        </is>
      </c>
      <c r="E841" s="53" t="n">
        <v>66</v>
      </c>
      <c r="F841" s="53" t="n">
        <v>67</v>
      </c>
      <c r="G841" s="55" t="n">
        <v>653.1700000000001</v>
      </c>
      <c r="H841" s="55" t="n">
        <v>724.62</v>
      </c>
      <c r="I841" s="53" t="n">
        <v>10</v>
      </c>
      <c r="J841" s="53" t="n">
        <v>13</v>
      </c>
      <c r="K841" s="53" t="n">
        <v>16</v>
      </c>
      <c r="L841" s="53" t="n">
        <v>19</v>
      </c>
      <c r="M841" s="33">
        <f>F841-E841</f>
        <v/>
      </c>
      <c r="N841" s="33">
        <f>L841-K841</f>
        <v/>
      </c>
    </row>
    <row r="842">
      <c r="A842" s="58" t="inlineStr">
        <is>
          <t>49050 Bada Story (Z)</t>
        </is>
      </c>
      <c r="B842" s="58" t="inlineStr">
        <is>
          <t>Bergen</t>
        </is>
      </c>
      <c r="C842" s="58" t="inlineStr">
        <is>
          <t>Dan Lagala</t>
        </is>
      </c>
      <c r="D842" s="58" t="inlineStr">
        <is>
          <t>On-premise</t>
        </is>
      </c>
      <c r="E842" s="53" t="n">
        <v>10</v>
      </c>
      <c r="F842" s="53" t="n">
        <v>22</v>
      </c>
      <c r="G842" s="55" t="n">
        <v>107.11</v>
      </c>
      <c r="H842" s="55" t="n">
        <v>194.19</v>
      </c>
      <c r="I842" s="53" t="n">
        <v>0</v>
      </c>
      <c r="J842" s="53" t="n">
        <v>0</v>
      </c>
      <c r="K842" s="53" t="n">
        <v>0</v>
      </c>
      <c r="L842" s="53" t="n">
        <v>3</v>
      </c>
      <c r="M842" s="33">
        <f>F842-E842</f>
        <v/>
      </c>
      <c r="N842" s="33">
        <f>L842-K842</f>
        <v/>
      </c>
    </row>
    <row r="843">
      <c r="A843" s="58" t="inlineStr">
        <is>
          <t>49024 Ventana's Restaurant</t>
        </is>
      </c>
      <c r="B843" s="58" t="inlineStr">
        <is>
          <t>Bergen</t>
        </is>
      </c>
      <c r="C843" s="58" t="inlineStr">
        <is>
          <t>Dan Lagala</t>
        </is>
      </c>
      <c r="D843" s="58" t="inlineStr">
        <is>
          <t>On-premise</t>
        </is>
      </c>
      <c r="E843" s="53" t="n">
        <v>70</v>
      </c>
      <c r="F843" s="53" t="n">
        <v>67</v>
      </c>
      <c r="G843" s="55" t="n">
        <v>765.0599999999999</v>
      </c>
      <c r="H843" s="55" t="n">
        <v>753.1899999999999</v>
      </c>
      <c r="I843" s="53" t="n">
        <v>17</v>
      </c>
      <c r="J843" s="53" t="n">
        <v>12</v>
      </c>
      <c r="K843" s="53" t="n">
        <v>11</v>
      </c>
      <c r="L843" s="53" t="n">
        <v>14</v>
      </c>
      <c r="M843" s="33">
        <f>F843-E843</f>
        <v/>
      </c>
      <c r="N843" s="33">
        <f>L843-K843</f>
        <v/>
      </c>
    </row>
    <row r="844">
      <c r="A844" s="58" t="inlineStr">
        <is>
          <t>52008 Englewood Liq (A)</t>
        </is>
      </c>
      <c r="B844" s="58" t="inlineStr">
        <is>
          <t>Bergen</t>
        </is>
      </c>
      <c r="C844" s="58" t="inlineStr">
        <is>
          <t>Dave Ehlers</t>
        </is>
      </c>
      <c r="D844" s="58" t="inlineStr">
        <is>
          <t>Off-premise</t>
        </is>
      </c>
      <c r="E844" s="53" t="n">
        <v>643</v>
      </c>
      <c r="F844" s="53" t="n">
        <v>579</v>
      </c>
      <c r="G844" s="55" t="n">
        <v>5313.010000000001</v>
      </c>
      <c r="H844" s="55" t="n">
        <v>4775.66</v>
      </c>
      <c r="I844" s="53" t="n">
        <v>51</v>
      </c>
      <c r="J844" s="53" t="n">
        <v>53</v>
      </c>
      <c r="K844" s="53" t="n">
        <v>97</v>
      </c>
      <c r="L844" s="53" t="n">
        <v>100</v>
      </c>
      <c r="M844" s="33">
        <f>F844-E844</f>
        <v/>
      </c>
      <c r="N844" s="33">
        <f>L844-K844</f>
        <v/>
      </c>
    </row>
    <row r="845">
      <c r="A845" s="58" t="inlineStr">
        <is>
          <t>150089 Buy Rite Wine &amp; Liquor</t>
        </is>
      </c>
      <c r="B845" s="58" t="inlineStr">
        <is>
          <t>Essex</t>
        </is>
      </c>
      <c r="C845" s="58" t="inlineStr">
        <is>
          <t>Hakan Sadik</t>
        </is>
      </c>
      <c r="D845" s="58" t="inlineStr">
        <is>
          <t>Off-premise</t>
        </is>
      </c>
      <c r="E845" s="53" t="n">
        <v>50</v>
      </c>
      <c r="F845" s="53" t="n">
        <v>53</v>
      </c>
      <c r="G845" s="55" t="n">
        <v>348.36</v>
      </c>
      <c r="H845" s="55" t="n">
        <v>379.59</v>
      </c>
      <c r="I845" s="53" t="n">
        <v>678</v>
      </c>
      <c r="J845" s="53" t="n">
        <v>731</v>
      </c>
      <c r="K845" s="53" t="n">
        <v>50</v>
      </c>
      <c r="L845" s="53" t="n">
        <v>53</v>
      </c>
      <c r="M845" s="33">
        <f>F845-E845</f>
        <v/>
      </c>
      <c r="N845" s="33">
        <f>L845-K845</f>
        <v/>
      </c>
    </row>
    <row r="846">
      <c r="A846" s="58" t="inlineStr">
        <is>
          <t>33004 Gray Cliff (A)</t>
        </is>
      </c>
      <c r="B846" s="58" t="inlineStr">
        <is>
          <t>Bergen</t>
        </is>
      </c>
      <c r="C846" s="58" t="inlineStr">
        <is>
          <t>Matt Powierski</t>
        </is>
      </c>
      <c r="D846" s="58" t="inlineStr">
        <is>
          <t>On-premise</t>
        </is>
      </c>
      <c r="E846" s="53" t="n">
        <v>125</v>
      </c>
      <c r="F846" s="53" t="n">
        <v>147</v>
      </c>
      <c r="G846" s="55" t="n">
        <v>989.04</v>
      </c>
      <c r="H846" s="55" t="n">
        <v>1106.21</v>
      </c>
      <c r="I846" s="53" t="n">
        <v>0</v>
      </c>
      <c r="J846" s="53" t="n">
        <v>5</v>
      </c>
      <c r="K846" s="53" t="n">
        <v>0</v>
      </c>
      <c r="L846" s="53" t="n">
        <v>3</v>
      </c>
      <c r="M846" s="33">
        <f>F846-E846</f>
        <v/>
      </c>
      <c r="N846" s="33">
        <f>L846-K846</f>
        <v/>
      </c>
    </row>
    <row r="847">
      <c r="A847" s="58" t="inlineStr">
        <is>
          <t>36038 Tatra Haus Restaurant</t>
        </is>
      </c>
      <c r="B847" s="58" t="inlineStr">
        <is>
          <t>Bergen</t>
        </is>
      </c>
      <c r="C847" s="58" t="inlineStr">
        <is>
          <t>Matt Powierski</t>
        </is>
      </c>
      <c r="D847" s="58" t="inlineStr">
        <is>
          <t>Off-premise</t>
        </is>
      </c>
      <c r="E847" s="53" t="n">
        <v>4</v>
      </c>
      <c r="F847" s="53" t="n">
        <v>12</v>
      </c>
      <c r="G847" s="55" t="n">
        <v>41.75</v>
      </c>
      <c r="H847" s="55" t="n">
        <v>123.29</v>
      </c>
      <c r="I847" s="53" t="n">
        <v>12</v>
      </c>
      <c r="J847" s="53" t="n">
        <v>18</v>
      </c>
      <c r="K847" s="53" t="n">
        <v>0</v>
      </c>
      <c r="L847" s="53" t="n">
        <v>3</v>
      </c>
      <c r="M847" s="33">
        <f>F847-E847</f>
        <v/>
      </c>
      <c r="N847" s="33">
        <f>L847-K847</f>
        <v/>
      </c>
    </row>
    <row r="848">
      <c r="A848" s="58" t="inlineStr">
        <is>
          <t>87004 Garbo's Ital Deli&amp;Liq(Z)</t>
        </is>
      </c>
      <c r="B848" s="58" t="inlineStr">
        <is>
          <t>Bergen</t>
        </is>
      </c>
      <c r="C848" s="58" t="inlineStr">
        <is>
          <t>Mike Ast</t>
        </is>
      </c>
      <c r="D848" s="58" t="inlineStr">
        <is>
          <t>Off-premise</t>
        </is>
      </c>
      <c r="E848" s="53" t="n">
        <v>15</v>
      </c>
      <c r="F848" s="53" t="n">
        <v>25</v>
      </c>
      <c r="G848" s="55" t="n">
        <v>160</v>
      </c>
      <c r="H848" s="55" t="n">
        <v>252.98</v>
      </c>
      <c r="I848" s="53" t="n">
        <v>1</v>
      </c>
      <c r="J848" s="53" t="n">
        <v>1</v>
      </c>
      <c r="K848" s="53" t="n">
        <v>2</v>
      </c>
      <c r="L848" s="53" t="n">
        <v>5</v>
      </c>
      <c r="M848" s="33">
        <f>F848-E848</f>
        <v/>
      </c>
      <c r="N848" s="33">
        <f>L848-K848</f>
        <v/>
      </c>
    </row>
    <row r="849">
      <c r="A849" s="58" t="inlineStr">
        <is>
          <t>83009 Jalapeno Mex. Grille(A)</t>
        </is>
      </c>
      <c r="B849" s="58" t="inlineStr">
        <is>
          <t>Bergen</t>
        </is>
      </c>
      <c r="C849" s="58" t="inlineStr">
        <is>
          <t>Mike Ast</t>
        </is>
      </c>
      <c r="D849" s="58" t="inlineStr">
        <is>
          <t>On-premise</t>
        </is>
      </c>
      <c r="E849" s="53" t="n">
        <v>65</v>
      </c>
      <c r="F849" s="53" t="n">
        <v>92</v>
      </c>
      <c r="G849" s="55" t="n">
        <v>602.64</v>
      </c>
      <c r="H849" s="55" t="n">
        <v>833.5700000000001</v>
      </c>
      <c r="I849" s="53" t="n">
        <v>23</v>
      </c>
      <c r="J849" s="53" t="n">
        <v>37</v>
      </c>
      <c r="K849" s="53" t="n">
        <v>9</v>
      </c>
      <c r="L849" s="53" t="n">
        <v>12</v>
      </c>
      <c r="M849" s="33">
        <f>F849-E849</f>
        <v/>
      </c>
      <c r="N849" s="33">
        <f>L849-K849</f>
        <v/>
      </c>
    </row>
    <row r="850">
      <c r="A850" s="58" t="inlineStr">
        <is>
          <t>96007 The Original Barn</t>
        </is>
      </c>
      <c r="B850" s="58" t="inlineStr">
        <is>
          <t>Bergen</t>
        </is>
      </c>
      <c r="C850" s="58" t="inlineStr">
        <is>
          <t>Nick Melissari</t>
        </is>
      </c>
      <c r="D850" s="58" t="inlineStr">
        <is>
          <t>On-premise</t>
        </is>
      </c>
      <c r="E850" s="53" t="n">
        <v>57</v>
      </c>
      <c r="F850" s="53" t="n">
        <v>36</v>
      </c>
      <c r="G850" s="55" t="n">
        <v>540.52</v>
      </c>
      <c r="H850" s="55" t="n">
        <v>300.34</v>
      </c>
      <c r="I850" s="53" t="n">
        <v>28</v>
      </c>
      <c r="J850" s="53" t="n">
        <v>33</v>
      </c>
      <c r="K850" s="53" t="n">
        <v>2</v>
      </c>
      <c r="L850" s="53" t="n">
        <v>5</v>
      </c>
      <c r="M850" s="33">
        <f>F850-E850</f>
        <v/>
      </c>
      <c r="N850" s="33">
        <f>L850-K850</f>
        <v/>
      </c>
    </row>
    <row r="851">
      <c r="A851" s="58" t="inlineStr">
        <is>
          <t>35005 Chile</t>
        </is>
      </c>
      <c r="B851" s="58" t="inlineStr">
        <is>
          <t>Bergen</t>
        </is>
      </c>
      <c r="C851" s="58" t="inlineStr">
        <is>
          <t>Nick Melissari</t>
        </is>
      </c>
      <c r="D851" s="58" t="inlineStr">
        <is>
          <t>On-premise</t>
        </is>
      </c>
      <c r="E851" s="53" t="n">
        <v>76</v>
      </c>
      <c r="F851" s="53" t="n">
        <v>84</v>
      </c>
      <c r="G851" s="55" t="n">
        <v>743.2299999999999</v>
      </c>
      <c r="H851" s="55" t="n">
        <v>838.39</v>
      </c>
      <c r="I851" s="53" t="n">
        <v>5</v>
      </c>
      <c r="J851" s="53" t="n">
        <v>7</v>
      </c>
      <c r="K851" s="53" t="n">
        <v>12</v>
      </c>
      <c r="L851" s="53" t="n">
        <v>15</v>
      </c>
      <c r="M851" s="33">
        <f>F851-E851</f>
        <v/>
      </c>
      <c r="N851" s="33">
        <f>L851-K851</f>
        <v/>
      </c>
    </row>
    <row r="852">
      <c r="A852" s="58" t="inlineStr">
        <is>
          <t>80012 California Pizza Paramus</t>
        </is>
      </c>
      <c r="B852" s="58" t="inlineStr">
        <is>
          <t>Bergen</t>
        </is>
      </c>
      <c r="C852" s="58" t="inlineStr">
        <is>
          <t>Nick Melissari</t>
        </is>
      </c>
      <c r="D852" s="58" t="inlineStr">
        <is>
          <t>On-premise</t>
        </is>
      </c>
      <c r="E852" s="53" t="n">
        <v>79</v>
      </c>
      <c r="F852" s="53" t="n">
        <v>105</v>
      </c>
      <c r="G852" s="55" t="n">
        <v>720.2</v>
      </c>
      <c r="H852" s="55" t="n">
        <v>929.73</v>
      </c>
      <c r="I852" s="53" t="n">
        <v>52</v>
      </c>
      <c r="J852" s="53" t="n">
        <v>50</v>
      </c>
      <c r="K852" s="53" t="n">
        <v>2</v>
      </c>
      <c r="L852" s="53" t="n">
        <v>5</v>
      </c>
      <c r="M852" s="33">
        <f>F852-E852</f>
        <v/>
      </c>
      <c r="N852" s="33">
        <f>L852-K852</f>
        <v/>
      </c>
    </row>
    <row r="853">
      <c r="A853" s="58" t="inlineStr">
        <is>
          <t>28027 Roma Rest. (P)</t>
        </is>
      </c>
      <c r="B853" s="58" t="inlineStr">
        <is>
          <t>Bergen</t>
        </is>
      </c>
      <c r="C853" s="58" t="inlineStr">
        <is>
          <t>Nick Melissari</t>
        </is>
      </c>
      <c r="D853" s="58" t="inlineStr">
        <is>
          <t>On-premise</t>
        </is>
      </c>
      <c r="E853" s="53" t="n">
        <v>79</v>
      </c>
      <c r="F853" s="53" t="n">
        <v>68</v>
      </c>
      <c r="G853" s="55" t="n">
        <v>651.8899999999999</v>
      </c>
      <c r="H853" s="55" t="n">
        <v>664.02</v>
      </c>
      <c r="I853" s="53" t="n">
        <v>13</v>
      </c>
      <c r="J853" s="53" t="n">
        <v>9</v>
      </c>
      <c r="K853" s="53" t="n">
        <v>16</v>
      </c>
      <c r="L853" s="53" t="n">
        <v>19</v>
      </c>
      <c r="M853" s="33">
        <f>F853-E853</f>
        <v/>
      </c>
      <c r="N853" s="33">
        <f>L853-K853</f>
        <v/>
      </c>
    </row>
    <row r="854">
      <c r="A854" s="58" t="inlineStr">
        <is>
          <t>32008 Steve's Bar &amp; Grill (A)</t>
        </is>
      </c>
      <c r="B854" s="58" t="inlineStr">
        <is>
          <t>Bergen</t>
        </is>
      </c>
      <c r="C854" s="58" t="inlineStr">
        <is>
          <t>Nick Melissari</t>
        </is>
      </c>
      <c r="D854" s="58" t="inlineStr">
        <is>
          <t>On-premise</t>
        </is>
      </c>
      <c r="E854" s="53" t="n">
        <v>139</v>
      </c>
      <c r="F854" s="53" t="n">
        <v>132</v>
      </c>
      <c r="G854" s="55" t="n">
        <v>1341.79</v>
      </c>
      <c r="H854" s="55" t="n">
        <v>1305.86</v>
      </c>
      <c r="I854" s="53" t="n">
        <v>56</v>
      </c>
      <c r="J854" s="53" t="n">
        <v>66</v>
      </c>
      <c r="K854" s="53" t="n">
        <v>13</v>
      </c>
      <c r="L854" s="53" t="n">
        <v>16</v>
      </c>
      <c r="M854" s="33">
        <f>F854-E854</f>
        <v/>
      </c>
      <c r="N854" s="33">
        <f>L854-K854</f>
        <v/>
      </c>
    </row>
    <row r="855">
      <c r="A855" s="58" t="inlineStr">
        <is>
          <t>49064 Bareburger (Edgewater)</t>
        </is>
      </c>
      <c r="B855" s="58" t="inlineStr">
        <is>
          <t>Bergen</t>
        </is>
      </c>
      <c r="C855" s="58" t="inlineStr">
        <is>
          <t>Nick Melissari</t>
        </is>
      </c>
      <c r="D855" s="58" t="inlineStr">
        <is>
          <t>On-premise</t>
        </is>
      </c>
      <c r="E855" s="53" t="n">
        <v>36</v>
      </c>
      <c r="F855" s="53" t="n">
        <v>39</v>
      </c>
      <c r="G855" s="55" t="n">
        <v>374.88</v>
      </c>
      <c r="H855" s="55" t="n">
        <v>411.0600000000001</v>
      </c>
      <c r="I855" s="53" t="n">
        <v>58</v>
      </c>
      <c r="J855" s="53" t="n">
        <v>28</v>
      </c>
      <c r="K855" s="53" t="n">
        <v>8</v>
      </c>
      <c r="L855" s="53" t="n">
        <v>11</v>
      </c>
      <c r="M855" s="33">
        <f>F855-E855</f>
        <v/>
      </c>
      <c r="N855" s="33">
        <f>L855-K855</f>
        <v/>
      </c>
    </row>
    <row r="856">
      <c r="A856" s="58" t="inlineStr">
        <is>
          <t>28020 Tejo Bar &amp; Rest</t>
        </is>
      </c>
      <c r="B856" s="58" t="inlineStr">
        <is>
          <t>Bergen</t>
        </is>
      </c>
      <c r="C856" s="58" t="inlineStr">
        <is>
          <t>Nick Melissari</t>
        </is>
      </c>
      <c r="D856" s="58" t="inlineStr">
        <is>
          <t>On-premise</t>
        </is>
      </c>
      <c r="E856" s="53" t="n">
        <v>112</v>
      </c>
      <c r="F856" s="53" t="n">
        <v>174</v>
      </c>
      <c r="G856" s="55" t="n">
        <v>1197.3</v>
      </c>
      <c r="H856" s="55" t="n">
        <v>1710.15</v>
      </c>
      <c r="I856" s="53" t="n">
        <v>13</v>
      </c>
      <c r="J856" s="53" t="n">
        <v>25</v>
      </c>
      <c r="K856" s="53" t="n">
        <v>4</v>
      </c>
      <c r="L856" s="53" t="n">
        <v>7</v>
      </c>
      <c r="M856" s="33">
        <f>F856-E856</f>
        <v/>
      </c>
      <c r="N856" s="33">
        <f>L856-K856</f>
        <v/>
      </c>
    </row>
    <row r="857">
      <c r="A857" s="58" t="inlineStr">
        <is>
          <t>22031 Roxxie's (P)</t>
        </is>
      </c>
      <c r="B857" s="58" t="inlineStr">
        <is>
          <t>Passaic</t>
        </is>
      </c>
      <c r="C857" s="58" t="inlineStr">
        <is>
          <t>Pablo Lopez</t>
        </is>
      </c>
      <c r="D857" s="58" t="inlineStr">
        <is>
          <t>On-premise</t>
        </is>
      </c>
      <c r="E857" s="53" t="n">
        <v>392</v>
      </c>
      <c r="F857" s="53" t="n">
        <v>439</v>
      </c>
      <c r="G857" s="55" t="n">
        <v>3569.47</v>
      </c>
      <c r="H857" s="55" t="n">
        <v>3383.74</v>
      </c>
      <c r="I857" s="53" t="n">
        <v>79</v>
      </c>
      <c r="J857" s="53" t="n">
        <v>63</v>
      </c>
      <c r="K857" s="53" t="n">
        <v>19</v>
      </c>
      <c r="L857" s="53" t="n">
        <v>22</v>
      </c>
      <c r="M857" s="33">
        <f>F857-E857</f>
        <v/>
      </c>
      <c r="N857" s="33">
        <f>L857-K857</f>
        <v/>
      </c>
    </row>
    <row r="858">
      <c r="A858" s="58" t="inlineStr">
        <is>
          <t>27118 Arepa Express</t>
        </is>
      </c>
      <c r="B858" s="58" t="inlineStr">
        <is>
          <t>Passaic</t>
        </is>
      </c>
      <c r="C858" s="58" t="inlineStr">
        <is>
          <t>Pablo Lopez</t>
        </is>
      </c>
      <c r="D858" s="58" t="inlineStr">
        <is>
          <t>Unmatched</t>
        </is>
      </c>
      <c r="E858" s="53" t="n">
        <v>716</v>
      </c>
      <c r="F858" s="53" t="n">
        <v>506</v>
      </c>
      <c r="G858" s="55" t="n">
        <v>6337.709999999999</v>
      </c>
      <c r="H858" s="55" t="n">
        <v>4530.360000000001</v>
      </c>
      <c r="I858" s="53" t="n">
        <v>64</v>
      </c>
      <c r="J858" s="53" t="n">
        <v>92</v>
      </c>
      <c r="K858" s="53" t="n">
        <v>2</v>
      </c>
      <c r="L858" s="53" t="n">
        <v>5</v>
      </c>
      <c r="M858" s="33">
        <f>F858-E858</f>
        <v/>
      </c>
      <c r="N858" s="33">
        <f>L858-K858</f>
        <v/>
      </c>
    </row>
    <row r="859">
      <c r="A859" s="58" t="inlineStr">
        <is>
          <t>62003 Stern And Bow</t>
        </is>
      </c>
      <c r="B859" s="58" t="inlineStr">
        <is>
          <t>Bergen</t>
        </is>
      </c>
      <c r="C859" s="58" t="inlineStr">
        <is>
          <t>Paul Mclaughlin</t>
        </is>
      </c>
      <c r="D859" s="58" t="inlineStr">
        <is>
          <t>On-premise</t>
        </is>
      </c>
      <c r="E859" s="53" t="n">
        <v>105</v>
      </c>
      <c r="F859" s="53" t="n">
        <v>113</v>
      </c>
      <c r="G859" s="55" t="n">
        <v>926.34</v>
      </c>
      <c r="H859" s="55" t="n">
        <v>977.49</v>
      </c>
      <c r="I859" s="53" t="n">
        <v>77</v>
      </c>
      <c r="J859" s="53" t="n">
        <v>72</v>
      </c>
      <c r="K859" s="53" t="n">
        <v>80</v>
      </c>
      <c r="L859" s="53" t="n">
        <v>83</v>
      </c>
      <c r="M859" s="33">
        <f>F859-E859</f>
        <v/>
      </c>
      <c r="N859" s="33">
        <f>L859-K859</f>
        <v/>
      </c>
    </row>
    <row r="860">
      <c r="A860" s="58" t="inlineStr">
        <is>
          <t>76009 The Plank Pizza And Bar</t>
        </is>
      </c>
      <c r="B860" s="58" t="inlineStr">
        <is>
          <t>Bergen</t>
        </is>
      </c>
      <c r="C860" s="58" t="inlineStr">
        <is>
          <t>Paul Mclaughlin</t>
        </is>
      </c>
      <c r="D860" s="58" t="inlineStr">
        <is>
          <t>On-premise</t>
        </is>
      </c>
      <c r="E860" s="53" t="n">
        <v>0</v>
      </c>
      <c r="F860" s="53" t="n">
        <v>3</v>
      </c>
      <c r="G860" s="55" t="n">
        <v>0</v>
      </c>
      <c r="H860" s="55" t="n">
        <v>46.61</v>
      </c>
      <c r="I860" s="53" t="n">
        <v>0</v>
      </c>
      <c r="J860" s="53" t="n">
        <v>11</v>
      </c>
      <c r="K860" s="53" t="n">
        <v>0</v>
      </c>
      <c r="L860" s="53" t="n">
        <v>3</v>
      </c>
      <c r="M860" s="33">
        <f>F860-E860</f>
        <v/>
      </c>
      <c r="N860" s="33">
        <f>L860-K860</f>
        <v/>
      </c>
    </row>
    <row r="861">
      <c r="A861" s="58" t="inlineStr">
        <is>
          <t>41010 Lenoras Bar (P)</t>
        </is>
      </c>
      <c r="B861" s="58" t="inlineStr">
        <is>
          <t>Bergen</t>
        </is>
      </c>
      <c r="C861" s="58" t="inlineStr">
        <is>
          <t>Paul Mclaughlin</t>
        </is>
      </c>
      <c r="D861" s="58" t="inlineStr">
        <is>
          <t>On-premise</t>
        </is>
      </c>
      <c r="E861" s="53" t="n">
        <v>295</v>
      </c>
      <c r="F861" s="53" t="n">
        <v>266</v>
      </c>
      <c r="G861" s="55" t="n">
        <v>2616</v>
      </c>
      <c r="H861" s="55" t="n">
        <v>2301.63</v>
      </c>
      <c r="I861" s="53" t="n">
        <v>368</v>
      </c>
      <c r="J861" s="53" t="n">
        <v>317</v>
      </c>
      <c r="K861" s="53" t="n">
        <v>25</v>
      </c>
      <c r="L861" s="53" t="n">
        <v>28</v>
      </c>
      <c r="M861" s="33">
        <f>F861-E861</f>
        <v/>
      </c>
      <c r="N861" s="33">
        <f>L861-K861</f>
        <v/>
      </c>
    </row>
    <row r="862">
      <c r="A862" s="58" t="inlineStr">
        <is>
          <t>74021 Bar Mutz</t>
        </is>
      </c>
      <c r="B862" s="58" t="inlineStr">
        <is>
          <t>Bergen</t>
        </is>
      </c>
      <c r="C862" s="58" t="inlineStr">
        <is>
          <t>Paul Mclaughlin</t>
        </is>
      </c>
      <c r="D862" s="58" t="inlineStr">
        <is>
          <t>On-premise</t>
        </is>
      </c>
      <c r="E862" s="53" t="n">
        <v>32</v>
      </c>
      <c r="F862" s="53" t="n">
        <v>35</v>
      </c>
      <c r="G862" s="55" t="n">
        <v>290.11</v>
      </c>
      <c r="H862" s="55" t="n">
        <v>295.17</v>
      </c>
      <c r="I862" s="53" t="n">
        <v>0</v>
      </c>
      <c r="J862" s="53" t="n">
        <v>0</v>
      </c>
      <c r="K862" s="53" t="n">
        <v>32</v>
      </c>
      <c r="L862" s="53" t="n">
        <v>35</v>
      </c>
      <c r="M862" s="33">
        <f>F862-E862</f>
        <v/>
      </c>
      <c r="N862" s="33">
        <f>L862-K862</f>
        <v/>
      </c>
    </row>
    <row r="863">
      <c r="A863" s="58" t="inlineStr">
        <is>
          <t>86007 Bacari</t>
        </is>
      </c>
      <c r="B863" s="58" t="inlineStr">
        <is>
          <t>Bergen</t>
        </is>
      </c>
      <c r="C863" s="58" t="inlineStr">
        <is>
          <t>Paul Mclaughlin</t>
        </is>
      </c>
      <c r="D863" s="58" t="inlineStr">
        <is>
          <t>On-premise</t>
        </is>
      </c>
      <c r="E863" s="53" t="n">
        <v>66</v>
      </c>
      <c r="F863" s="53" t="n">
        <v>71</v>
      </c>
      <c r="G863" s="55" t="n">
        <v>633.5700000000001</v>
      </c>
      <c r="H863" s="55" t="n">
        <v>707.7600000000001</v>
      </c>
      <c r="I863" s="53" t="n">
        <v>3</v>
      </c>
      <c r="J863" s="53" t="n">
        <v>2</v>
      </c>
      <c r="K863" s="53" t="n">
        <v>25</v>
      </c>
      <c r="L863" s="53" t="n">
        <v>28</v>
      </c>
      <c r="M863" s="33">
        <f>F863-E863</f>
        <v/>
      </c>
      <c r="N863" s="33">
        <f>L863-K863</f>
        <v/>
      </c>
    </row>
    <row r="864">
      <c r="A864" s="58" t="inlineStr">
        <is>
          <t>81019 Oceanos Osyter Bar Grill</t>
        </is>
      </c>
      <c r="B864" s="58" t="inlineStr">
        <is>
          <t>Bergen</t>
        </is>
      </c>
      <c r="C864" s="58" t="inlineStr">
        <is>
          <t>Paul Mclaughlin</t>
        </is>
      </c>
      <c r="D864" s="58" t="inlineStr">
        <is>
          <t>On-premise</t>
        </is>
      </c>
      <c r="E864" s="53" t="n">
        <v>25</v>
      </c>
      <c r="F864" s="53" t="n">
        <v>34</v>
      </c>
      <c r="G864" s="55" t="n">
        <v>265.99</v>
      </c>
      <c r="H864" s="55" t="n">
        <v>360</v>
      </c>
      <c r="I864" s="53" t="n">
        <v>10</v>
      </c>
      <c r="J864" s="53" t="n">
        <v>11</v>
      </c>
      <c r="K864" s="53" t="n">
        <v>8</v>
      </c>
      <c r="L864" s="53" t="n">
        <v>11</v>
      </c>
      <c r="M864" s="33">
        <f>F864-E864</f>
        <v/>
      </c>
      <c r="N864" s="33">
        <f>L864-K864</f>
        <v/>
      </c>
    </row>
    <row r="865">
      <c r="A865" s="58" t="inlineStr">
        <is>
          <t>191406 Courtyard Marriott Mt Arl</t>
        </is>
      </c>
      <c r="B865" s="58" t="inlineStr">
        <is>
          <t>Morris</t>
        </is>
      </c>
      <c r="C865" s="58" t="inlineStr">
        <is>
          <t>Robin Feldman</t>
        </is>
      </c>
      <c r="D865" s="58" t="inlineStr">
        <is>
          <t>On-premise</t>
        </is>
      </c>
      <c r="E865" s="53" t="n">
        <v>79</v>
      </c>
      <c r="F865" s="53" t="n">
        <v>69</v>
      </c>
      <c r="G865" s="55" t="n">
        <v>737.95</v>
      </c>
      <c r="H865" s="55" t="n">
        <v>666.34</v>
      </c>
      <c r="I865" s="53" t="n">
        <v>25</v>
      </c>
      <c r="J865" s="53" t="n">
        <v>16</v>
      </c>
      <c r="K865" s="53" t="n">
        <v>0</v>
      </c>
      <c r="L865" s="53" t="n">
        <v>3</v>
      </c>
      <c r="M865" s="33">
        <f>F865-E865</f>
        <v/>
      </c>
      <c r="N865" s="33">
        <f>L865-K865</f>
        <v/>
      </c>
    </row>
    <row r="866">
      <c r="A866" s="58" t="inlineStr">
        <is>
          <t>34008 The Ivy Inn</t>
        </is>
      </c>
      <c r="B866" s="58" t="inlineStr">
        <is>
          <t>Bergen</t>
        </is>
      </c>
      <c r="C866" s="58" t="inlineStr">
        <is>
          <t>Robin Feldman</t>
        </is>
      </c>
      <c r="D866" s="58" t="inlineStr">
        <is>
          <t>On-premise</t>
        </is>
      </c>
      <c r="E866" s="53" t="n">
        <v>9</v>
      </c>
      <c r="F866" s="53" t="n">
        <v>19</v>
      </c>
      <c r="G866" s="55" t="n">
        <v>84.20999999999999</v>
      </c>
      <c r="H866" s="55" t="n">
        <v>197.12</v>
      </c>
      <c r="I866" s="53" t="n">
        <v>0</v>
      </c>
      <c r="J866" s="53" t="n">
        <v>1</v>
      </c>
      <c r="K866" s="53" t="n">
        <v>0</v>
      </c>
      <c r="L866" s="53" t="n">
        <v>3</v>
      </c>
      <c r="M866" s="33">
        <f>F866-E866</f>
        <v/>
      </c>
      <c r="N866" s="33">
        <f>L866-K866</f>
        <v/>
      </c>
    </row>
    <row r="867">
      <c r="A867" s="58" t="inlineStr">
        <is>
          <t>50038 Hampton Inn &amp; Suites</t>
        </is>
      </c>
      <c r="B867" s="58" t="inlineStr">
        <is>
          <t>Bergen</t>
        </is>
      </c>
      <c r="C867" s="58" t="inlineStr">
        <is>
          <t>Robin Feldman</t>
        </is>
      </c>
      <c r="D867" s="58" t="inlineStr">
        <is>
          <t>On-premise</t>
        </is>
      </c>
      <c r="E867" s="53" t="n">
        <v>39</v>
      </c>
      <c r="F867" s="53" t="n">
        <v>49</v>
      </c>
      <c r="G867" s="55" t="n">
        <v>384.2900000000001</v>
      </c>
      <c r="H867" s="55" t="n">
        <v>525.38</v>
      </c>
      <c r="I867" s="53" t="n">
        <v>10</v>
      </c>
      <c r="J867" s="53" t="n">
        <v>6</v>
      </c>
      <c r="K867" s="53" t="n">
        <v>10</v>
      </c>
      <c r="L867" s="53" t="n">
        <v>13</v>
      </c>
      <c r="M867" s="33">
        <f>F867-E867</f>
        <v/>
      </c>
      <c r="N867" s="33">
        <f>L867-K867</f>
        <v/>
      </c>
    </row>
    <row r="868">
      <c r="A868" s="58" t="inlineStr">
        <is>
          <t>40027 Cigarro Bar and Lounge</t>
        </is>
      </c>
      <c r="B868" s="58" t="inlineStr">
        <is>
          <t>Bergen</t>
        </is>
      </c>
      <c r="C868" s="58" t="inlineStr">
        <is>
          <t>Robin Feldman</t>
        </is>
      </c>
      <c r="D868" s="58" t="inlineStr">
        <is>
          <t>Unmatched</t>
        </is>
      </c>
      <c r="E868" s="53" t="n">
        <v>0</v>
      </c>
      <c r="F868" s="53" t="n">
        <v>7</v>
      </c>
      <c r="G868" s="55" t="n">
        <v>0</v>
      </c>
      <c r="H868" s="55" t="n">
        <v>79.86</v>
      </c>
      <c r="I868" s="53" t="n">
        <v>0</v>
      </c>
      <c r="J868" s="53" t="n">
        <v>5</v>
      </c>
      <c r="K868" s="53" t="n">
        <v>0</v>
      </c>
      <c r="L868" s="53" t="n">
        <v>3</v>
      </c>
      <c r="M868" s="33">
        <f>F868-E868</f>
        <v/>
      </c>
      <c r="N868" s="33">
        <f>L868-K868</f>
        <v/>
      </c>
    </row>
    <row r="869">
      <c r="A869" s="58" t="inlineStr">
        <is>
          <t>9007 American Lgn Pompton Plains</t>
        </is>
      </c>
      <c r="B869" s="58" t="inlineStr">
        <is>
          <t>Morris</t>
        </is>
      </c>
      <c r="C869" s="58" t="inlineStr">
        <is>
          <t>Robin Feldman</t>
        </is>
      </c>
      <c r="D869" s="58" t="inlineStr">
        <is>
          <t>On-premise</t>
        </is>
      </c>
      <c r="E869" s="53" t="n">
        <v>6</v>
      </c>
      <c r="F869" s="53" t="n">
        <v>16</v>
      </c>
      <c r="G869" s="55" t="n">
        <v>47.79</v>
      </c>
      <c r="H869" s="55" t="n">
        <v>117.78</v>
      </c>
      <c r="I869" s="53" t="n">
        <v>5</v>
      </c>
      <c r="J869" s="53" t="n">
        <v>2</v>
      </c>
      <c r="K869" s="53" t="n">
        <v>0</v>
      </c>
      <c r="L869" s="53" t="n">
        <v>3</v>
      </c>
      <c r="M869" s="33">
        <f>F869-E869</f>
        <v/>
      </c>
      <c r="N869" s="33">
        <f>L869-K869</f>
        <v/>
      </c>
    </row>
    <row r="870">
      <c r="A870" s="58" t="inlineStr">
        <is>
          <t>12068 Courtyard by Marriott Wayne Fairfield</t>
        </is>
      </c>
      <c r="B870" s="58" t="inlineStr">
        <is>
          <t>Passaic</t>
        </is>
      </c>
      <c r="C870" s="58" t="inlineStr">
        <is>
          <t>Robin Feldman</t>
        </is>
      </c>
      <c r="D870" s="58" t="inlineStr">
        <is>
          <t>On-premise</t>
        </is>
      </c>
      <c r="E870" s="53" t="n">
        <v>37</v>
      </c>
      <c r="F870" s="53" t="n">
        <v>58</v>
      </c>
      <c r="G870" s="55" t="n">
        <v>371.76</v>
      </c>
      <c r="H870" s="55" t="n">
        <v>599.6900000000001</v>
      </c>
      <c r="I870" s="53" t="n">
        <v>10</v>
      </c>
      <c r="J870" s="53" t="n">
        <v>11</v>
      </c>
      <c r="K870" s="53" t="n">
        <v>6</v>
      </c>
      <c r="L870" s="53" t="n">
        <v>9</v>
      </c>
      <c r="M870" s="33">
        <f>F870-E870</f>
        <v/>
      </c>
      <c r="N870" s="33">
        <f>L870-K870</f>
        <v/>
      </c>
    </row>
    <row r="871">
      <c r="A871" s="58" t="inlineStr">
        <is>
          <t>190210 Matta Donna (Z)</t>
        </is>
      </c>
      <c r="B871" s="58" t="inlineStr">
        <is>
          <t>Morris</t>
        </is>
      </c>
      <c r="C871" s="58" t="inlineStr">
        <is>
          <t>Robin Feldman</t>
        </is>
      </c>
      <c r="D871" s="58" t="inlineStr">
        <is>
          <t>On-premise</t>
        </is>
      </c>
      <c r="E871" s="53" t="n">
        <v>9</v>
      </c>
      <c r="F871" s="53" t="n">
        <v>19</v>
      </c>
      <c r="G871" s="55" t="n">
        <v>62.68</v>
      </c>
      <c r="H871" s="55" t="n">
        <v>148.45</v>
      </c>
      <c r="I871" s="53" t="n">
        <v>10</v>
      </c>
      <c r="J871" s="53" t="n">
        <v>10</v>
      </c>
      <c r="K871" s="53" t="n">
        <v>0</v>
      </c>
      <c r="L871" s="53" t="n">
        <v>3</v>
      </c>
      <c r="M871" s="33">
        <f>F871-E871</f>
        <v/>
      </c>
      <c r="N871" s="33">
        <f>L871-K871</f>
        <v/>
      </c>
    </row>
    <row r="872">
      <c r="A872" s="58" t="inlineStr">
        <is>
          <t>230126 Hudson Farm Club</t>
        </is>
      </c>
      <c r="B872" s="58" t="inlineStr">
        <is>
          <t>Sussex</t>
        </is>
      </c>
      <c r="C872" s="58" t="inlineStr">
        <is>
          <t>Robin Feldman</t>
        </is>
      </c>
      <c r="D872" s="58" t="inlineStr">
        <is>
          <t>On-premise</t>
        </is>
      </c>
      <c r="E872" s="53" t="n">
        <v>6</v>
      </c>
      <c r="F872" s="53" t="n">
        <v>22</v>
      </c>
      <c r="G872" s="55" t="n">
        <v>58.11</v>
      </c>
      <c r="H872" s="55" t="n">
        <v>194.33</v>
      </c>
      <c r="I872" s="53" t="n">
        <v>3</v>
      </c>
      <c r="J872" s="53" t="n">
        <v>5</v>
      </c>
      <c r="K872" s="53" t="n">
        <v>2</v>
      </c>
      <c r="L872" s="53" t="n">
        <v>5</v>
      </c>
      <c r="M872" s="33">
        <f>F872-E872</f>
        <v/>
      </c>
      <c r="N872" s="33">
        <f>L872-K872</f>
        <v/>
      </c>
    </row>
    <row r="873">
      <c r="A873" s="58" t="inlineStr">
        <is>
          <t>32031 Spring Hill Suites Carlstadt</t>
        </is>
      </c>
      <c r="B873" s="58" t="inlineStr">
        <is>
          <t>Bergen</t>
        </is>
      </c>
      <c r="C873" s="58" t="inlineStr">
        <is>
          <t>Robin Feldman</t>
        </is>
      </c>
      <c r="D873" s="58" t="inlineStr">
        <is>
          <t>On-premise</t>
        </is>
      </c>
      <c r="E873" s="53" t="n">
        <v>45</v>
      </c>
      <c r="F873" s="53" t="n">
        <v>45</v>
      </c>
      <c r="G873" s="55" t="n">
        <v>483.86</v>
      </c>
      <c r="H873" s="55" t="n">
        <v>468.96</v>
      </c>
      <c r="I873" s="53" t="n">
        <v>15</v>
      </c>
      <c r="J873" s="53" t="n">
        <v>4</v>
      </c>
      <c r="K873" s="53" t="n">
        <v>5</v>
      </c>
      <c r="L873" s="53" t="n">
        <v>8</v>
      </c>
      <c r="M873" s="33">
        <f>F873-E873</f>
        <v/>
      </c>
      <c r="N873" s="33">
        <f>L873-K873</f>
        <v/>
      </c>
    </row>
    <row r="874">
      <c r="A874" s="58" t="inlineStr">
        <is>
          <t>5016 Vfw Butler</t>
        </is>
      </c>
      <c r="B874" s="58" t="inlineStr">
        <is>
          <t>Morris</t>
        </is>
      </c>
      <c r="C874" s="58" t="inlineStr">
        <is>
          <t>Robin Feldman</t>
        </is>
      </c>
      <c r="D874" s="58" t="inlineStr">
        <is>
          <t>On-premise</t>
        </is>
      </c>
      <c r="E874" s="53" t="n">
        <v>45</v>
      </c>
      <c r="F874" s="53" t="n">
        <v>68</v>
      </c>
      <c r="G874" s="55" t="n">
        <v>389.37</v>
      </c>
      <c r="H874" s="55" t="n">
        <v>548.75</v>
      </c>
      <c r="I874" s="53" t="n">
        <v>4</v>
      </c>
      <c r="J874" s="53" t="n">
        <v>7</v>
      </c>
      <c r="K874" s="53" t="n">
        <v>5</v>
      </c>
      <c r="L874" s="53" t="n">
        <v>8</v>
      </c>
      <c r="M874" s="33">
        <f>F874-E874</f>
        <v/>
      </c>
      <c r="N874" s="33">
        <f>L874-K874</f>
        <v/>
      </c>
    </row>
    <row r="875">
      <c r="A875" s="58" t="inlineStr">
        <is>
          <t>12024 Park Wayne Diner</t>
        </is>
      </c>
      <c r="B875" s="58" t="inlineStr">
        <is>
          <t>Passaic</t>
        </is>
      </c>
      <c r="C875" s="58" t="inlineStr">
        <is>
          <t>Robin Feldman</t>
        </is>
      </c>
      <c r="D875" s="58" t="inlineStr">
        <is>
          <t>On-premise</t>
        </is>
      </c>
      <c r="E875" s="53" t="n">
        <v>8</v>
      </c>
      <c r="F875" s="53" t="n">
        <v>14</v>
      </c>
      <c r="G875" s="55" t="n">
        <v>83.38</v>
      </c>
      <c r="H875" s="55" t="n">
        <v>143.92</v>
      </c>
      <c r="I875" s="53" t="n">
        <v>1</v>
      </c>
      <c r="J875" s="53" t="n">
        <v>9</v>
      </c>
      <c r="K875" s="53" t="n">
        <v>0</v>
      </c>
      <c r="L875" s="53" t="n">
        <v>3</v>
      </c>
      <c r="M875" s="33">
        <f>F875-E875</f>
        <v/>
      </c>
      <c r="N875" s="33">
        <f>L875-K875</f>
        <v/>
      </c>
    </row>
    <row r="876">
      <c r="A876" s="58" t="inlineStr">
        <is>
          <t>77013 William J. Mulligan VFW Post 281</t>
        </is>
      </c>
      <c r="B876" s="58" t="inlineStr">
        <is>
          <t>Bergen</t>
        </is>
      </c>
      <c r="C876" s="58" t="inlineStr">
        <is>
          <t>Robin Feldman</t>
        </is>
      </c>
      <c r="D876" s="58" t="inlineStr">
        <is>
          <t>On-premise</t>
        </is>
      </c>
      <c r="E876" s="53" t="n">
        <v>101</v>
      </c>
      <c r="F876" s="53" t="n">
        <v>179</v>
      </c>
      <c r="G876" s="55" t="n">
        <v>806.4599999999999</v>
      </c>
      <c r="H876" s="55" t="n">
        <v>1404.79</v>
      </c>
      <c r="I876" s="53" t="n">
        <v>13</v>
      </c>
      <c r="J876" s="53" t="n">
        <v>17</v>
      </c>
      <c r="K876" s="53" t="n">
        <v>0</v>
      </c>
      <c r="L876" s="53" t="n">
        <v>3</v>
      </c>
      <c r="M876" s="33">
        <f>F876-E876</f>
        <v/>
      </c>
      <c r="N876" s="33">
        <f>L876-K876</f>
        <v/>
      </c>
    </row>
    <row r="877">
      <c r="A877" s="58" t="inlineStr">
        <is>
          <t>93016 Sangria Taps/Rest(Z)</t>
        </is>
      </c>
      <c r="B877" s="58" t="inlineStr">
        <is>
          <t>Bergen</t>
        </is>
      </c>
      <c r="C877" s="58" t="inlineStr">
        <is>
          <t>Robin Feldman</t>
        </is>
      </c>
      <c r="D877" s="58" t="inlineStr">
        <is>
          <t>On-premise</t>
        </is>
      </c>
      <c r="E877" s="53" t="n">
        <v>8</v>
      </c>
      <c r="F877" s="53" t="n">
        <v>10</v>
      </c>
      <c r="G877" s="55" t="n">
        <v>75.69</v>
      </c>
      <c r="H877" s="55" t="n">
        <v>94.28999999999999</v>
      </c>
      <c r="I877" s="53" t="n">
        <v>5</v>
      </c>
      <c r="J877" s="53" t="n">
        <v>0</v>
      </c>
      <c r="K877" s="53" t="n">
        <v>0</v>
      </c>
      <c r="L877" s="53" t="n">
        <v>3</v>
      </c>
      <c r="M877" s="33">
        <f>F877-E877</f>
        <v/>
      </c>
      <c r="N877" s="33">
        <f>L877-K877</f>
        <v/>
      </c>
    </row>
    <row r="878">
      <c r="A878" s="58" t="inlineStr">
        <is>
          <t>23012 Moose Lodge (Z)</t>
        </is>
      </c>
      <c r="B878" s="58" t="inlineStr">
        <is>
          <t>Passaic</t>
        </is>
      </c>
      <c r="C878" s="58" t="inlineStr">
        <is>
          <t>Robin Feldman</t>
        </is>
      </c>
      <c r="D878" s="58" t="inlineStr">
        <is>
          <t>On-premise</t>
        </is>
      </c>
      <c r="E878" s="53" t="n">
        <v>117</v>
      </c>
      <c r="F878" s="53" t="n">
        <v>66</v>
      </c>
      <c r="G878" s="55" t="n">
        <v>776.45</v>
      </c>
      <c r="H878" s="55" t="n">
        <v>559.41</v>
      </c>
      <c r="I878" s="53" t="n">
        <v>10</v>
      </c>
      <c r="J878" s="53" t="n">
        <v>20</v>
      </c>
      <c r="K878" s="53" t="n">
        <v>2</v>
      </c>
      <c r="L878" s="53" t="n">
        <v>5</v>
      </c>
      <c r="M878" s="33">
        <f>F878-E878</f>
        <v/>
      </c>
      <c r="N878" s="33">
        <f>L878-K878</f>
        <v/>
      </c>
    </row>
    <row r="879">
      <c r="A879" s="58" t="inlineStr">
        <is>
          <t>79011 K Of C Maywood</t>
        </is>
      </c>
      <c r="B879" s="58" t="inlineStr">
        <is>
          <t>Bergen</t>
        </is>
      </c>
      <c r="C879" s="58" t="inlineStr">
        <is>
          <t>Robin Feldman</t>
        </is>
      </c>
      <c r="D879" s="58" t="inlineStr">
        <is>
          <t>On-premise</t>
        </is>
      </c>
      <c r="E879" s="53" t="n">
        <v>15</v>
      </c>
      <c r="F879" s="53" t="n">
        <v>5</v>
      </c>
      <c r="G879" s="55" t="n">
        <v>117.58</v>
      </c>
      <c r="H879" s="55" t="n">
        <v>43.93</v>
      </c>
      <c r="I879" s="53" t="n">
        <v>0</v>
      </c>
      <c r="J879" s="53" t="n">
        <v>0</v>
      </c>
      <c r="K879" s="53" t="n">
        <v>2</v>
      </c>
      <c r="L879" s="53" t="n">
        <v>5</v>
      </c>
      <c r="M879" s="33">
        <f>F879-E879</f>
        <v/>
      </c>
      <c r="N879" s="33">
        <f>L879-K879</f>
        <v/>
      </c>
    </row>
    <row r="880">
      <c r="A880" s="58" t="inlineStr">
        <is>
          <t>8015 Thatcher Mc Ghees (A)</t>
        </is>
      </c>
      <c r="B880" s="58" t="inlineStr">
        <is>
          <t>Passaic</t>
        </is>
      </c>
      <c r="C880" s="58" t="inlineStr">
        <is>
          <t>Allison Scott</t>
        </is>
      </c>
      <c r="D880" s="58" t="inlineStr">
        <is>
          <t>On-premise</t>
        </is>
      </c>
      <c r="E880" s="53" t="n">
        <v>1067</v>
      </c>
      <c r="F880" s="53" t="n">
        <v>942</v>
      </c>
      <c r="G880" s="55" t="n">
        <v>5902.27</v>
      </c>
      <c r="H880" s="55" t="n">
        <v>5568.76</v>
      </c>
      <c r="I880" s="53" t="n">
        <v>508</v>
      </c>
      <c r="J880" s="53" t="n">
        <v>490</v>
      </c>
      <c r="K880" s="53" t="n">
        <v>18</v>
      </c>
      <c r="L880" s="53" t="n">
        <v>20</v>
      </c>
      <c r="M880" s="33">
        <f>F880-E880</f>
        <v/>
      </c>
      <c r="N880" s="33">
        <f>L880-K880</f>
        <v/>
      </c>
    </row>
    <row r="881">
      <c r="A881" s="58" t="inlineStr">
        <is>
          <t>19028 D'Carbon Restaurant Hawthorne</t>
        </is>
      </c>
      <c r="B881" s="58" t="inlineStr">
        <is>
          <t>Passaic</t>
        </is>
      </c>
      <c r="C881" s="58" t="inlineStr">
        <is>
          <t>Allison Scott</t>
        </is>
      </c>
      <c r="D881" s="58" t="inlineStr">
        <is>
          <t>Unmatched</t>
        </is>
      </c>
      <c r="E881" s="53" t="n">
        <v>148</v>
      </c>
      <c r="F881" s="53" t="n">
        <v>159</v>
      </c>
      <c r="G881" s="55" t="n">
        <v>1442.28</v>
      </c>
      <c r="H881" s="55" t="n">
        <v>1625.75</v>
      </c>
      <c r="I881" s="53" t="n">
        <v>68</v>
      </c>
      <c r="J881" s="53" t="n">
        <v>49</v>
      </c>
      <c r="K881" s="53" t="n">
        <v>0</v>
      </c>
      <c r="L881" s="53" t="n">
        <v>2</v>
      </c>
      <c r="M881" s="33">
        <f>F881-E881</f>
        <v/>
      </c>
      <c r="N881" s="33">
        <f>L881-K881</f>
        <v/>
      </c>
    </row>
    <row r="882">
      <c r="A882" s="58" t="inlineStr">
        <is>
          <t>14006 46 Lounge (P)</t>
        </is>
      </c>
      <c r="B882" s="58" t="inlineStr">
        <is>
          <t>Passaic</t>
        </is>
      </c>
      <c r="C882" s="58" t="inlineStr">
        <is>
          <t>Allison Scott</t>
        </is>
      </c>
      <c r="D882" s="58" t="inlineStr">
        <is>
          <t>On-premise</t>
        </is>
      </c>
      <c r="E882" s="53" t="n">
        <v>189</v>
      </c>
      <c r="F882" s="53" t="n">
        <v>242</v>
      </c>
      <c r="G882" s="55" t="n">
        <v>1622.91</v>
      </c>
      <c r="H882" s="55" t="n">
        <v>2233.3</v>
      </c>
      <c r="I882" s="53" t="n">
        <v>2</v>
      </c>
      <c r="J882" s="53" t="n">
        <v>21</v>
      </c>
      <c r="K882" s="53" t="n">
        <v>0</v>
      </c>
      <c r="L882" s="53" t="n">
        <v>2</v>
      </c>
      <c r="M882" s="33">
        <f>F882-E882</f>
        <v/>
      </c>
      <c r="N882" s="33">
        <f>L882-K882</f>
        <v/>
      </c>
    </row>
    <row r="883">
      <c r="A883" s="58" t="inlineStr">
        <is>
          <t>24060 Clifton Billiards (Z)</t>
        </is>
      </c>
      <c r="B883" s="58" t="inlineStr">
        <is>
          <t>Passaic</t>
        </is>
      </c>
      <c r="C883" s="58" t="inlineStr">
        <is>
          <t>Allison Scott</t>
        </is>
      </c>
      <c r="D883" s="58" t="inlineStr">
        <is>
          <t>On-premise</t>
        </is>
      </c>
      <c r="E883" s="53" t="n">
        <v>230</v>
      </c>
      <c r="F883" s="53" t="n">
        <v>210</v>
      </c>
      <c r="G883" s="55" t="n">
        <v>2119.31</v>
      </c>
      <c r="H883" s="55" t="n">
        <v>2054.26</v>
      </c>
      <c r="I883" s="53" t="n">
        <v>2</v>
      </c>
      <c r="J883" s="53" t="n">
        <v>6</v>
      </c>
      <c r="K883" s="53" t="n">
        <v>1</v>
      </c>
      <c r="L883" s="53" t="n">
        <v>3</v>
      </c>
      <c r="M883" s="33">
        <f>F883-E883</f>
        <v/>
      </c>
      <c r="N883" s="33">
        <f>L883-K883</f>
        <v/>
      </c>
    </row>
    <row r="884">
      <c r="A884" s="58" t="inlineStr">
        <is>
          <t>250078 Milton Liquors</t>
        </is>
      </c>
      <c r="B884" s="58" t="inlineStr">
        <is>
          <t>Union</t>
        </is>
      </c>
      <c r="C884" s="58" t="inlineStr">
        <is>
          <t>Andrew Lundy</t>
        </is>
      </c>
      <c r="D884" s="58" t="inlineStr">
        <is>
          <t>Off-premise</t>
        </is>
      </c>
      <c r="E884" s="53" t="n">
        <v>22</v>
      </c>
      <c r="F884" s="53" t="n">
        <v>24</v>
      </c>
      <c r="G884" s="55" t="n">
        <v>168.93</v>
      </c>
      <c r="H884" s="55" t="n">
        <v>183.26</v>
      </c>
      <c r="I884" s="53" t="n">
        <v>163</v>
      </c>
      <c r="J884" s="53" t="n">
        <v>57</v>
      </c>
      <c r="K884" s="53" t="n">
        <v>22</v>
      </c>
      <c r="L884" s="53" t="n">
        <v>24</v>
      </c>
      <c r="M884" s="33">
        <f>F884-E884</f>
        <v/>
      </c>
      <c r="N884" s="33">
        <f>L884-K884</f>
        <v/>
      </c>
    </row>
    <row r="885">
      <c r="A885" s="58" t="inlineStr">
        <is>
          <t>230925 Springs Bistro Biosphere</t>
        </is>
      </c>
      <c r="B885" s="58" t="inlineStr">
        <is>
          <t>Sussex</t>
        </is>
      </c>
      <c r="C885" s="58" t="inlineStr">
        <is>
          <t>Anthony Palmisano</t>
        </is>
      </c>
      <c r="D885" s="58" t="inlineStr">
        <is>
          <t>On-premise</t>
        </is>
      </c>
      <c r="E885" s="53" t="n">
        <v>44</v>
      </c>
      <c r="F885" s="53" t="n">
        <v>46</v>
      </c>
      <c r="G885" s="55" t="n">
        <v>451.3100000000001</v>
      </c>
      <c r="H885" s="55" t="n">
        <v>399.19</v>
      </c>
      <c r="I885" s="53" t="n">
        <v>19</v>
      </c>
      <c r="J885" s="53" t="n">
        <v>16</v>
      </c>
      <c r="K885" s="53" t="n">
        <v>7</v>
      </c>
      <c r="L885" s="53" t="n">
        <v>9</v>
      </c>
      <c r="M885" s="33">
        <f>F885-E885</f>
        <v/>
      </c>
      <c r="N885" s="33">
        <f>L885-K885</f>
        <v/>
      </c>
    </row>
    <row r="886">
      <c r="A886" s="58" t="inlineStr">
        <is>
          <t>4004 The River Of Beer</t>
        </is>
      </c>
      <c r="B886" s="58" t="inlineStr">
        <is>
          <t>Passaic</t>
        </is>
      </c>
      <c r="C886" s="58" t="inlineStr">
        <is>
          <t>Anthony Palmisano</t>
        </is>
      </c>
      <c r="D886" s="58" t="inlineStr">
        <is>
          <t>On-premise</t>
        </is>
      </c>
      <c r="E886" s="53" t="n">
        <v>157</v>
      </c>
      <c r="F886" s="53" t="n">
        <v>239</v>
      </c>
      <c r="G886" s="55" t="n">
        <v>978.16</v>
      </c>
      <c r="H886" s="55" t="n">
        <v>994.0500000000001</v>
      </c>
      <c r="I886" s="53" t="n">
        <v>163</v>
      </c>
      <c r="J886" s="53" t="n">
        <v>190</v>
      </c>
      <c r="K886" s="53" t="n">
        <v>3</v>
      </c>
      <c r="L886" s="53" t="n">
        <v>5</v>
      </c>
      <c r="M886" s="33">
        <f>F886-E886</f>
        <v/>
      </c>
      <c r="N886" s="33">
        <f>L886-K886</f>
        <v/>
      </c>
    </row>
    <row r="887">
      <c r="A887" s="58" t="inlineStr">
        <is>
          <t>1028 J &amp; S Roadhouse</t>
        </is>
      </c>
      <c r="B887" s="58" t="inlineStr">
        <is>
          <t>Passaic</t>
        </is>
      </c>
      <c r="C887" s="58" t="inlineStr">
        <is>
          <t>Anthony Palmisano</t>
        </is>
      </c>
      <c r="D887" s="58" t="inlineStr">
        <is>
          <t>On-premise</t>
        </is>
      </c>
      <c r="E887" s="53" t="n">
        <v>269</v>
      </c>
      <c r="F887" s="53" t="n">
        <v>169</v>
      </c>
      <c r="G887" s="55" t="n">
        <v>2394.89</v>
      </c>
      <c r="H887" s="55" t="n">
        <v>1490.07</v>
      </c>
      <c r="I887" s="53" t="n">
        <v>63</v>
      </c>
      <c r="J887" s="53" t="n">
        <v>50</v>
      </c>
      <c r="K887" s="53" t="n">
        <v>20</v>
      </c>
      <c r="L887" s="53" t="n">
        <v>22</v>
      </c>
      <c r="M887" s="33">
        <f>F887-E887</f>
        <v/>
      </c>
      <c r="N887" s="33">
        <f>L887-K887</f>
        <v/>
      </c>
    </row>
    <row r="888">
      <c r="A888" s="58" t="inlineStr">
        <is>
          <t>1214 Whiskey Wolf Tavern (P)</t>
        </is>
      </c>
      <c r="B888" s="58" t="inlineStr">
        <is>
          <t>Passaic</t>
        </is>
      </c>
      <c r="C888" s="58" t="inlineStr">
        <is>
          <t>Anthony Palmisano</t>
        </is>
      </c>
      <c r="D888" s="58" t="inlineStr">
        <is>
          <t>On-premise</t>
        </is>
      </c>
      <c r="E888" s="53" t="n">
        <v>346</v>
      </c>
      <c r="F888" s="53" t="n">
        <v>414</v>
      </c>
      <c r="G888" s="55" t="n">
        <v>2769.32</v>
      </c>
      <c r="H888" s="55" t="n">
        <v>3047.99</v>
      </c>
      <c r="I888" s="53" t="n">
        <v>159</v>
      </c>
      <c r="J888" s="53" t="n">
        <v>78</v>
      </c>
      <c r="K888" s="53" t="n">
        <v>26</v>
      </c>
      <c r="L888" s="53" t="n">
        <v>28</v>
      </c>
      <c r="M888" s="33">
        <f>F888-E888</f>
        <v/>
      </c>
      <c r="N888" s="33">
        <f>L888-K888</f>
        <v/>
      </c>
    </row>
    <row r="889">
      <c r="A889" s="58" t="inlineStr">
        <is>
          <t>3014 Il Palazzo (Z)</t>
        </is>
      </c>
      <c r="B889" s="58" t="inlineStr">
        <is>
          <t>Passaic</t>
        </is>
      </c>
      <c r="C889" s="58" t="inlineStr">
        <is>
          <t>Anthony Palmisano</t>
        </is>
      </c>
      <c r="D889" s="58" t="inlineStr">
        <is>
          <t>On-premise</t>
        </is>
      </c>
      <c r="E889" s="53" t="n">
        <v>0</v>
      </c>
      <c r="F889" s="53" t="n">
        <v>20</v>
      </c>
      <c r="G889" s="55" t="n">
        <v>0</v>
      </c>
      <c r="H889" s="55" t="n">
        <v>182.92</v>
      </c>
      <c r="I889" s="53" t="n">
        <v>0</v>
      </c>
      <c r="J889" s="53" t="n">
        <v>0</v>
      </c>
      <c r="K889" s="53" t="n">
        <v>0</v>
      </c>
      <c r="L889" s="53" t="n">
        <v>2</v>
      </c>
      <c r="M889" s="33">
        <f>F889-E889</f>
        <v/>
      </c>
      <c r="N889" s="33">
        <f>L889-K889</f>
        <v/>
      </c>
    </row>
    <row r="890">
      <c r="A890" s="58" t="inlineStr">
        <is>
          <t>231606 The Lafayette House</t>
        </is>
      </c>
      <c r="B890" s="58" t="inlineStr">
        <is>
          <t>Sussex</t>
        </is>
      </c>
      <c r="C890" s="58" t="inlineStr">
        <is>
          <t>Brian Sengebush</t>
        </is>
      </c>
      <c r="D890" s="58" t="inlineStr">
        <is>
          <t>On-premise</t>
        </is>
      </c>
      <c r="E890" s="53" t="n">
        <v>53</v>
      </c>
      <c r="F890" s="53" t="n">
        <v>61</v>
      </c>
      <c r="G890" s="55" t="n">
        <v>425.59</v>
      </c>
      <c r="H890" s="55" t="n">
        <v>522.6999999999999</v>
      </c>
      <c r="I890" s="53" t="n">
        <v>32</v>
      </c>
      <c r="J890" s="53" t="n">
        <v>28</v>
      </c>
      <c r="K890" s="53" t="n">
        <v>9</v>
      </c>
      <c r="L890" s="53" t="n">
        <v>11</v>
      </c>
      <c r="M890" s="33">
        <f>F890-E890</f>
        <v/>
      </c>
      <c r="N890" s="33">
        <f>L890-K890</f>
        <v/>
      </c>
    </row>
    <row r="891">
      <c r="A891" s="58" t="inlineStr">
        <is>
          <t>191611 Golden Nugget@Wild W City</t>
        </is>
      </c>
      <c r="B891" s="58" t="inlineStr">
        <is>
          <t>Sussex</t>
        </is>
      </c>
      <c r="C891" s="58" t="inlineStr">
        <is>
          <t>Brian Sengebush</t>
        </is>
      </c>
      <c r="D891" s="58" t="inlineStr">
        <is>
          <t>Unmatched</t>
        </is>
      </c>
      <c r="E891" s="53" t="n">
        <v>0</v>
      </c>
      <c r="F891" s="53" t="n">
        <v>14</v>
      </c>
      <c r="G891" s="55" t="n">
        <v>0</v>
      </c>
      <c r="H891" s="55" t="n">
        <v>123.52</v>
      </c>
      <c r="I891" s="53" t="n">
        <v>0</v>
      </c>
      <c r="J891" s="53" t="n">
        <v>9</v>
      </c>
      <c r="K891" s="53" t="n">
        <v>0</v>
      </c>
      <c r="L891" s="53" t="n">
        <v>2</v>
      </c>
      <c r="M891" s="33">
        <f>F891-E891</f>
        <v/>
      </c>
      <c r="N891" s="33">
        <f>L891-K891</f>
        <v/>
      </c>
    </row>
    <row r="892">
      <c r="A892" s="58" t="inlineStr">
        <is>
          <t>191706 Freddy's Lake House Bar And Grill</t>
        </is>
      </c>
      <c r="B892" s="58" t="inlineStr">
        <is>
          <t>Sussex</t>
        </is>
      </c>
      <c r="C892" s="58" t="inlineStr">
        <is>
          <t>Brian Sengebush</t>
        </is>
      </c>
      <c r="D892" s="58" t="inlineStr">
        <is>
          <t>On-premise</t>
        </is>
      </c>
      <c r="E892" s="53" t="n">
        <v>87</v>
      </c>
      <c r="F892" s="53" t="n">
        <v>116</v>
      </c>
      <c r="G892" s="55" t="n">
        <v>899.5400000000001</v>
      </c>
      <c r="H892" s="55" t="n">
        <v>1066.89</v>
      </c>
      <c r="I892" s="53" t="n">
        <v>29</v>
      </c>
      <c r="J892" s="53" t="n">
        <v>36</v>
      </c>
      <c r="K892" s="53" t="n">
        <v>0</v>
      </c>
      <c r="L892" s="53" t="n">
        <v>2</v>
      </c>
      <c r="M892" s="33">
        <f>F892-E892</f>
        <v/>
      </c>
      <c r="N892" s="33">
        <f>L892-K892</f>
        <v/>
      </c>
    </row>
    <row r="893">
      <c r="A893" s="58" t="inlineStr">
        <is>
          <t>230109 Skyview Golf Course (A)</t>
        </is>
      </c>
      <c r="B893" s="58" t="inlineStr">
        <is>
          <t>Sussex</t>
        </is>
      </c>
      <c r="C893" s="58" t="inlineStr">
        <is>
          <t>Brian Sengebush</t>
        </is>
      </c>
      <c r="D893" s="58" t="inlineStr">
        <is>
          <t>On-premise</t>
        </is>
      </c>
      <c r="E893" s="53" t="n">
        <v>283</v>
      </c>
      <c r="F893" s="53" t="n">
        <v>217</v>
      </c>
      <c r="G893" s="55" t="n">
        <v>1581.04</v>
      </c>
      <c r="H893" s="55" t="n">
        <v>1254.96</v>
      </c>
      <c r="I893" s="53" t="n">
        <v>57</v>
      </c>
      <c r="J893" s="53" t="n">
        <v>52</v>
      </c>
      <c r="K893" s="53" t="n">
        <v>0</v>
      </c>
      <c r="L893" s="53" t="n">
        <v>2</v>
      </c>
      <c r="M893" s="33">
        <f>F893-E893</f>
        <v/>
      </c>
      <c r="N893" s="33">
        <f>L893-K893</f>
        <v/>
      </c>
    </row>
    <row r="894">
      <c r="A894" s="58" t="inlineStr">
        <is>
          <t>230104 Mohawk House (P)</t>
        </is>
      </c>
      <c r="B894" s="58" t="inlineStr">
        <is>
          <t>Sussex</t>
        </is>
      </c>
      <c r="C894" s="58" t="inlineStr">
        <is>
          <t>Brian Sengebush</t>
        </is>
      </c>
      <c r="D894" s="58" t="inlineStr">
        <is>
          <t>On-premise</t>
        </is>
      </c>
      <c r="E894" s="53" t="n">
        <v>26</v>
      </c>
      <c r="F894" s="53" t="n">
        <v>8</v>
      </c>
      <c r="G894" s="55" t="n">
        <v>223.56</v>
      </c>
      <c r="H894" s="55" t="n">
        <v>80.50000000000001</v>
      </c>
      <c r="I894" s="53" t="n">
        <v>8</v>
      </c>
      <c r="J894" s="53" t="n">
        <v>2</v>
      </c>
      <c r="K894" s="53" t="n">
        <v>0</v>
      </c>
      <c r="L894" s="53" t="n">
        <v>2</v>
      </c>
      <c r="M894" s="33">
        <f>F894-E894</f>
        <v/>
      </c>
      <c r="N894" s="33">
        <f>L894-K894</f>
        <v/>
      </c>
    </row>
    <row r="895">
      <c r="A895" s="58" t="inlineStr">
        <is>
          <t>191004 Club 15(P)</t>
        </is>
      </c>
      <c r="B895" s="58" t="inlineStr">
        <is>
          <t>Morris</t>
        </is>
      </c>
      <c r="C895" s="58" t="inlineStr">
        <is>
          <t>Brian Sengebush</t>
        </is>
      </c>
      <c r="D895" s="58" t="inlineStr">
        <is>
          <t>On-premise</t>
        </is>
      </c>
      <c r="E895" s="53" t="n">
        <v>505</v>
      </c>
      <c r="F895" s="53" t="n">
        <v>505</v>
      </c>
      <c r="G895" s="55" t="n">
        <v>3463.68</v>
      </c>
      <c r="H895" s="55" t="n">
        <v>3547.53</v>
      </c>
      <c r="I895" s="53" t="n">
        <v>2</v>
      </c>
      <c r="J895" s="53" t="n">
        <v>15</v>
      </c>
      <c r="K895" s="53" t="n">
        <v>2</v>
      </c>
      <c r="L895" s="53" t="n">
        <v>4</v>
      </c>
      <c r="M895" s="33">
        <f>F895-E895</f>
        <v/>
      </c>
      <c r="N895" s="33">
        <f>L895-K895</f>
        <v/>
      </c>
    </row>
    <row r="896">
      <c r="A896" s="58" t="inlineStr">
        <is>
          <t>80053 Paramus Courtyard</t>
        </is>
      </c>
      <c r="B896" s="58" t="inlineStr">
        <is>
          <t>Bergen</t>
        </is>
      </c>
      <c r="C896" s="58" t="inlineStr">
        <is>
          <t>Chris Payton</t>
        </is>
      </c>
      <c r="D896" s="58" t="inlineStr">
        <is>
          <t>On-premise</t>
        </is>
      </c>
      <c r="E896" s="53" t="n">
        <v>9</v>
      </c>
      <c r="F896" s="53" t="n">
        <v>21</v>
      </c>
      <c r="G896" s="55" t="n">
        <v>104.58</v>
      </c>
      <c r="H896" s="55" t="n">
        <v>207.42</v>
      </c>
      <c r="I896" s="53" t="n">
        <v>3</v>
      </c>
      <c r="J896" s="53" t="n">
        <v>3</v>
      </c>
      <c r="K896" s="53" t="n">
        <v>2</v>
      </c>
      <c r="L896" s="53" t="n">
        <v>4</v>
      </c>
      <c r="M896" s="33">
        <f>F896-E896</f>
        <v/>
      </c>
      <c r="N896" s="33">
        <f>L896-K896</f>
        <v/>
      </c>
    </row>
    <row r="897">
      <c r="A897" s="58" t="inlineStr">
        <is>
          <t>50012 Ma'adan Catering</t>
        </is>
      </c>
      <c r="B897" s="58" t="inlineStr">
        <is>
          <t>Bergen</t>
        </is>
      </c>
      <c r="C897" s="58" t="inlineStr">
        <is>
          <t>Chris Payton</t>
        </is>
      </c>
      <c r="D897" s="58" t="inlineStr">
        <is>
          <t>Off-premise</t>
        </is>
      </c>
      <c r="E897" s="53" t="n">
        <v>0</v>
      </c>
      <c r="F897" s="53" t="n">
        <v>9</v>
      </c>
      <c r="G897" s="55" t="n">
        <v>0</v>
      </c>
      <c r="H897" s="55" t="n">
        <v>97.68000000000001</v>
      </c>
      <c r="I897" s="53" t="n">
        <v>0</v>
      </c>
      <c r="J897" s="53" t="n">
        <v>8</v>
      </c>
      <c r="K897" s="53" t="n">
        <v>0</v>
      </c>
      <c r="L897" s="53" t="n">
        <v>2</v>
      </c>
      <c r="M897" s="33">
        <f>F897-E897</f>
        <v/>
      </c>
      <c r="N897" s="33">
        <f>L897-K897</f>
        <v/>
      </c>
    </row>
    <row r="898">
      <c r="A898" s="58" t="inlineStr">
        <is>
          <t>44014 Campbell's Wines &amp; Liquor</t>
        </is>
      </c>
      <c r="B898" s="58" t="inlineStr">
        <is>
          <t>Bergen</t>
        </is>
      </c>
      <c r="C898" s="58" t="inlineStr">
        <is>
          <t>Dan Lagala</t>
        </is>
      </c>
      <c r="D898" s="58" t="inlineStr">
        <is>
          <t>Off-premise</t>
        </is>
      </c>
      <c r="E898" s="53" t="n">
        <v>33</v>
      </c>
      <c r="F898" s="53" t="n">
        <v>91</v>
      </c>
      <c r="G898" s="55" t="n">
        <v>213.12</v>
      </c>
      <c r="H898" s="55" t="n">
        <v>727.4400000000001</v>
      </c>
      <c r="I898" s="53" t="n">
        <v>18</v>
      </c>
      <c r="J898" s="53" t="n">
        <v>3</v>
      </c>
      <c r="K898" s="53" t="n">
        <v>-2</v>
      </c>
      <c r="L898" s="53" t="n">
        <v>0</v>
      </c>
      <c r="M898" s="33">
        <f>F898-E898</f>
        <v/>
      </c>
      <c r="N898" s="33">
        <f>L898-K898</f>
        <v/>
      </c>
    </row>
    <row r="899">
      <c r="A899" s="58" t="inlineStr">
        <is>
          <t>46024 Anthony's Pharmacy</t>
        </is>
      </c>
      <c r="B899" s="58" t="inlineStr">
        <is>
          <t>Bergen</t>
        </is>
      </c>
      <c r="C899" s="58" t="inlineStr">
        <is>
          <t>Dan Lagala</t>
        </is>
      </c>
      <c r="D899" s="58" t="inlineStr">
        <is>
          <t>Off-premise</t>
        </is>
      </c>
      <c r="E899" s="53" t="n">
        <v>96</v>
      </c>
      <c r="F899" s="53" t="n">
        <v>175</v>
      </c>
      <c r="G899" s="55" t="n">
        <v>626.25</v>
      </c>
      <c r="H899" s="55" t="n">
        <v>1255.18</v>
      </c>
      <c r="I899" s="53" t="n">
        <v>0</v>
      </c>
      <c r="J899" s="53" t="n">
        <v>0</v>
      </c>
      <c r="K899" s="53" t="n">
        <v>0</v>
      </c>
      <c r="L899" s="53" t="n">
        <v>2</v>
      </c>
      <c r="M899" s="33">
        <f>F899-E899</f>
        <v/>
      </c>
      <c r="N899" s="33">
        <f>L899-K899</f>
        <v/>
      </c>
    </row>
    <row r="900">
      <c r="A900" s="58" t="inlineStr">
        <is>
          <t>170080 J&amp;R Liquors &amp; Deli</t>
        </is>
      </c>
      <c r="B900" s="58" t="inlineStr">
        <is>
          <t>Hudson</t>
        </is>
      </c>
      <c r="C900" s="58" t="inlineStr">
        <is>
          <t>Dylan Rubino</t>
        </is>
      </c>
      <c r="D900" s="58" t="inlineStr">
        <is>
          <t>Off-premise</t>
        </is>
      </c>
      <c r="E900" s="53" t="n">
        <v>7</v>
      </c>
      <c r="F900" s="53" t="n">
        <v>9</v>
      </c>
      <c r="G900" s="55" t="n">
        <v>57.22</v>
      </c>
      <c r="H900" s="55" t="n">
        <v>71.53</v>
      </c>
      <c r="I900" s="53" t="n">
        <v>94</v>
      </c>
      <c r="J900" s="53" t="n">
        <v>92</v>
      </c>
      <c r="K900" s="53" t="n">
        <v>7</v>
      </c>
      <c r="L900" s="53" t="n">
        <v>9</v>
      </c>
      <c r="M900" s="33">
        <f>F900-E900</f>
        <v/>
      </c>
      <c r="N900" s="33">
        <f>L900-K900</f>
        <v/>
      </c>
    </row>
    <row r="901">
      <c r="A901" s="58" t="inlineStr">
        <is>
          <t>150145 Wine 2 Spirits</t>
        </is>
      </c>
      <c r="B901" s="58" t="inlineStr">
        <is>
          <t>Essex</t>
        </is>
      </c>
      <c r="C901" s="58" t="inlineStr">
        <is>
          <t>Hakan Sadik</t>
        </is>
      </c>
      <c r="D901" s="58" t="inlineStr">
        <is>
          <t>Off-premise</t>
        </is>
      </c>
      <c r="E901" s="53" t="n">
        <v>19</v>
      </c>
      <c r="F901" s="53" t="n">
        <v>21</v>
      </c>
      <c r="G901" s="55" t="n">
        <v>143.11</v>
      </c>
      <c r="H901" s="55" t="n">
        <v>157.4</v>
      </c>
      <c r="I901" s="53" t="n">
        <v>104</v>
      </c>
      <c r="J901" s="53" t="n">
        <v>80</v>
      </c>
      <c r="K901" s="53" t="n">
        <v>19</v>
      </c>
      <c r="L901" s="53" t="n">
        <v>21</v>
      </c>
      <c r="M901" s="33">
        <f>F901-E901</f>
        <v/>
      </c>
      <c r="N901" s="33">
        <f>L901-K901</f>
        <v/>
      </c>
    </row>
    <row r="902">
      <c r="A902" s="58" t="inlineStr">
        <is>
          <t>150186 Buy And Savings Liquor</t>
        </is>
      </c>
      <c r="B902" s="58" t="inlineStr">
        <is>
          <t>Essex</t>
        </is>
      </c>
      <c r="C902" s="58" t="inlineStr">
        <is>
          <t>Hakan Sadik</t>
        </is>
      </c>
      <c r="D902" s="58" t="inlineStr">
        <is>
          <t>Off-premise</t>
        </is>
      </c>
      <c r="E902" s="53" t="n">
        <v>58</v>
      </c>
      <c r="F902" s="53" t="n">
        <v>60</v>
      </c>
      <c r="G902" s="55" t="n">
        <v>368.51</v>
      </c>
      <c r="H902" s="55" t="n">
        <v>360</v>
      </c>
      <c r="I902" s="53" t="n">
        <v>197</v>
      </c>
      <c r="J902" s="53" t="n">
        <v>165</v>
      </c>
      <c r="K902" s="53" t="n">
        <v>58</v>
      </c>
      <c r="L902" s="53" t="n">
        <v>60</v>
      </c>
      <c r="M902" s="33">
        <f>F902-E902</f>
        <v/>
      </c>
      <c r="N902" s="33">
        <f>L902-K902</f>
        <v/>
      </c>
    </row>
    <row r="903">
      <c r="A903" s="58" t="inlineStr">
        <is>
          <t>170065 Hudson &amp; Co. Bar &amp; Grill</t>
        </is>
      </c>
      <c r="B903" s="58" t="inlineStr">
        <is>
          <t>Hudson</t>
        </is>
      </c>
      <c r="C903" s="58" t="inlineStr">
        <is>
          <t>Jaime Colonna</t>
        </is>
      </c>
      <c r="D903" s="58" t="inlineStr">
        <is>
          <t>On-premise</t>
        </is>
      </c>
      <c r="E903" s="53" t="n">
        <v>32</v>
      </c>
      <c r="F903" s="53" t="n">
        <v>34</v>
      </c>
      <c r="G903" s="55" t="n">
        <v>289.46</v>
      </c>
      <c r="H903" s="55" t="n">
        <v>211.25</v>
      </c>
      <c r="I903" s="53" t="n">
        <v>10</v>
      </c>
      <c r="J903" s="53" t="n">
        <v>1</v>
      </c>
      <c r="K903" s="53" t="n">
        <v>32</v>
      </c>
      <c r="L903" s="53" t="n">
        <v>34</v>
      </c>
      <c r="M903" s="33">
        <f>F903-E903</f>
        <v/>
      </c>
      <c r="N903" s="33">
        <f>L903-K903</f>
        <v/>
      </c>
    </row>
    <row r="904">
      <c r="A904" s="58" t="inlineStr">
        <is>
          <t>170255 Liquor House</t>
        </is>
      </c>
      <c r="B904" s="58" t="inlineStr">
        <is>
          <t>Hudson</t>
        </is>
      </c>
      <c r="C904" s="58" t="inlineStr">
        <is>
          <t>Jaime Colonna</t>
        </is>
      </c>
      <c r="D904" s="58" t="inlineStr">
        <is>
          <t>Off-premise</t>
        </is>
      </c>
      <c r="E904" s="53" t="n">
        <v>21</v>
      </c>
      <c r="F904" s="53" t="n">
        <v>23</v>
      </c>
      <c r="G904" s="55" t="n">
        <v>155.05</v>
      </c>
      <c r="H904" s="55" t="n">
        <v>181.83</v>
      </c>
      <c r="I904" s="53" t="n">
        <v>174</v>
      </c>
      <c r="J904" s="53" t="n">
        <v>185</v>
      </c>
      <c r="K904" s="53" t="n">
        <v>21</v>
      </c>
      <c r="L904" s="53" t="n">
        <v>23</v>
      </c>
      <c r="M904" s="33">
        <f>F904-E904</f>
        <v/>
      </c>
      <c r="N904" s="33">
        <f>L904-K904</f>
        <v/>
      </c>
    </row>
    <row r="905">
      <c r="A905" s="58" t="inlineStr">
        <is>
          <t>22065 Mambo Lounge (P)</t>
        </is>
      </c>
      <c r="B905" s="58" t="inlineStr">
        <is>
          <t>Passaic</t>
        </is>
      </c>
      <c r="C905" s="58" t="inlineStr">
        <is>
          <t>Javier Melo</t>
        </is>
      </c>
      <c r="D905" s="58" t="inlineStr">
        <is>
          <t>On-premise</t>
        </is>
      </c>
      <c r="E905" s="53" t="n">
        <v>471</v>
      </c>
      <c r="F905" s="53" t="n">
        <v>862</v>
      </c>
      <c r="G905" s="55" t="n">
        <v>4138.46</v>
      </c>
      <c r="H905" s="55" t="n">
        <v>6954.909999999999</v>
      </c>
      <c r="I905" s="53" t="n">
        <v>57</v>
      </c>
      <c r="J905" s="53" t="n">
        <v>81</v>
      </c>
      <c r="K905" s="53" t="n">
        <v>4</v>
      </c>
      <c r="L905" s="53" t="n">
        <v>6</v>
      </c>
      <c r="M905" s="33">
        <f>F905-E905</f>
        <v/>
      </c>
      <c r="N905" s="33">
        <f>L905-K905</f>
        <v/>
      </c>
    </row>
    <row r="906">
      <c r="A906" s="58" t="inlineStr">
        <is>
          <t>24018 Agave Cantina Mexicana</t>
        </is>
      </c>
      <c r="B906" s="58" t="inlineStr">
        <is>
          <t>Passaic</t>
        </is>
      </c>
      <c r="C906" s="58" t="inlineStr">
        <is>
          <t>Javier Melo</t>
        </is>
      </c>
      <c r="D906" s="58" t="inlineStr">
        <is>
          <t>On-premise</t>
        </is>
      </c>
      <c r="E906" s="53" t="n">
        <v>88</v>
      </c>
      <c r="F906" s="53" t="n">
        <v>99</v>
      </c>
      <c r="G906" s="55" t="n">
        <v>797.71</v>
      </c>
      <c r="H906" s="55" t="n">
        <v>826.5</v>
      </c>
      <c r="I906" s="53" t="n">
        <v>11</v>
      </c>
      <c r="J906" s="53" t="n">
        <v>17</v>
      </c>
      <c r="K906" s="53" t="n">
        <v>5</v>
      </c>
      <c r="L906" s="53" t="n">
        <v>7</v>
      </c>
      <c r="M906" s="33">
        <f>F906-E906</f>
        <v/>
      </c>
      <c r="N906" s="33">
        <f>L906-K906</f>
        <v/>
      </c>
    </row>
    <row r="907">
      <c r="A907" s="58" t="inlineStr">
        <is>
          <t>27106 La Posada</t>
        </is>
      </c>
      <c r="B907" s="58" t="inlineStr">
        <is>
          <t>Passaic</t>
        </is>
      </c>
      <c r="C907" s="58" t="inlineStr">
        <is>
          <t>Javier Melo</t>
        </is>
      </c>
      <c r="D907" s="58" t="inlineStr">
        <is>
          <t>Unmatched</t>
        </is>
      </c>
      <c r="E907" s="53" t="n">
        <v>115</v>
      </c>
      <c r="F907" s="53" t="n">
        <v>116</v>
      </c>
      <c r="G907" s="55" t="n">
        <v>1061.18</v>
      </c>
      <c r="H907" s="55" t="n">
        <v>1060.47</v>
      </c>
      <c r="I907" s="53" t="n">
        <v>12</v>
      </c>
      <c r="J907" s="53" t="n">
        <v>11</v>
      </c>
      <c r="K907" s="53" t="n">
        <v>28</v>
      </c>
      <c r="L907" s="53" t="n">
        <v>30</v>
      </c>
      <c r="M907" s="33">
        <f>F907-E907</f>
        <v/>
      </c>
      <c r="N907" s="33">
        <f>L907-K907</f>
        <v/>
      </c>
    </row>
    <row r="908">
      <c r="A908" s="58" t="inlineStr">
        <is>
          <t>25017 Savers Club Liquor Locker</t>
        </is>
      </c>
      <c r="B908" s="58" t="inlineStr">
        <is>
          <t>Passaic</t>
        </is>
      </c>
      <c r="C908" s="58" t="inlineStr">
        <is>
          <t>Jim Heaney</t>
        </is>
      </c>
      <c r="D908" s="58" t="inlineStr">
        <is>
          <t>Off-premise</t>
        </is>
      </c>
      <c r="E908" s="53" t="n">
        <v>4112</v>
      </c>
      <c r="F908" s="53" t="n">
        <v>3288</v>
      </c>
      <c r="G908" s="55" t="n">
        <v>27875.91</v>
      </c>
      <c r="H908" s="55" t="n">
        <v>23222.66</v>
      </c>
      <c r="I908" s="53" t="n">
        <v>340</v>
      </c>
      <c r="J908" s="53" t="n">
        <v>419</v>
      </c>
      <c r="K908" s="53" t="n">
        <v>411</v>
      </c>
      <c r="L908" s="53" t="n">
        <v>413</v>
      </c>
      <c r="M908" s="33">
        <f>F908-E908</f>
        <v/>
      </c>
      <c r="N908" s="33">
        <f>L908-K908</f>
        <v/>
      </c>
    </row>
    <row r="909">
      <c r="A909" s="58" t="inlineStr">
        <is>
          <t>63001 X Plor Wine</t>
        </is>
      </c>
      <c r="B909" s="58" t="inlineStr">
        <is>
          <t>Bergen</t>
        </is>
      </c>
      <c r="C909" s="58" t="inlineStr">
        <is>
          <t>John O'Donoghue</t>
        </is>
      </c>
      <c r="D909" s="58" t="inlineStr">
        <is>
          <t>Off-premise</t>
        </is>
      </c>
      <c r="E909" s="53" t="n">
        <v>69</v>
      </c>
      <c r="F909" s="53" t="n">
        <v>97</v>
      </c>
      <c r="G909" s="55" t="n">
        <v>677.4</v>
      </c>
      <c r="H909" s="55" t="n">
        <v>967.1899999999999</v>
      </c>
      <c r="I909" s="53" t="n">
        <v>12</v>
      </c>
      <c r="J909" s="53" t="n">
        <v>16</v>
      </c>
      <c r="K909" s="53" t="n">
        <v>13</v>
      </c>
      <c r="L909" s="53" t="n">
        <v>15</v>
      </c>
      <c r="M909" s="33">
        <f>F909-E909</f>
        <v/>
      </c>
      <c r="N909" s="33">
        <f>L909-K909</f>
        <v/>
      </c>
    </row>
    <row r="910">
      <c r="A910" s="58" t="inlineStr">
        <is>
          <t>150031 Fairfield Wine Cellar</t>
        </is>
      </c>
      <c r="B910" s="58" t="inlineStr">
        <is>
          <t>Essex</t>
        </is>
      </c>
      <c r="C910" s="58" t="inlineStr">
        <is>
          <t>John O'Donoghue</t>
        </is>
      </c>
      <c r="D910" s="58" t="inlineStr">
        <is>
          <t>Off-premise</t>
        </is>
      </c>
      <c r="E910" s="53" t="n">
        <v>19</v>
      </c>
      <c r="F910" s="53" t="n">
        <v>21</v>
      </c>
      <c r="G910" s="55" t="n">
        <v>156.68</v>
      </c>
      <c r="H910" s="55" t="n">
        <v>148.41</v>
      </c>
      <c r="I910" s="53" t="n">
        <v>122</v>
      </c>
      <c r="J910" s="53" t="n">
        <v>102</v>
      </c>
      <c r="K910" s="53" t="n">
        <v>19</v>
      </c>
      <c r="L910" s="53" t="n">
        <v>21</v>
      </c>
      <c r="M910" s="33">
        <f>F910-E910</f>
        <v/>
      </c>
      <c r="N910" s="33">
        <f>L910-K910</f>
        <v/>
      </c>
    </row>
    <row r="911">
      <c r="A911" s="58" t="inlineStr">
        <is>
          <t>190224 Stirling Fine Wines</t>
        </is>
      </c>
      <c r="B911" s="58" t="inlineStr">
        <is>
          <t>Morris</t>
        </is>
      </c>
      <c r="C911" s="58" t="inlineStr">
        <is>
          <t>John O'Donoghue</t>
        </is>
      </c>
      <c r="D911" s="58" t="inlineStr">
        <is>
          <t>Unmatched</t>
        </is>
      </c>
      <c r="E911" s="53" t="n">
        <v>10</v>
      </c>
      <c r="F911" s="53" t="n">
        <v>12</v>
      </c>
      <c r="G911" s="55" t="n">
        <v>71.59999999999999</v>
      </c>
      <c r="H911" s="55" t="n">
        <v>85.92</v>
      </c>
      <c r="I911" s="53" t="n">
        <v>610</v>
      </c>
      <c r="J911" s="53" t="n">
        <v>534</v>
      </c>
      <c r="K911" s="53" t="n">
        <v>10</v>
      </c>
      <c r="L911" s="53" t="n">
        <v>12</v>
      </c>
      <c r="M911" s="33">
        <f>F911-E911</f>
        <v/>
      </c>
      <c r="N911" s="33">
        <f>L911-K911</f>
        <v/>
      </c>
    </row>
    <row r="912">
      <c r="A912" s="58" t="inlineStr">
        <is>
          <t>190651 Bottle King (A) Ledgewood</t>
        </is>
      </c>
      <c r="B912" s="58" t="inlineStr">
        <is>
          <t>Morris</t>
        </is>
      </c>
      <c r="C912" s="58" t="inlineStr">
        <is>
          <t>John O'Donoghue</t>
        </is>
      </c>
      <c r="D912" s="58" t="inlineStr">
        <is>
          <t>Unmatched</t>
        </is>
      </c>
      <c r="E912" s="53" t="n">
        <v>9</v>
      </c>
      <c r="F912" s="53" t="n">
        <v>11</v>
      </c>
      <c r="G912" s="55" t="n">
        <v>126.3</v>
      </c>
      <c r="H912" s="55" t="n">
        <v>134.5</v>
      </c>
      <c r="I912" s="53" t="n">
        <v>481</v>
      </c>
      <c r="J912" s="53" t="n">
        <v>444</v>
      </c>
      <c r="K912" s="53" t="n">
        <v>9</v>
      </c>
      <c r="L912" s="53" t="n">
        <v>11</v>
      </c>
      <c r="M912" s="33">
        <f>F912-E912</f>
        <v/>
      </c>
      <c r="N912" s="33">
        <f>L912-K912</f>
        <v/>
      </c>
    </row>
    <row r="913">
      <c r="A913" s="58" t="inlineStr">
        <is>
          <t>190655 Sandy's Wine &amp; Spirits (Flanders)</t>
        </is>
      </c>
      <c r="B913" s="58" t="inlineStr">
        <is>
          <t>Morris</t>
        </is>
      </c>
      <c r="C913" s="58" t="inlineStr">
        <is>
          <t>John O'Donoghue</t>
        </is>
      </c>
      <c r="D913" s="58" t="inlineStr">
        <is>
          <t>Unmatched</t>
        </is>
      </c>
      <c r="E913" s="53" t="n">
        <v>0</v>
      </c>
      <c r="F913" s="53" t="n">
        <v>2</v>
      </c>
      <c r="G913" s="55" t="n">
        <v>0</v>
      </c>
      <c r="H913" s="55" t="n">
        <v>14.32</v>
      </c>
      <c r="I913" s="53" t="n">
        <v>419</v>
      </c>
      <c r="J913" s="53" t="n">
        <v>439</v>
      </c>
      <c r="K913" s="53" t="n">
        <v>0</v>
      </c>
      <c r="L913" s="53" t="n">
        <v>2</v>
      </c>
      <c r="M913" s="33">
        <f>F913-E913</f>
        <v/>
      </c>
      <c r="N913" s="33">
        <f>L913-K913</f>
        <v/>
      </c>
    </row>
    <row r="914">
      <c r="A914" s="58" t="inlineStr">
        <is>
          <t>77017 Hook &amp; Reel</t>
        </is>
      </c>
      <c r="B914" s="58" t="inlineStr">
        <is>
          <t>Bergen</t>
        </is>
      </c>
      <c r="C914" s="58" t="inlineStr">
        <is>
          <t>Matt Powierski</t>
        </is>
      </c>
      <c r="D914" s="58" t="inlineStr">
        <is>
          <t>On-premise</t>
        </is>
      </c>
      <c r="E914" s="53" t="n">
        <v>137</v>
      </c>
      <c r="F914" s="53" t="n">
        <v>118</v>
      </c>
      <c r="G914" s="55" t="n">
        <v>1495.96</v>
      </c>
      <c r="H914" s="55" t="n">
        <v>1243.04</v>
      </c>
      <c r="I914" s="53" t="n">
        <v>9</v>
      </c>
      <c r="J914" s="53" t="n">
        <v>7</v>
      </c>
      <c r="K914" s="53" t="n">
        <v>9</v>
      </c>
      <c r="L914" s="53" t="n">
        <v>11</v>
      </c>
      <c r="M914" s="33">
        <f>F914-E914</f>
        <v/>
      </c>
      <c r="N914" s="33">
        <f>L914-K914</f>
        <v/>
      </c>
    </row>
    <row r="915">
      <c r="A915" s="58" t="inlineStr">
        <is>
          <t>151020 Porta</t>
        </is>
      </c>
      <c r="B915" s="58" t="inlineStr">
        <is>
          <t>Essex</t>
        </is>
      </c>
      <c r="C915" s="58" t="inlineStr">
        <is>
          <t>Michael Harboy</t>
        </is>
      </c>
      <c r="D915" s="58" t="inlineStr">
        <is>
          <t>On-premise</t>
        </is>
      </c>
      <c r="E915" s="53" t="n">
        <v>0</v>
      </c>
      <c r="F915" s="53" t="n">
        <v>2</v>
      </c>
      <c r="G915" s="55" t="n">
        <v>0</v>
      </c>
      <c r="H915" s="55" t="n">
        <v>27.68</v>
      </c>
      <c r="I915" s="53" t="n">
        <v>5</v>
      </c>
      <c r="J915" s="53" t="n">
        <v>4</v>
      </c>
      <c r="K915" s="53" t="n">
        <v>0</v>
      </c>
      <c r="L915" s="53" t="n">
        <v>2</v>
      </c>
      <c r="M915" s="33">
        <f>F915-E915</f>
        <v/>
      </c>
      <c r="N915" s="33">
        <f>L915-K915</f>
        <v/>
      </c>
    </row>
    <row r="916">
      <c r="A916" s="58" t="inlineStr">
        <is>
          <t>84009 Mac Murphy</t>
        </is>
      </c>
      <c r="B916" s="58" t="inlineStr">
        <is>
          <t>Bergen</t>
        </is>
      </c>
      <c r="C916" s="58" t="inlineStr">
        <is>
          <t>Mike Ast</t>
        </is>
      </c>
      <c r="D916" s="58" t="inlineStr">
        <is>
          <t>On-premise</t>
        </is>
      </c>
      <c r="E916" s="53" t="n">
        <v>537</v>
      </c>
      <c r="F916" s="53" t="n">
        <v>579</v>
      </c>
      <c r="G916" s="55" t="n">
        <v>3387.44</v>
      </c>
      <c r="H916" s="55" t="n">
        <v>3722.39</v>
      </c>
      <c r="I916" s="53" t="n">
        <v>87</v>
      </c>
      <c r="J916" s="53" t="n">
        <v>100</v>
      </c>
      <c r="K916" s="53" t="n">
        <v>10</v>
      </c>
      <c r="L916" s="53" t="n">
        <v>12</v>
      </c>
      <c r="M916" s="33">
        <f>F916-E916</f>
        <v/>
      </c>
      <c r="N916" s="33">
        <f>L916-K916</f>
        <v/>
      </c>
    </row>
    <row r="917">
      <c r="A917" s="58" t="inlineStr">
        <is>
          <t>40025 Pf Changs China Bis(A) (Hackensack)</t>
        </is>
      </c>
      <c r="B917" s="58" t="inlineStr">
        <is>
          <t>Bergen</t>
        </is>
      </c>
      <c r="C917" s="58" t="inlineStr">
        <is>
          <t>Nick Melissari</t>
        </is>
      </c>
      <c r="D917" s="58" t="inlineStr">
        <is>
          <t>On-premise</t>
        </is>
      </c>
      <c r="E917" s="53" t="n">
        <v>43</v>
      </c>
      <c r="F917" s="53" t="n">
        <v>44</v>
      </c>
      <c r="G917" s="55" t="n">
        <v>338.29</v>
      </c>
      <c r="H917" s="55" t="n">
        <v>358.24</v>
      </c>
      <c r="I917" s="53" t="n">
        <v>30</v>
      </c>
      <c r="J917" s="53" t="n">
        <v>26</v>
      </c>
      <c r="K917" s="53" t="n">
        <v>31</v>
      </c>
      <c r="L917" s="53" t="n">
        <v>33</v>
      </c>
      <c r="M917" s="33">
        <f>F917-E917</f>
        <v/>
      </c>
      <c r="N917" s="33">
        <f>L917-K917</f>
        <v/>
      </c>
    </row>
    <row r="918">
      <c r="A918" s="58" t="inlineStr">
        <is>
          <t>37022 Ceviche Peruvian Cuisine</t>
        </is>
      </c>
      <c r="B918" s="58" t="inlineStr">
        <is>
          <t>Bergen</t>
        </is>
      </c>
      <c r="C918" s="58" t="inlineStr">
        <is>
          <t>Nick Melissari</t>
        </is>
      </c>
      <c r="D918" s="58" t="inlineStr">
        <is>
          <t>Unmatched</t>
        </is>
      </c>
      <c r="E918" s="53" t="n">
        <v>41</v>
      </c>
      <c r="F918" s="53" t="n">
        <v>139</v>
      </c>
      <c r="G918" s="55" t="n">
        <v>353.39</v>
      </c>
      <c r="H918" s="55" t="n">
        <v>1368.11</v>
      </c>
      <c r="I918" s="53" t="n">
        <v>0</v>
      </c>
      <c r="J918" s="53" t="n">
        <v>0</v>
      </c>
      <c r="K918" s="53" t="n">
        <v>3</v>
      </c>
      <c r="L918" s="53" t="n">
        <v>5</v>
      </c>
      <c r="M918" s="33">
        <f>F918-E918</f>
        <v/>
      </c>
      <c r="N918" s="33">
        <f>L918-K918</f>
        <v/>
      </c>
    </row>
    <row r="919">
      <c r="A919" s="58" t="inlineStr">
        <is>
          <t>94002 Trovato's Due (Z)</t>
        </is>
      </c>
      <c r="B919" s="58" t="inlineStr">
        <is>
          <t>Bergen</t>
        </is>
      </c>
      <c r="C919" s="58" t="inlineStr">
        <is>
          <t>Nick Melissari</t>
        </is>
      </c>
      <c r="D919" s="58" t="inlineStr">
        <is>
          <t>On-premise</t>
        </is>
      </c>
      <c r="E919" s="53" t="n">
        <v>71</v>
      </c>
      <c r="F919" s="53" t="n">
        <v>75</v>
      </c>
      <c r="G919" s="55" t="n">
        <v>853.59</v>
      </c>
      <c r="H919" s="55" t="n">
        <v>828.91</v>
      </c>
      <c r="I919" s="53" t="n">
        <v>14</v>
      </c>
      <c r="J919" s="53" t="n">
        <v>10</v>
      </c>
      <c r="K919" s="53" t="n">
        <v>7</v>
      </c>
      <c r="L919" s="53" t="n">
        <v>9</v>
      </c>
      <c r="M919" s="33">
        <f>F919-E919</f>
        <v/>
      </c>
      <c r="N919" s="33">
        <f>L919-K919</f>
        <v/>
      </c>
    </row>
    <row r="920">
      <c r="A920" s="58" t="inlineStr">
        <is>
          <t>36014 Viva Margarita Wallington</t>
        </is>
      </c>
      <c r="B920" s="58" t="inlineStr">
        <is>
          <t>Bergen</t>
        </is>
      </c>
      <c r="C920" s="58" t="inlineStr">
        <is>
          <t>Nick Melissari</t>
        </is>
      </c>
      <c r="D920" s="58" t="inlineStr">
        <is>
          <t>On-premise</t>
        </is>
      </c>
      <c r="E920" s="53" t="n">
        <v>124</v>
      </c>
      <c r="F920" s="53" t="n">
        <v>112</v>
      </c>
      <c r="G920" s="55" t="n">
        <v>1318.22</v>
      </c>
      <c r="H920" s="55" t="n">
        <v>1070.86</v>
      </c>
      <c r="I920" s="53" t="n">
        <v>32</v>
      </c>
      <c r="J920" s="53" t="n">
        <v>23</v>
      </c>
      <c r="K920" s="53" t="n">
        <v>26</v>
      </c>
      <c r="L920" s="53" t="n">
        <v>28</v>
      </c>
      <c r="M920" s="33">
        <f>F920-E920</f>
        <v/>
      </c>
      <c r="N920" s="33">
        <f>L920-K920</f>
        <v/>
      </c>
    </row>
    <row r="921">
      <c r="A921" s="58" t="inlineStr">
        <is>
          <t>41033 Applebee's (A) Hackensack</t>
        </is>
      </c>
      <c r="B921" s="58" t="inlineStr">
        <is>
          <t>Bergen</t>
        </is>
      </c>
      <c r="C921" s="58" t="inlineStr">
        <is>
          <t>Nick Melissari</t>
        </is>
      </c>
      <c r="D921" s="58" t="inlineStr">
        <is>
          <t>On-premise</t>
        </is>
      </c>
      <c r="E921" s="53" t="n">
        <v>192</v>
      </c>
      <c r="F921" s="53" t="n">
        <v>198</v>
      </c>
      <c r="G921" s="55" t="n">
        <v>1368.45</v>
      </c>
      <c r="H921" s="55" t="n">
        <v>1347.32</v>
      </c>
      <c r="I921" s="53" t="n">
        <v>32</v>
      </c>
      <c r="J921" s="53" t="n">
        <v>32</v>
      </c>
      <c r="K921" s="53" t="n">
        <v>4</v>
      </c>
      <c r="L921" s="53" t="n">
        <v>6</v>
      </c>
      <c r="M921" s="33">
        <f>F921-E921</f>
        <v/>
      </c>
      <c r="N921" s="33">
        <f>L921-K921</f>
        <v/>
      </c>
    </row>
    <row r="922">
      <c r="A922" s="58" t="inlineStr">
        <is>
          <t>80017 Season's 52</t>
        </is>
      </c>
      <c r="B922" s="58" t="inlineStr">
        <is>
          <t>Bergen</t>
        </is>
      </c>
      <c r="C922" s="58" t="inlineStr">
        <is>
          <t>Nick Melissari</t>
        </is>
      </c>
      <c r="D922" s="58" t="inlineStr">
        <is>
          <t>Unmatched</t>
        </is>
      </c>
      <c r="E922" s="53" t="n">
        <v>24</v>
      </c>
      <c r="F922" s="53" t="n">
        <v>30</v>
      </c>
      <c r="G922" s="55" t="n">
        <v>252.15</v>
      </c>
      <c r="H922" s="55" t="n">
        <v>308.03</v>
      </c>
      <c r="I922" s="53" t="n">
        <v>11</v>
      </c>
      <c r="J922" s="53" t="n">
        <v>11</v>
      </c>
      <c r="K922" s="53" t="n">
        <v>6</v>
      </c>
      <c r="L922" s="53" t="n">
        <v>8</v>
      </c>
      <c r="M922" s="33">
        <f>F922-E922</f>
        <v/>
      </c>
      <c r="N922" s="33">
        <f>L922-K922</f>
        <v/>
      </c>
    </row>
    <row r="923">
      <c r="A923" s="58" t="inlineStr">
        <is>
          <t>31061 Tipsy Tie Dye</t>
        </is>
      </c>
      <c r="B923" s="58" t="inlineStr">
        <is>
          <t>Bergen</t>
        </is>
      </c>
      <c r="C923" s="58" t="inlineStr">
        <is>
          <t>Nick Melissari</t>
        </is>
      </c>
      <c r="D923" s="58" t="inlineStr">
        <is>
          <t>On-premise</t>
        </is>
      </c>
      <c r="E923" s="53" t="n">
        <v>0</v>
      </c>
      <c r="F923" s="53" t="n">
        <v>10</v>
      </c>
      <c r="G923" s="55" t="n">
        <v>0</v>
      </c>
      <c r="H923" s="55" t="n">
        <v>107.55</v>
      </c>
      <c r="I923" s="53" t="n">
        <v>0</v>
      </c>
      <c r="J923" s="53" t="n">
        <v>12</v>
      </c>
      <c r="K923" s="53" t="n">
        <v>0</v>
      </c>
      <c r="L923" s="53" t="n">
        <v>2</v>
      </c>
      <c r="M923" s="33">
        <f>F923-E923</f>
        <v/>
      </c>
      <c r="N923" s="33">
        <f>L923-K923</f>
        <v/>
      </c>
    </row>
    <row r="924">
      <c r="A924" s="58" t="inlineStr">
        <is>
          <t>20029 Star Liquor Store</t>
        </is>
      </c>
      <c r="B924" s="58" t="inlineStr">
        <is>
          <t>Passaic</t>
        </is>
      </c>
      <c r="C924" s="58" t="inlineStr">
        <is>
          <t>Pablo Lopez</t>
        </is>
      </c>
      <c r="D924" s="58" t="inlineStr">
        <is>
          <t>Off-premise</t>
        </is>
      </c>
      <c r="E924" s="53" t="n">
        <v>617</v>
      </c>
      <c r="F924" s="53" t="n">
        <v>547</v>
      </c>
      <c r="G924" s="55" t="n">
        <v>4364.68</v>
      </c>
      <c r="H924" s="55" t="n">
        <v>3119.42</v>
      </c>
      <c r="I924" s="53" t="n">
        <v>153</v>
      </c>
      <c r="J924" s="53" t="n">
        <v>123</v>
      </c>
      <c r="K924" s="53" t="n">
        <v>62</v>
      </c>
      <c r="L924" s="53" t="n">
        <v>64</v>
      </c>
      <c r="M924" s="33">
        <f>F924-E924</f>
        <v/>
      </c>
      <c r="N924" s="33">
        <f>L924-K924</f>
        <v/>
      </c>
    </row>
    <row r="925">
      <c r="A925" s="58" t="inlineStr">
        <is>
          <t>15046 Romo Restaurant</t>
        </is>
      </c>
      <c r="B925" s="58" t="inlineStr">
        <is>
          <t>Passaic</t>
        </is>
      </c>
      <c r="C925" s="58" t="inlineStr">
        <is>
          <t>Pablo Lopez</t>
        </is>
      </c>
      <c r="D925" s="58" t="inlineStr">
        <is>
          <t>On-premise</t>
        </is>
      </c>
      <c r="E925" s="53" t="n">
        <v>0</v>
      </c>
      <c r="F925" s="53" t="n">
        <v>277</v>
      </c>
      <c r="G925" s="55" t="n">
        <v>0</v>
      </c>
      <c r="H925" s="55" t="n">
        <v>2758.45</v>
      </c>
      <c r="I925" s="53" t="n">
        <v>0</v>
      </c>
      <c r="J925" s="53" t="n">
        <v>35</v>
      </c>
      <c r="K925" s="53" t="n">
        <v>0</v>
      </c>
      <c r="L925" s="53" t="n">
        <v>2</v>
      </c>
      <c r="M925" s="33">
        <f>F925-E925</f>
        <v/>
      </c>
      <c r="N925" s="33">
        <f>L925-K925</f>
        <v/>
      </c>
    </row>
    <row r="926">
      <c r="A926" s="58" t="inlineStr">
        <is>
          <t>85001 Eleven Central</t>
        </is>
      </c>
      <c r="B926" s="58" t="inlineStr">
        <is>
          <t>Bergen</t>
        </is>
      </c>
      <c r="C926" s="58" t="inlineStr">
        <is>
          <t>Paul Mclaughlin</t>
        </is>
      </c>
      <c r="D926" s="58" t="inlineStr">
        <is>
          <t>On-premise</t>
        </is>
      </c>
      <c r="E926" s="53" t="n">
        <v>142</v>
      </c>
      <c r="F926" s="53" t="n">
        <v>189</v>
      </c>
      <c r="G926" s="55" t="n">
        <v>1229.74</v>
      </c>
      <c r="H926" s="55" t="n">
        <v>1564.38</v>
      </c>
      <c r="I926" s="53" t="n">
        <v>72</v>
      </c>
      <c r="J926" s="53" t="n">
        <v>61</v>
      </c>
      <c r="K926" s="53" t="n">
        <v>25</v>
      </c>
      <c r="L926" s="53" t="n">
        <v>27</v>
      </c>
      <c r="M926" s="33">
        <f>F926-E926</f>
        <v/>
      </c>
      <c r="N926" s="33">
        <f>L926-K926</f>
        <v/>
      </c>
    </row>
    <row r="927">
      <c r="A927" s="58" t="inlineStr">
        <is>
          <t>39007 Club Flamingo (A)</t>
        </is>
      </c>
      <c r="B927" s="58" t="inlineStr">
        <is>
          <t>Bergen</t>
        </is>
      </c>
      <c r="C927" s="58" t="inlineStr">
        <is>
          <t>Paul Mclaughlin</t>
        </is>
      </c>
      <c r="D927" s="58" t="inlineStr">
        <is>
          <t>On-premise</t>
        </is>
      </c>
      <c r="E927" s="53" t="n">
        <v>243</v>
      </c>
      <c r="F927" s="53" t="n">
        <v>172</v>
      </c>
      <c r="G927" s="55" t="n">
        <v>2226.64</v>
      </c>
      <c r="H927" s="55" t="n">
        <v>1638.12</v>
      </c>
      <c r="I927" s="53" t="n">
        <v>18</v>
      </c>
      <c r="J927" s="53" t="n">
        <v>25</v>
      </c>
      <c r="K927" s="53" t="n">
        <v>1</v>
      </c>
      <c r="L927" s="53" t="n">
        <v>3</v>
      </c>
      <c r="M927" s="33">
        <f>F927-E927</f>
        <v/>
      </c>
      <c r="N927" s="33">
        <f>L927-K927</f>
        <v/>
      </c>
    </row>
    <row r="928">
      <c r="A928" s="58" t="inlineStr">
        <is>
          <t>50035 Nobo</t>
        </is>
      </c>
      <c r="B928" s="58" t="inlineStr">
        <is>
          <t>Bergen</t>
        </is>
      </c>
      <c r="C928" s="58" t="inlineStr">
        <is>
          <t>Paul Mclaughlin</t>
        </is>
      </c>
      <c r="D928" s="58" t="inlineStr">
        <is>
          <t>On-premise</t>
        </is>
      </c>
      <c r="E928" s="53" t="n">
        <v>0</v>
      </c>
      <c r="F928" s="53" t="n">
        <v>6</v>
      </c>
      <c r="G928" s="55" t="n">
        <v>0</v>
      </c>
      <c r="H928" s="55" t="n">
        <v>65.28</v>
      </c>
      <c r="I928" s="53" t="n">
        <v>0</v>
      </c>
      <c r="J928" s="53" t="n">
        <v>0</v>
      </c>
      <c r="K928" s="53" t="n">
        <v>0</v>
      </c>
      <c r="L928" s="53" t="n">
        <v>2</v>
      </c>
      <c r="M928" s="33">
        <f>F928-E928</f>
        <v/>
      </c>
      <c r="N928" s="33">
        <f>L928-K928</f>
        <v/>
      </c>
    </row>
    <row r="929">
      <c r="A929" s="58" t="inlineStr">
        <is>
          <t>51005 Zina's Steakhouse &amp; Grill</t>
        </is>
      </c>
      <c r="B929" s="58" t="inlineStr">
        <is>
          <t>Bergen</t>
        </is>
      </c>
      <c r="C929" s="58" t="inlineStr">
        <is>
          <t>Paul Mclaughlin</t>
        </is>
      </c>
      <c r="D929" s="58" t="inlineStr">
        <is>
          <t>On-premise</t>
        </is>
      </c>
      <c r="E929" s="53" t="n">
        <v>0</v>
      </c>
      <c r="F929" s="53" t="n">
        <v>37</v>
      </c>
      <c r="G929" s="55" t="n">
        <v>0</v>
      </c>
      <c r="H929" s="55" t="n">
        <v>387.45</v>
      </c>
      <c r="I929" s="53" t="n">
        <v>0</v>
      </c>
      <c r="J929" s="53" t="n">
        <v>0</v>
      </c>
      <c r="K929" s="53" t="n">
        <v>0</v>
      </c>
      <c r="L929" s="53" t="n">
        <v>2</v>
      </c>
      <c r="M929" s="33">
        <f>F929-E929</f>
        <v/>
      </c>
      <c r="N929" s="33">
        <f>L929-K929</f>
        <v/>
      </c>
    </row>
    <row r="930">
      <c r="A930" s="58" t="inlineStr">
        <is>
          <t>62008 Bareburger (Closter)</t>
        </is>
      </c>
      <c r="B930" s="58" t="inlineStr">
        <is>
          <t>Bergen</t>
        </is>
      </c>
      <c r="C930" s="58" t="inlineStr">
        <is>
          <t>Paul Mclaughlin</t>
        </is>
      </c>
      <c r="D930" s="58" t="inlineStr">
        <is>
          <t>On-premise</t>
        </is>
      </c>
      <c r="E930" s="53" t="n">
        <v>91</v>
      </c>
      <c r="F930" s="53" t="n">
        <v>70</v>
      </c>
      <c r="G930" s="55" t="n">
        <v>873.1</v>
      </c>
      <c r="H930" s="55" t="n">
        <v>671.7199999999999</v>
      </c>
      <c r="I930" s="53" t="n">
        <v>61</v>
      </c>
      <c r="J930" s="53" t="n">
        <v>35</v>
      </c>
      <c r="K930" s="53" t="n">
        <v>19</v>
      </c>
      <c r="L930" s="53" t="n">
        <v>21</v>
      </c>
      <c r="M930" s="33">
        <f>F930-E930</f>
        <v/>
      </c>
      <c r="N930" s="33">
        <f>L930-K930</f>
        <v/>
      </c>
    </row>
    <row r="931">
      <c r="A931" s="58" t="inlineStr">
        <is>
          <t>81002 Shoti Bread House</t>
        </is>
      </c>
      <c r="B931" s="58" t="inlineStr">
        <is>
          <t>Bergen</t>
        </is>
      </c>
      <c r="C931" s="58" t="inlineStr">
        <is>
          <t>Paul Mclaughlin</t>
        </is>
      </c>
      <c r="D931" s="58" t="inlineStr">
        <is>
          <t>Unmatched</t>
        </is>
      </c>
      <c r="E931" s="53" t="n">
        <v>0</v>
      </c>
      <c r="F931" s="53" t="n">
        <v>9</v>
      </c>
      <c r="G931" s="55" t="n">
        <v>0</v>
      </c>
      <c r="H931" s="55" t="n">
        <v>94.10000000000001</v>
      </c>
      <c r="I931" s="53" t="n">
        <v>0</v>
      </c>
      <c r="J931" s="53" t="n">
        <v>1</v>
      </c>
      <c r="K931" s="53" t="n">
        <v>0</v>
      </c>
      <c r="L931" s="53" t="n">
        <v>2</v>
      </c>
      <c r="M931" s="33">
        <f>F931-E931</f>
        <v/>
      </c>
      <c r="N931" s="33">
        <f>L931-K931</f>
        <v/>
      </c>
    </row>
    <row r="932">
      <c r="A932" s="58" t="inlineStr">
        <is>
          <t>86005 K Of C (Z) Washing. Twsp</t>
        </is>
      </c>
      <c r="B932" s="58" t="inlineStr">
        <is>
          <t>Bergen</t>
        </is>
      </c>
      <c r="C932" s="58" t="inlineStr">
        <is>
          <t>Robin Feldman</t>
        </is>
      </c>
      <c r="D932" s="58" t="inlineStr">
        <is>
          <t>On-premise</t>
        </is>
      </c>
      <c r="E932" s="53" t="n">
        <v>105</v>
      </c>
      <c r="F932" s="53" t="n">
        <v>70</v>
      </c>
      <c r="G932" s="55" t="n">
        <v>813.8900000000001</v>
      </c>
      <c r="H932" s="55" t="n">
        <v>534.7</v>
      </c>
      <c r="I932" s="53" t="n">
        <v>5</v>
      </c>
      <c r="J932" s="53" t="n">
        <v>14</v>
      </c>
      <c r="K932" s="53" t="n">
        <v>1</v>
      </c>
      <c r="L932" s="53" t="n">
        <v>3</v>
      </c>
      <c r="M932" s="33">
        <f>F932-E932</f>
        <v/>
      </c>
      <c r="N932" s="33">
        <f>L932-K932</f>
        <v/>
      </c>
    </row>
    <row r="933">
      <c r="A933" s="58" t="inlineStr">
        <is>
          <t>230433 Stillwater Area Vol Fire</t>
        </is>
      </c>
      <c r="B933" s="58" t="inlineStr">
        <is>
          <t>Sussex</t>
        </is>
      </c>
      <c r="C933" s="58" t="inlineStr">
        <is>
          <t>Robin Feldman</t>
        </is>
      </c>
      <c r="D933" s="58" t="inlineStr">
        <is>
          <t>On-premise</t>
        </is>
      </c>
      <c r="E933" s="53" t="n">
        <v>10</v>
      </c>
      <c r="F933" s="53" t="n">
        <v>16</v>
      </c>
      <c r="G933" s="55" t="n">
        <v>99.18000000000001</v>
      </c>
      <c r="H933" s="55" t="n">
        <v>157.09</v>
      </c>
      <c r="I933" s="53" t="n">
        <v>0</v>
      </c>
      <c r="J933" s="53" t="n">
        <v>1</v>
      </c>
      <c r="K933" s="53" t="n">
        <v>0</v>
      </c>
      <c r="L933" s="53" t="n">
        <v>2</v>
      </c>
      <c r="M933" s="33">
        <f>F933-E933</f>
        <v/>
      </c>
      <c r="N933" s="33">
        <f>L933-K933</f>
        <v/>
      </c>
    </row>
    <row r="934">
      <c r="A934" s="58" t="inlineStr">
        <is>
          <t>11012 American Lg 279 Lincoln Park</t>
        </is>
      </c>
      <c r="B934" s="58" t="inlineStr">
        <is>
          <t>Morris</t>
        </is>
      </c>
      <c r="C934" s="58" t="inlineStr">
        <is>
          <t>Robin Feldman</t>
        </is>
      </c>
      <c r="D934" s="58" t="inlineStr">
        <is>
          <t>On-premise</t>
        </is>
      </c>
      <c r="E934" s="53" t="n">
        <v>24</v>
      </c>
      <c r="F934" s="53" t="n">
        <v>25</v>
      </c>
      <c r="G934" s="55" t="n">
        <v>198.38</v>
      </c>
      <c r="H934" s="55" t="n">
        <v>221.88</v>
      </c>
      <c r="I934" s="53" t="n">
        <v>0</v>
      </c>
      <c r="J934" s="53" t="n">
        <v>3</v>
      </c>
      <c r="K934" s="53" t="n">
        <v>0</v>
      </c>
      <c r="L934" s="53" t="n">
        <v>2</v>
      </c>
      <c r="M934" s="33">
        <f>F934-E934</f>
        <v/>
      </c>
      <c r="N934" s="33">
        <f>L934-K934</f>
        <v/>
      </c>
    </row>
    <row r="935">
      <c r="A935" s="58" t="inlineStr">
        <is>
          <t>190605 Hunan Taste (Z)</t>
        </is>
      </c>
      <c r="B935" s="58" t="inlineStr">
        <is>
          <t>Morris</t>
        </is>
      </c>
      <c r="C935" s="58" t="inlineStr">
        <is>
          <t>Robin Feldman</t>
        </is>
      </c>
      <c r="D935" s="58" t="inlineStr">
        <is>
          <t>On-premise</t>
        </is>
      </c>
      <c r="E935" s="53" t="n">
        <v>47</v>
      </c>
      <c r="F935" s="53" t="n">
        <v>40</v>
      </c>
      <c r="G935" s="55" t="n">
        <v>511.1799999999999</v>
      </c>
      <c r="H935" s="55" t="n">
        <v>422.5400000000001</v>
      </c>
      <c r="I935" s="53" t="n">
        <v>39</v>
      </c>
      <c r="J935" s="53" t="n">
        <v>26</v>
      </c>
      <c r="K935" s="53" t="n">
        <v>26</v>
      </c>
      <c r="L935" s="53" t="n">
        <v>28</v>
      </c>
      <c r="M935" s="33">
        <f>F935-E935</f>
        <v/>
      </c>
      <c r="N935" s="33">
        <f>L935-K935</f>
        <v/>
      </c>
    </row>
    <row r="936">
      <c r="A936" s="58" t="inlineStr">
        <is>
          <t>34010 Costillas Colombian Bar &amp; Grill</t>
        </is>
      </c>
      <c r="B936" s="58" t="inlineStr">
        <is>
          <t>Bergen</t>
        </is>
      </c>
      <c r="C936" s="58" t="inlineStr">
        <is>
          <t>Robin Feldman</t>
        </is>
      </c>
      <c r="D936" s="58" t="inlineStr">
        <is>
          <t>Unmatched</t>
        </is>
      </c>
      <c r="E936" s="53" t="n">
        <v>0</v>
      </c>
      <c r="F936" s="53" t="n">
        <v>18</v>
      </c>
      <c r="G936" s="55" t="n">
        <v>0</v>
      </c>
      <c r="H936" s="55" t="n">
        <v>189.48</v>
      </c>
      <c r="I936" s="53" t="n">
        <v>0</v>
      </c>
      <c r="J936" s="53" t="n">
        <v>7</v>
      </c>
      <c r="K936" s="53" t="n">
        <v>0</v>
      </c>
      <c r="L936" s="53" t="n">
        <v>2</v>
      </c>
      <c r="M936" s="33">
        <f>F936-E936</f>
        <v/>
      </c>
      <c r="N936" s="33">
        <f>L936-K936</f>
        <v/>
      </c>
    </row>
    <row r="937">
      <c r="A937" s="58" t="inlineStr">
        <is>
          <t>34014 Hasbrouck Heights Elks</t>
        </is>
      </c>
      <c r="B937" s="58" t="inlineStr">
        <is>
          <t>Bergen</t>
        </is>
      </c>
      <c r="C937" s="58" t="inlineStr">
        <is>
          <t>Robin Feldman</t>
        </is>
      </c>
      <c r="D937" s="58" t="inlineStr">
        <is>
          <t>On-premise</t>
        </is>
      </c>
      <c r="E937" s="53" t="n">
        <v>16</v>
      </c>
      <c r="F937" s="53" t="n">
        <v>24</v>
      </c>
      <c r="G937" s="55" t="n">
        <v>160.14</v>
      </c>
      <c r="H937" s="55" t="n">
        <v>201.34</v>
      </c>
      <c r="I937" s="53" t="n">
        <v>3</v>
      </c>
      <c r="J937" s="53" t="n">
        <v>4</v>
      </c>
      <c r="K937" s="53" t="n">
        <v>0</v>
      </c>
      <c r="L937" s="53" t="n">
        <v>2</v>
      </c>
      <c r="M937" s="33">
        <f>F937-E937</f>
        <v/>
      </c>
      <c r="N937" s="33">
        <f>L937-K937</f>
        <v/>
      </c>
    </row>
    <row r="938">
      <c r="A938" s="58" t="inlineStr">
        <is>
          <t>60017 K Of C Dumont</t>
        </is>
      </c>
      <c r="B938" s="58" t="inlineStr">
        <is>
          <t>Bergen</t>
        </is>
      </c>
      <c r="C938" s="58" t="inlineStr">
        <is>
          <t>Robin Feldman</t>
        </is>
      </c>
      <c r="D938" s="58" t="inlineStr">
        <is>
          <t>On-premise</t>
        </is>
      </c>
      <c r="E938" s="53" t="n">
        <v>34</v>
      </c>
      <c r="F938" s="53" t="n">
        <v>41</v>
      </c>
      <c r="G938" s="55" t="n">
        <v>270.01</v>
      </c>
      <c r="H938" s="55" t="n">
        <v>341.51</v>
      </c>
      <c r="I938" s="53" t="n">
        <v>6</v>
      </c>
      <c r="J938" s="53" t="n">
        <v>12</v>
      </c>
      <c r="K938" s="53" t="n">
        <v>0</v>
      </c>
      <c r="L938" s="53" t="n">
        <v>2</v>
      </c>
      <c r="M938" s="33">
        <f>F938-E938</f>
        <v/>
      </c>
      <c r="N938" s="33">
        <f>L938-K938</f>
        <v/>
      </c>
    </row>
    <row r="939">
      <c r="A939" s="58" t="inlineStr">
        <is>
          <t>6005 Smoke Rise Club (P)</t>
        </is>
      </c>
      <c r="B939" s="58" t="inlineStr">
        <is>
          <t>Morris</t>
        </is>
      </c>
      <c r="C939" s="58" t="inlineStr">
        <is>
          <t>Robin Feldman</t>
        </is>
      </c>
      <c r="D939" s="58" t="inlineStr">
        <is>
          <t>On-premise</t>
        </is>
      </c>
      <c r="E939" s="53" t="n">
        <v>16</v>
      </c>
      <c r="F939" s="53" t="n">
        <v>16</v>
      </c>
      <c r="G939" s="55" t="n">
        <v>155.59</v>
      </c>
      <c r="H939" s="55" t="n">
        <v>161.86</v>
      </c>
      <c r="I939" s="53" t="n">
        <v>3</v>
      </c>
      <c r="J939" s="53" t="n">
        <v>4</v>
      </c>
      <c r="K939" s="53" t="n">
        <v>1</v>
      </c>
      <c r="L939" s="53" t="n">
        <v>3</v>
      </c>
      <c r="M939" s="33">
        <f>F939-E939</f>
        <v/>
      </c>
      <c r="N939" s="33">
        <f>L939-K939</f>
        <v/>
      </c>
    </row>
    <row r="940">
      <c r="A940" s="58" t="inlineStr">
        <is>
          <t>76013 Vfw Of Saddlebrook</t>
        </is>
      </c>
      <c r="B940" s="58" t="inlineStr">
        <is>
          <t>Bergen</t>
        </is>
      </c>
      <c r="C940" s="58" t="inlineStr">
        <is>
          <t>Robin Feldman</t>
        </is>
      </c>
      <c r="D940" s="58" t="inlineStr">
        <is>
          <t>On-premise</t>
        </is>
      </c>
      <c r="E940" s="53" t="n">
        <v>290</v>
      </c>
      <c r="F940" s="53" t="n">
        <v>130</v>
      </c>
      <c r="G940" s="55" t="n">
        <v>1879.43</v>
      </c>
      <c r="H940" s="55" t="n">
        <v>839.89</v>
      </c>
      <c r="I940" s="53" t="n">
        <v>16</v>
      </c>
      <c r="J940" s="53" t="n">
        <v>15</v>
      </c>
      <c r="K940" s="53" t="n">
        <v>3</v>
      </c>
      <c r="L940" s="53" t="n">
        <v>5</v>
      </c>
      <c r="M940" s="33">
        <f>F940-E940</f>
        <v/>
      </c>
      <c r="N940" s="33">
        <f>L940-K940</f>
        <v/>
      </c>
    </row>
    <row r="941">
      <c r="A941" s="58" t="inlineStr">
        <is>
          <t>81005 The Craftsman</t>
        </is>
      </c>
      <c r="B941" s="58" t="inlineStr">
        <is>
          <t>Bergen</t>
        </is>
      </c>
      <c r="C941" s="58" t="inlineStr">
        <is>
          <t>Robin Feldman</t>
        </is>
      </c>
      <c r="D941" s="58" t="inlineStr">
        <is>
          <t>Unmatched</t>
        </is>
      </c>
      <c r="E941" s="53" t="n">
        <v>135</v>
      </c>
      <c r="F941" s="53" t="n">
        <v>160</v>
      </c>
      <c r="G941" s="55" t="n">
        <v>1406.87</v>
      </c>
      <c r="H941" s="55" t="n">
        <v>1741.3</v>
      </c>
      <c r="I941" s="53" t="n">
        <v>28</v>
      </c>
      <c r="J941" s="53" t="n">
        <v>40</v>
      </c>
      <c r="K941" s="53" t="n">
        <v>4</v>
      </c>
      <c r="L941" s="53" t="n">
        <v>6</v>
      </c>
      <c r="M941" s="33">
        <f>F941-E941</f>
        <v/>
      </c>
      <c r="N941" s="33">
        <f>L941-K941</f>
        <v/>
      </c>
    </row>
    <row r="942">
      <c r="A942" s="58" t="inlineStr">
        <is>
          <t>230124 Fu's Chinese (P) Rest.</t>
        </is>
      </c>
      <c r="B942" s="58" t="inlineStr">
        <is>
          <t>Sussex</t>
        </is>
      </c>
      <c r="C942" s="58" t="inlineStr">
        <is>
          <t>Robin Feldman</t>
        </is>
      </c>
      <c r="D942" s="58" t="inlineStr">
        <is>
          <t>On-premise</t>
        </is>
      </c>
      <c r="E942" s="53" t="n">
        <v>0</v>
      </c>
      <c r="F942" s="53" t="n">
        <v>4</v>
      </c>
      <c r="G942" s="55" t="n">
        <v>0</v>
      </c>
      <c r="H942" s="55" t="n">
        <v>48.06</v>
      </c>
      <c r="I942" s="53" t="n">
        <v>0</v>
      </c>
      <c r="J942" s="53" t="n">
        <v>20</v>
      </c>
      <c r="K942" s="53" t="n">
        <v>0</v>
      </c>
      <c r="L942" s="53" t="n">
        <v>2</v>
      </c>
      <c r="M942" s="33">
        <f>F942-E942</f>
        <v/>
      </c>
      <c r="N942" s="33">
        <f>L942-K942</f>
        <v/>
      </c>
    </row>
    <row r="943">
      <c r="A943" s="58" t="inlineStr">
        <is>
          <t>150155 L Town Liquors</t>
        </is>
      </c>
      <c r="B943" s="58" t="inlineStr">
        <is>
          <t>Essex</t>
        </is>
      </c>
      <c r="C943" s="58" t="inlineStr">
        <is>
          <t>Alex Rodriguez</t>
        </is>
      </c>
      <c r="D943" s="58" t="inlineStr">
        <is>
          <t>Off-premise</t>
        </is>
      </c>
      <c r="E943" s="53" t="n">
        <v>12</v>
      </c>
      <c r="F943" s="53" t="n">
        <v>13</v>
      </c>
      <c r="G943" s="55" t="n">
        <v>92.29000000000001</v>
      </c>
      <c r="H943" s="55" t="n">
        <v>97.84</v>
      </c>
      <c r="I943" s="53" t="n">
        <v>58</v>
      </c>
      <c r="J943" s="53" t="n">
        <v>73</v>
      </c>
      <c r="K943" s="53" t="n">
        <v>12</v>
      </c>
      <c r="L943" s="53" t="n">
        <v>13</v>
      </c>
      <c r="M943" s="33">
        <f>F943-E943</f>
        <v/>
      </c>
      <c r="N943" s="33">
        <f>L943-K943</f>
        <v/>
      </c>
    </row>
    <row r="944">
      <c r="A944" s="58" t="inlineStr">
        <is>
          <t>250059 Payless Liquor</t>
        </is>
      </c>
      <c r="B944" s="58" t="inlineStr">
        <is>
          <t>Union</t>
        </is>
      </c>
      <c r="C944" s="58" t="inlineStr">
        <is>
          <t>Alex Rodriguez</t>
        </is>
      </c>
      <c r="D944" s="58" t="inlineStr">
        <is>
          <t>Off-premise</t>
        </is>
      </c>
      <c r="E944" s="53" t="n">
        <v>9</v>
      </c>
      <c r="F944" s="53" t="n">
        <v>10</v>
      </c>
      <c r="G944" s="55" t="n">
        <v>71.53</v>
      </c>
      <c r="H944" s="55" t="n">
        <v>70.40000000000001</v>
      </c>
      <c r="I944" s="53" t="n">
        <v>99</v>
      </c>
      <c r="J944" s="53" t="n">
        <v>46</v>
      </c>
      <c r="K944" s="53" t="n">
        <v>9</v>
      </c>
      <c r="L944" s="53" t="n">
        <v>10</v>
      </c>
      <c r="M944" s="33">
        <f>F944-E944</f>
        <v/>
      </c>
      <c r="N944" s="33">
        <f>L944-K944</f>
        <v/>
      </c>
    </row>
    <row r="945">
      <c r="A945" s="58" t="inlineStr">
        <is>
          <t>250129 Super Value Liquors</t>
        </is>
      </c>
      <c r="B945" s="58" t="inlineStr">
        <is>
          <t>Union</t>
        </is>
      </c>
      <c r="C945" s="58" t="inlineStr">
        <is>
          <t>Alex Rodriguez</t>
        </is>
      </c>
      <c r="D945" s="58" t="inlineStr">
        <is>
          <t>Off-premise</t>
        </is>
      </c>
      <c r="E945" s="53" t="n">
        <v>9</v>
      </c>
      <c r="F945" s="53" t="n">
        <v>10</v>
      </c>
      <c r="G945" s="55" t="n">
        <v>70.83</v>
      </c>
      <c r="H945" s="55" t="n">
        <v>70.13</v>
      </c>
      <c r="I945" s="53" t="n">
        <v>87</v>
      </c>
      <c r="J945" s="53" t="n">
        <v>57</v>
      </c>
      <c r="K945" s="53" t="n">
        <v>9</v>
      </c>
      <c r="L945" s="53" t="n">
        <v>10</v>
      </c>
      <c r="M945" s="33">
        <f>F945-E945</f>
        <v/>
      </c>
      <c r="N945" s="33">
        <f>L945-K945</f>
        <v/>
      </c>
    </row>
    <row r="946">
      <c r="A946" s="58" t="inlineStr">
        <is>
          <t>250305 Valenca Rest &amp; Liquor</t>
        </is>
      </c>
      <c r="B946" s="58" t="inlineStr">
        <is>
          <t>Union</t>
        </is>
      </c>
      <c r="C946" s="58" t="inlineStr">
        <is>
          <t>Alex Rodriguez</t>
        </is>
      </c>
      <c r="D946" s="58" t="inlineStr">
        <is>
          <t>Off-premise</t>
        </is>
      </c>
      <c r="E946" s="53" t="n">
        <v>18</v>
      </c>
      <c r="F946" s="53" t="n">
        <v>19</v>
      </c>
      <c r="G946" s="55" t="n">
        <v>143.05</v>
      </c>
      <c r="H946" s="55" t="n">
        <v>163.95</v>
      </c>
      <c r="I946" s="53" t="n">
        <v>30</v>
      </c>
      <c r="J946" s="53" t="n">
        <v>14</v>
      </c>
      <c r="K946" s="53" t="n">
        <v>18</v>
      </c>
      <c r="L946" s="53" t="n">
        <v>19</v>
      </c>
      <c r="M946" s="33">
        <f>F946-E946</f>
        <v/>
      </c>
      <c r="N946" s="33">
        <f>L946-K946</f>
        <v/>
      </c>
    </row>
    <row r="947">
      <c r="A947" s="58" t="inlineStr">
        <is>
          <t>150146 Bello's</t>
        </is>
      </c>
      <c r="B947" s="58" t="inlineStr">
        <is>
          <t>Essex</t>
        </is>
      </c>
      <c r="C947" s="58" t="inlineStr">
        <is>
          <t>Alisa Acciardi</t>
        </is>
      </c>
      <c r="D947" s="58" t="inlineStr">
        <is>
          <t>On-premise</t>
        </is>
      </c>
      <c r="E947" s="53" t="n">
        <v>1</v>
      </c>
      <c r="F947" s="53" t="n">
        <v>2</v>
      </c>
      <c r="G947" s="55" t="n">
        <v>13.16</v>
      </c>
      <c r="H947" s="55" t="n">
        <v>26.32</v>
      </c>
      <c r="I947" s="53" t="n">
        <v>128</v>
      </c>
      <c r="J947" s="53" t="n">
        <v>71</v>
      </c>
      <c r="K947" s="53" t="n">
        <v>1</v>
      </c>
      <c r="L947" s="53" t="n">
        <v>2</v>
      </c>
      <c r="M947" s="33">
        <f>F947-E947</f>
        <v/>
      </c>
      <c r="N947" s="33">
        <f>L947-K947</f>
        <v/>
      </c>
    </row>
    <row r="948">
      <c r="A948" s="58" t="inlineStr">
        <is>
          <t>171303 Drink Rite Liquor</t>
        </is>
      </c>
      <c r="B948" s="58" t="inlineStr">
        <is>
          <t>Hudson</t>
        </is>
      </c>
      <c r="C948" s="58" t="inlineStr">
        <is>
          <t>Alisa Acciardi</t>
        </is>
      </c>
      <c r="D948" s="58" t="inlineStr">
        <is>
          <t>Off-premise</t>
        </is>
      </c>
      <c r="E948" s="53" t="n">
        <v>9</v>
      </c>
      <c r="F948" s="53" t="n">
        <v>10</v>
      </c>
      <c r="G948" s="55" t="n">
        <v>66.72</v>
      </c>
      <c r="H948" s="55" t="n">
        <v>69.62</v>
      </c>
      <c r="I948" s="53" t="n">
        <v>114</v>
      </c>
      <c r="J948" s="53" t="n">
        <v>65</v>
      </c>
      <c r="K948" s="53" t="n">
        <v>9</v>
      </c>
      <c r="L948" s="53" t="n">
        <v>10</v>
      </c>
      <c r="M948" s="33">
        <f>F948-E948</f>
        <v/>
      </c>
      <c r="N948" s="33">
        <f>L948-K948</f>
        <v/>
      </c>
    </row>
    <row r="949">
      <c r="A949" s="58" t="inlineStr">
        <is>
          <t>171309 KPot Korean BBQ &amp; Hot Pot</t>
        </is>
      </c>
      <c r="B949" s="58" t="inlineStr">
        <is>
          <t>Hudson</t>
        </is>
      </c>
      <c r="C949" s="58" t="inlineStr">
        <is>
          <t>Alisa Acciardi</t>
        </is>
      </c>
      <c r="D949" s="58" t="inlineStr">
        <is>
          <t>On-premise</t>
        </is>
      </c>
      <c r="E949" s="53" t="n">
        <v>34</v>
      </c>
      <c r="F949" s="53" t="n">
        <v>35</v>
      </c>
      <c r="G949" s="55" t="n">
        <v>211.25</v>
      </c>
      <c r="H949" s="55" t="n">
        <v>224.41</v>
      </c>
      <c r="I949" s="53" t="n">
        <v>2</v>
      </c>
      <c r="J949" s="53" t="n">
        <v>0</v>
      </c>
      <c r="K949" s="53" t="n">
        <v>34</v>
      </c>
      <c r="L949" s="53" t="n">
        <v>35</v>
      </c>
      <c r="M949" s="33">
        <f>F949-E949</f>
        <v/>
      </c>
      <c r="N949" s="33">
        <f>L949-K949</f>
        <v/>
      </c>
    </row>
    <row r="950">
      <c r="A950" s="58" t="inlineStr">
        <is>
          <t>171318 Kearny Plaza Discount Liq</t>
        </is>
      </c>
      <c r="B950" s="58" t="inlineStr">
        <is>
          <t>Hudson</t>
        </is>
      </c>
      <c r="C950" s="58" t="inlineStr">
        <is>
          <t>Alisa Acciardi</t>
        </is>
      </c>
      <c r="D950" s="58" t="inlineStr">
        <is>
          <t>Off-premise</t>
        </is>
      </c>
      <c r="E950" s="53" t="n">
        <v>19</v>
      </c>
      <c r="F950" s="53" t="n">
        <v>20</v>
      </c>
      <c r="G950" s="55" t="n">
        <v>141.69</v>
      </c>
      <c r="H950" s="55" t="n">
        <v>141.96</v>
      </c>
      <c r="I950" s="53" t="n">
        <v>236</v>
      </c>
      <c r="J950" s="53" t="n">
        <v>201</v>
      </c>
      <c r="K950" s="53" t="n">
        <v>19</v>
      </c>
      <c r="L950" s="53" t="n">
        <v>20</v>
      </c>
      <c r="M950" s="33">
        <f>F950-E950</f>
        <v/>
      </c>
      <c r="N950" s="33">
        <f>L950-K950</f>
        <v/>
      </c>
    </row>
    <row r="951">
      <c r="A951" s="58" t="inlineStr">
        <is>
          <t>13003 Maggie's Town Tav.(P)</t>
        </is>
      </c>
      <c r="B951" s="58" t="inlineStr">
        <is>
          <t>Passaic</t>
        </is>
      </c>
      <c r="C951" s="58" t="inlineStr">
        <is>
          <t>Allison Scott</t>
        </is>
      </c>
      <c r="D951" s="58" t="inlineStr">
        <is>
          <t>On-premise</t>
        </is>
      </c>
      <c r="E951" s="53" t="n">
        <v>345</v>
      </c>
      <c r="F951" s="53" t="n">
        <v>299</v>
      </c>
      <c r="G951" s="55" t="n">
        <v>2378.79</v>
      </c>
      <c r="H951" s="55" t="n">
        <v>2325.3</v>
      </c>
      <c r="I951" s="53" t="n">
        <v>79</v>
      </c>
      <c r="J951" s="53" t="n">
        <v>94</v>
      </c>
      <c r="K951" s="53" t="n">
        <v>11</v>
      </c>
      <c r="L951" s="53" t="n">
        <v>12</v>
      </c>
      <c r="M951" s="33">
        <f>F951-E951</f>
        <v/>
      </c>
      <c r="N951" s="33">
        <f>L951-K951</f>
        <v/>
      </c>
    </row>
    <row r="952">
      <c r="A952" s="58" t="inlineStr">
        <is>
          <t>17006 The Yard</t>
        </is>
      </c>
      <c r="B952" s="58" t="inlineStr">
        <is>
          <t>Passaic</t>
        </is>
      </c>
      <c r="C952" s="58" t="inlineStr">
        <is>
          <t>Allison Scott</t>
        </is>
      </c>
      <c r="D952" s="58" t="inlineStr">
        <is>
          <t>On-premise</t>
        </is>
      </c>
      <c r="E952" s="53" t="n">
        <v>356</v>
      </c>
      <c r="F952" s="53" t="n">
        <v>312</v>
      </c>
      <c r="G952" s="55" t="n">
        <v>2427.49</v>
      </c>
      <c r="H952" s="55" t="n">
        <v>2490.619999999999</v>
      </c>
      <c r="I952" s="53" t="n">
        <v>27</v>
      </c>
      <c r="J952" s="53" t="n">
        <v>46</v>
      </c>
      <c r="K952" s="53" t="n">
        <v>11</v>
      </c>
      <c r="L952" s="53" t="n">
        <v>12</v>
      </c>
      <c r="M952" s="33">
        <f>F952-E952</f>
        <v/>
      </c>
      <c r="N952" s="33">
        <f>L952-K952</f>
        <v/>
      </c>
    </row>
    <row r="953">
      <c r="A953" s="58" t="inlineStr">
        <is>
          <t>58005 Feathers (A)</t>
        </is>
      </c>
      <c r="B953" s="58" t="inlineStr">
        <is>
          <t>Bergen</t>
        </is>
      </c>
      <c r="C953" s="58" t="inlineStr">
        <is>
          <t>Allison Scott</t>
        </is>
      </c>
      <c r="D953" s="58" t="inlineStr">
        <is>
          <t>On-premise</t>
        </is>
      </c>
      <c r="E953" s="53" t="n">
        <v>268</v>
      </c>
      <c r="F953" s="53" t="n">
        <v>214</v>
      </c>
      <c r="G953" s="55" t="n">
        <v>2287.98</v>
      </c>
      <c r="H953" s="55" t="n">
        <v>1804.51</v>
      </c>
      <c r="I953" s="53" t="n">
        <v>52</v>
      </c>
      <c r="J953" s="53" t="n">
        <v>80</v>
      </c>
      <c r="K953" s="53" t="n">
        <v>0</v>
      </c>
      <c r="L953" s="53" t="n">
        <v>1</v>
      </c>
      <c r="M953" s="33">
        <f>F953-E953</f>
        <v/>
      </c>
      <c r="N953" s="33">
        <f>L953-K953</f>
        <v/>
      </c>
    </row>
    <row r="954">
      <c r="A954" s="58" t="inlineStr">
        <is>
          <t>12014 Olive Garden (A) Wayne</t>
        </is>
      </c>
      <c r="B954" s="58" t="inlineStr">
        <is>
          <t>Passaic</t>
        </is>
      </c>
      <c r="C954" s="58" t="inlineStr">
        <is>
          <t>Allison Scott</t>
        </is>
      </c>
      <c r="D954" s="58" t="inlineStr">
        <is>
          <t>On-premise</t>
        </is>
      </c>
      <c r="E954" s="53" t="n">
        <v>58</v>
      </c>
      <c r="F954" s="53" t="n">
        <v>58</v>
      </c>
      <c r="G954" s="55" t="n">
        <v>619.75</v>
      </c>
      <c r="H954" s="55" t="n">
        <v>593.28</v>
      </c>
      <c r="I954" s="53" t="n">
        <v>3</v>
      </c>
      <c r="J954" s="53" t="n">
        <v>2</v>
      </c>
      <c r="K954" s="53" t="n">
        <v>3</v>
      </c>
      <c r="L954" s="53" t="n">
        <v>4</v>
      </c>
      <c r="M954" s="33">
        <f>F954-E954</f>
        <v/>
      </c>
      <c r="N954" s="33">
        <f>L954-K954</f>
        <v/>
      </c>
    </row>
    <row r="955">
      <c r="A955" s="58" t="inlineStr">
        <is>
          <t>12001 T Bowl Tavern (Z)</t>
        </is>
      </c>
      <c r="B955" s="58" t="inlineStr">
        <is>
          <t>Passaic</t>
        </is>
      </c>
      <c r="C955" s="58" t="inlineStr">
        <is>
          <t>Allison Scott</t>
        </is>
      </c>
      <c r="D955" s="58" t="inlineStr">
        <is>
          <t>On-premise</t>
        </is>
      </c>
      <c r="E955" s="53" t="n">
        <v>79</v>
      </c>
      <c r="F955" s="53" t="n">
        <v>121</v>
      </c>
      <c r="G955" s="55" t="n">
        <v>466.76</v>
      </c>
      <c r="H955" s="55" t="n">
        <v>876.0400000000001</v>
      </c>
      <c r="I955" s="53" t="n">
        <v>20</v>
      </c>
      <c r="J955" s="53" t="n">
        <v>33</v>
      </c>
      <c r="K955" s="53" t="n">
        <v>0</v>
      </c>
      <c r="L955" s="53" t="n">
        <v>1</v>
      </c>
      <c r="M955" s="33">
        <f>F955-E955</f>
        <v/>
      </c>
      <c r="N955" s="33">
        <f>L955-K955</f>
        <v/>
      </c>
    </row>
    <row r="956">
      <c r="A956" s="58" t="inlineStr">
        <is>
          <t>25082 Crab Island Cajun Seafood &amp; Bar</t>
        </is>
      </c>
      <c r="B956" s="58" t="inlineStr">
        <is>
          <t>Passaic</t>
        </is>
      </c>
      <c r="C956" s="58" t="inlineStr">
        <is>
          <t>Allison Scott</t>
        </is>
      </c>
      <c r="D956" s="58" t="inlineStr">
        <is>
          <t>On-premise</t>
        </is>
      </c>
      <c r="E956" s="53" t="n">
        <v>100</v>
      </c>
      <c r="F956" s="53" t="n">
        <v>106</v>
      </c>
      <c r="G956" s="55" t="n">
        <v>1001.43</v>
      </c>
      <c r="H956" s="55" t="n">
        <v>1089.75</v>
      </c>
      <c r="I956" s="53" t="n">
        <v>10</v>
      </c>
      <c r="J956" s="53" t="n">
        <v>13</v>
      </c>
      <c r="K956" s="53" t="n">
        <v>0</v>
      </c>
      <c r="L956" s="53" t="n">
        <v>1</v>
      </c>
      <c r="M956" s="33">
        <f>F956-E956</f>
        <v/>
      </c>
      <c r="N956" s="33">
        <f>L956-K956</f>
        <v/>
      </c>
    </row>
    <row r="957">
      <c r="A957" s="58" t="inlineStr">
        <is>
          <t>250005 Wine List Of Summit</t>
        </is>
      </c>
      <c r="B957" s="58" t="inlineStr">
        <is>
          <t>Union</t>
        </is>
      </c>
      <c r="C957" s="58" t="inlineStr">
        <is>
          <t>Andrew Lundy</t>
        </is>
      </c>
      <c r="D957" s="58" t="inlineStr">
        <is>
          <t>Off-premise</t>
        </is>
      </c>
      <c r="E957" s="53" t="n">
        <v>7</v>
      </c>
      <c r="F957" s="53" t="n">
        <v>8</v>
      </c>
      <c r="G957" s="55" t="n">
        <v>95.49000000000001</v>
      </c>
      <c r="H957" s="55" t="n">
        <v>80.48999999999999</v>
      </c>
      <c r="I957" s="53" t="n">
        <v>21</v>
      </c>
      <c r="J957" s="53" t="n">
        <v>13</v>
      </c>
      <c r="K957" s="53" t="n">
        <v>7</v>
      </c>
      <c r="L957" s="53" t="n">
        <v>8</v>
      </c>
      <c r="M957" s="33">
        <f>F957-E957</f>
        <v/>
      </c>
      <c r="N957" s="33">
        <f>L957-K957</f>
        <v/>
      </c>
    </row>
    <row r="958">
      <c r="A958" s="58" t="inlineStr">
        <is>
          <t>231206 Vfw 8441 Vernon</t>
        </is>
      </c>
      <c r="B958" s="58" t="inlineStr">
        <is>
          <t>Sussex</t>
        </is>
      </c>
      <c r="C958" s="58" t="inlineStr">
        <is>
          <t>Anthony Palmisano</t>
        </is>
      </c>
      <c r="D958" s="58" t="inlineStr">
        <is>
          <t>On-premise</t>
        </is>
      </c>
      <c r="E958" s="53" t="n">
        <v>179</v>
      </c>
      <c r="F958" s="53" t="n">
        <v>106</v>
      </c>
      <c r="G958" s="55" t="n">
        <v>1231.27</v>
      </c>
      <c r="H958" s="55" t="n">
        <v>762.25</v>
      </c>
      <c r="I958" s="53" t="n">
        <v>4</v>
      </c>
      <c r="J958" s="53" t="n">
        <v>2</v>
      </c>
      <c r="K958" s="53" t="n">
        <v>2</v>
      </c>
      <c r="L958" s="53" t="n">
        <v>3</v>
      </c>
      <c r="M958" s="33">
        <f>F958-E958</f>
        <v/>
      </c>
      <c r="N958" s="33">
        <f>L958-K958</f>
        <v/>
      </c>
    </row>
    <row r="959">
      <c r="A959" s="58" t="inlineStr">
        <is>
          <t>231803 High Point Gc/Rest (P)</t>
        </is>
      </c>
      <c r="B959" s="58" t="inlineStr">
        <is>
          <t>Sussex</t>
        </is>
      </c>
      <c r="C959" s="58" t="inlineStr">
        <is>
          <t>Anthony Palmisano</t>
        </is>
      </c>
      <c r="D959" s="58" t="inlineStr">
        <is>
          <t>On-premise</t>
        </is>
      </c>
      <c r="E959" s="53" t="n">
        <v>391</v>
      </c>
      <c r="F959" s="53" t="n">
        <v>285</v>
      </c>
      <c r="G959" s="55" t="n">
        <v>2392</v>
      </c>
      <c r="H959" s="55" t="n">
        <v>1662.94</v>
      </c>
      <c r="I959" s="53" t="n">
        <v>12</v>
      </c>
      <c r="J959" s="53" t="n">
        <v>28</v>
      </c>
      <c r="K959" s="53" t="n">
        <v>0</v>
      </c>
      <c r="L959" s="53" t="n">
        <v>1</v>
      </c>
      <c r="M959" s="33">
        <f>F959-E959</f>
        <v/>
      </c>
      <c r="N959" s="33">
        <f>L959-K959</f>
        <v/>
      </c>
    </row>
    <row r="960">
      <c r="A960" s="58" t="inlineStr">
        <is>
          <t>4003 Cinco De Mayo (Z)</t>
        </is>
      </c>
      <c r="B960" s="58" t="inlineStr">
        <is>
          <t>Passaic</t>
        </is>
      </c>
      <c r="C960" s="58" t="inlineStr">
        <is>
          <t>Anthony Palmisano</t>
        </is>
      </c>
      <c r="D960" s="58" t="inlineStr">
        <is>
          <t>On-premise</t>
        </is>
      </c>
      <c r="E960" s="53" t="n">
        <v>27</v>
      </c>
      <c r="F960" s="53" t="n">
        <v>23</v>
      </c>
      <c r="G960" s="55" t="n">
        <v>235.46</v>
      </c>
      <c r="H960" s="55" t="n">
        <v>226.35</v>
      </c>
      <c r="I960" s="53" t="n">
        <v>14</v>
      </c>
      <c r="J960" s="53" t="n">
        <v>13</v>
      </c>
      <c r="K960" s="53" t="n">
        <v>2</v>
      </c>
      <c r="L960" s="53" t="n">
        <v>3</v>
      </c>
      <c r="M960" s="33">
        <f>F960-E960</f>
        <v/>
      </c>
      <c r="N960" s="33">
        <f>L960-K960</f>
        <v/>
      </c>
    </row>
    <row r="961">
      <c r="A961" s="58" t="inlineStr">
        <is>
          <t>230113 Industry</t>
        </is>
      </c>
      <c r="B961" s="58" t="inlineStr">
        <is>
          <t>Sussex</t>
        </is>
      </c>
      <c r="C961" s="58" t="inlineStr">
        <is>
          <t>Brian Sengebush</t>
        </is>
      </c>
      <c r="D961" s="58" t="inlineStr">
        <is>
          <t>Unmatched</t>
        </is>
      </c>
      <c r="E961" s="53" t="n">
        <v>90</v>
      </c>
      <c r="F961" s="53" t="n">
        <v>59</v>
      </c>
      <c r="G961" s="55" t="n">
        <v>829.45</v>
      </c>
      <c r="H961" s="55" t="n">
        <v>561.0600000000001</v>
      </c>
      <c r="I961" s="53" t="n">
        <v>21</v>
      </c>
      <c r="J961" s="53" t="n">
        <v>45</v>
      </c>
      <c r="K961" s="53" t="n">
        <v>11</v>
      </c>
      <c r="L961" s="53" t="n">
        <v>12</v>
      </c>
      <c r="M961" s="33">
        <f>F961-E961</f>
        <v/>
      </c>
      <c r="N961" s="33">
        <f>L961-K961</f>
        <v/>
      </c>
    </row>
    <row r="962">
      <c r="A962" s="58" t="inlineStr">
        <is>
          <t>231713 Flatbrook Tap House (P)</t>
        </is>
      </c>
      <c r="B962" s="58" t="inlineStr">
        <is>
          <t>Sussex</t>
        </is>
      </c>
      <c r="C962" s="58" t="inlineStr">
        <is>
          <t>Brian Sengebush</t>
        </is>
      </c>
      <c r="D962" s="58" t="inlineStr">
        <is>
          <t>On-premise</t>
        </is>
      </c>
      <c r="E962" s="53" t="n">
        <v>107</v>
      </c>
      <c r="F962" s="53" t="n">
        <v>103</v>
      </c>
      <c r="G962" s="55" t="n">
        <v>760.8900000000001</v>
      </c>
      <c r="H962" s="55" t="n">
        <v>735.7</v>
      </c>
      <c r="I962" s="53" t="n">
        <v>48</v>
      </c>
      <c r="J962" s="53" t="n">
        <v>18</v>
      </c>
      <c r="K962" s="53" t="n">
        <v>5</v>
      </c>
      <c r="L962" s="53" t="n">
        <v>6</v>
      </c>
      <c r="M962" s="33">
        <f>F962-E962</f>
        <v/>
      </c>
      <c r="N962" s="33">
        <f>L962-K962</f>
        <v/>
      </c>
    </row>
    <row r="963">
      <c r="A963" s="58" t="inlineStr">
        <is>
          <t>230432 Vfw 5360 Newton(P)</t>
        </is>
      </c>
      <c r="B963" s="58" t="inlineStr">
        <is>
          <t>Sussex</t>
        </is>
      </c>
      <c r="C963" s="58" t="inlineStr">
        <is>
          <t>Brian Sengebush</t>
        </is>
      </c>
      <c r="D963" s="58" t="inlineStr">
        <is>
          <t>On-premise</t>
        </is>
      </c>
      <c r="E963" s="53" t="n">
        <v>143</v>
      </c>
      <c r="F963" s="53" t="n">
        <v>45</v>
      </c>
      <c r="G963" s="55" t="n">
        <v>557.5500000000001</v>
      </c>
      <c r="H963" s="55" t="n">
        <v>153.78</v>
      </c>
      <c r="I963" s="53" t="n">
        <v>16</v>
      </c>
      <c r="J963" s="53" t="n">
        <v>6</v>
      </c>
      <c r="K963" s="53" t="n">
        <v>0</v>
      </c>
      <c r="L963" s="53" t="n">
        <v>1</v>
      </c>
      <c r="M963" s="33">
        <f>F963-E963</f>
        <v/>
      </c>
      <c r="N963" s="33">
        <f>L963-K963</f>
        <v/>
      </c>
    </row>
    <row r="964">
      <c r="A964" s="58" t="inlineStr">
        <is>
          <t>191305 Chapala Mexican Grill 4</t>
        </is>
      </c>
      <c r="B964" s="58" t="inlineStr">
        <is>
          <t>Sussex</t>
        </is>
      </c>
      <c r="C964" s="58" t="inlineStr">
        <is>
          <t>Brian Sengebush</t>
        </is>
      </c>
      <c r="D964" s="58" t="inlineStr">
        <is>
          <t>Unmatched</t>
        </is>
      </c>
      <c r="E964" s="53" t="n">
        <v>62</v>
      </c>
      <c r="F964" s="53" t="n">
        <v>39</v>
      </c>
      <c r="G964" s="55" t="n">
        <v>735.2</v>
      </c>
      <c r="H964" s="55" t="n">
        <v>425.05</v>
      </c>
      <c r="I964" s="53" t="n">
        <v>23</v>
      </c>
      <c r="J964" s="53" t="n">
        <v>19</v>
      </c>
      <c r="K964" s="53" t="n">
        <v>3</v>
      </c>
      <c r="L964" s="53" t="n">
        <v>4</v>
      </c>
      <c r="M964" s="33">
        <f>F964-E964</f>
        <v/>
      </c>
      <c r="N964" s="33">
        <f>L964-K964</f>
        <v/>
      </c>
    </row>
    <row r="965">
      <c r="A965" s="58" t="inlineStr">
        <is>
          <t>191603 Sabor Latino</t>
        </is>
      </c>
      <c r="B965" s="58" t="inlineStr">
        <is>
          <t>Morris</t>
        </is>
      </c>
      <c r="C965" s="58" t="inlineStr">
        <is>
          <t>Brian Sengebush</t>
        </is>
      </c>
      <c r="D965" s="58" t="inlineStr">
        <is>
          <t>On-premise</t>
        </is>
      </c>
      <c r="E965" s="53" t="n">
        <v>75</v>
      </c>
      <c r="F965" s="53" t="n">
        <v>66</v>
      </c>
      <c r="G965" s="55" t="n">
        <v>656.9300000000001</v>
      </c>
      <c r="H965" s="55" t="n">
        <v>583.03</v>
      </c>
      <c r="I965" s="53" t="n">
        <v>9</v>
      </c>
      <c r="J965" s="53" t="n">
        <v>7</v>
      </c>
      <c r="K965" s="53" t="n">
        <v>3</v>
      </c>
      <c r="L965" s="53" t="n">
        <v>4</v>
      </c>
      <c r="M965" s="33">
        <f>F965-E965</f>
        <v/>
      </c>
      <c r="N965" s="33">
        <f>L965-K965</f>
        <v/>
      </c>
    </row>
    <row r="966">
      <c r="A966" s="58" t="inlineStr">
        <is>
          <t>190606 Peace Pipe Cc (P)</t>
        </is>
      </c>
      <c r="B966" s="58" t="inlineStr">
        <is>
          <t>Morris</t>
        </is>
      </c>
      <c r="C966" s="58" t="inlineStr">
        <is>
          <t>Brian Sengebush</t>
        </is>
      </c>
      <c r="D966" s="58" t="inlineStr">
        <is>
          <t>On-premise</t>
        </is>
      </c>
      <c r="E966" s="53" t="n">
        <v>262</v>
      </c>
      <c r="F966" s="53" t="n">
        <v>183</v>
      </c>
      <c r="G966" s="55" t="n">
        <v>1909.88</v>
      </c>
      <c r="H966" s="55" t="n">
        <v>1445.7</v>
      </c>
      <c r="I966" s="53" t="n">
        <v>24</v>
      </c>
      <c r="J966" s="53" t="n">
        <v>16</v>
      </c>
      <c r="K966" s="53" t="n">
        <v>9</v>
      </c>
      <c r="L966" s="53" t="n">
        <v>10</v>
      </c>
      <c r="M966" s="33">
        <f>F966-E966</f>
        <v/>
      </c>
      <c r="N966" s="33">
        <f>L966-K966</f>
        <v/>
      </c>
    </row>
    <row r="967">
      <c r="A967" s="58" t="inlineStr">
        <is>
          <t>76014 Que Pasta (A)</t>
        </is>
      </c>
      <c r="B967" s="58" t="inlineStr">
        <is>
          <t>Bergen</t>
        </is>
      </c>
      <c r="C967" s="58" t="inlineStr">
        <is>
          <t>Chris Payton</t>
        </is>
      </c>
      <c r="D967" s="58" t="inlineStr">
        <is>
          <t>On-premise</t>
        </is>
      </c>
      <c r="E967" s="53" t="n">
        <v>28</v>
      </c>
      <c r="F967" s="53" t="n">
        <v>36</v>
      </c>
      <c r="G967" s="55" t="n">
        <v>284.9</v>
      </c>
      <c r="H967" s="55" t="n">
        <v>367.9100000000001</v>
      </c>
      <c r="I967" s="53" t="n">
        <v>10</v>
      </c>
      <c r="J967" s="53" t="n">
        <v>8</v>
      </c>
      <c r="K967" s="53" t="n">
        <v>7</v>
      </c>
      <c r="L967" s="53" t="n">
        <v>8</v>
      </c>
      <c r="M967" s="33">
        <f>F967-E967</f>
        <v/>
      </c>
      <c r="N967" s="33">
        <f>L967-K967</f>
        <v/>
      </c>
    </row>
    <row r="968">
      <c r="A968" s="58" t="inlineStr">
        <is>
          <t>44028 512 Bar</t>
        </is>
      </c>
      <c r="B968" s="58" t="inlineStr">
        <is>
          <t>Bergen</t>
        </is>
      </c>
      <c r="C968" s="58" t="inlineStr">
        <is>
          <t>Dan Lagala</t>
        </is>
      </c>
      <c r="D968" s="58" t="inlineStr">
        <is>
          <t>On-premise</t>
        </is>
      </c>
      <c r="E968" s="53" t="n">
        <v>81</v>
      </c>
      <c r="F968" s="53" t="n">
        <v>57</v>
      </c>
      <c r="G968" s="55" t="n">
        <v>812.46</v>
      </c>
      <c r="H968" s="55" t="n">
        <v>602.61</v>
      </c>
      <c r="I968" s="53" t="n">
        <v>21</v>
      </c>
      <c r="J968" s="53" t="n">
        <v>20</v>
      </c>
      <c r="K968" s="53" t="n">
        <v>3</v>
      </c>
      <c r="L968" s="53" t="n">
        <v>4</v>
      </c>
      <c r="M968" s="33">
        <f>F968-E968</f>
        <v/>
      </c>
      <c r="N968" s="33">
        <f>L968-K968</f>
        <v/>
      </c>
    </row>
    <row r="969">
      <c r="A969" s="58" t="inlineStr">
        <is>
          <t>44043 Mythos Greek Taverna</t>
        </is>
      </c>
      <c r="B969" s="58" t="inlineStr">
        <is>
          <t>Bergen</t>
        </is>
      </c>
      <c r="C969" s="58" t="inlineStr">
        <is>
          <t>Dan Lagala</t>
        </is>
      </c>
      <c r="D969" s="58" t="inlineStr">
        <is>
          <t>Unmatched</t>
        </is>
      </c>
      <c r="E969" s="53" t="n">
        <v>17</v>
      </c>
      <c r="F969" s="53" t="n">
        <v>18</v>
      </c>
      <c r="G969" s="55" t="n">
        <v>172.49</v>
      </c>
      <c r="H969" s="55" t="n">
        <v>197</v>
      </c>
      <c r="I969" s="53" t="n">
        <v>20</v>
      </c>
      <c r="J969" s="53" t="n">
        <v>9</v>
      </c>
      <c r="K969" s="53" t="n">
        <v>0</v>
      </c>
      <c r="L969" s="53" t="n">
        <v>1</v>
      </c>
      <c r="M969" s="33">
        <f>F969-E969</f>
        <v/>
      </c>
      <c r="N969" s="33">
        <f>L969-K969</f>
        <v/>
      </c>
    </row>
    <row r="970">
      <c r="A970" s="58" t="inlineStr">
        <is>
          <t>20038 Patsy's (A) Tavern</t>
        </is>
      </c>
      <c r="B970" s="58" t="inlineStr">
        <is>
          <t>Passaic</t>
        </is>
      </c>
      <c r="C970" s="58" t="inlineStr">
        <is>
          <t>Derrick Laws</t>
        </is>
      </c>
      <c r="D970" s="58" t="inlineStr">
        <is>
          <t>On-premise</t>
        </is>
      </c>
      <c r="E970" s="53" t="n">
        <v>61</v>
      </c>
      <c r="F970" s="53" t="n">
        <v>50</v>
      </c>
      <c r="G970" s="55" t="n">
        <v>480.14</v>
      </c>
      <c r="H970" s="55" t="n">
        <v>435.05</v>
      </c>
      <c r="I970" s="53" t="n">
        <v>14</v>
      </c>
      <c r="J970" s="53" t="n">
        <v>15</v>
      </c>
      <c r="K970" s="53" t="n">
        <v>5</v>
      </c>
      <c r="L970" s="53" t="n">
        <v>6</v>
      </c>
      <c r="M970" s="33">
        <f>F970-E970</f>
        <v/>
      </c>
      <c r="N970" s="33">
        <f>L970-K970</f>
        <v/>
      </c>
    </row>
    <row r="971">
      <c r="A971" s="58" t="inlineStr">
        <is>
          <t>178020 STOP &amp; GO LIQUORS</t>
        </is>
      </c>
      <c r="B971" s="58" t="inlineStr">
        <is>
          <t>Hudson</t>
        </is>
      </c>
      <c r="C971" s="58" t="inlineStr">
        <is>
          <t>Dylan Rubino</t>
        </is>
      </c>
      <c r="D971" s="58" t="inlineStr">
        <is>
          <t>Off-premise</t>
        </is>
      </c>
      <c r="E971" s="53" t="n">
        <v>37</v>
      </c>
      <c r="F971" s="53" t="n">
        <v>38</v>
      </c>
      <c r="G971" s="55" t="n">
        <v>332.44</v>
      </c>
      <c r="H971" s="55" t="n">
        <v>335.01</v>
      </c>
      <c r="I971" s="53" t="n">
        <v>94</v>
      </c>
      <c r="J971" s="53" t="n">
        <v>108</v>
      </c>
      <c r="K971" s="53" t="n">
        <v>37</v>
      </c>
      <c r="L971" s="53" t="n">
        <v>38</v>
      </c>
      <c r="M971" s="33">
        <f>F971-E971</f>
        <v/>
      </c>
      <c r="N971" s="33">
        <f>L971-K971</f>
        <v/>
      </c>
    </row>
    <row r="972">
      <c r="A972" s="58" t="inlineStr">
        <is>
          <t>170276 Mamak House</t>
        </is>
      </c>
      <c r="B972" s="58" t="inlineStr">
        <is>
          <t>Hudson</t>
        </is>
      </c>
      <c r="C972" s="58" t="inlineStr">
        <is>
          <t>Dylan Rubino</t>
        </is>
      </c>
      <c r="D972" s="58" t="inlineStr">
        <is>
          <t>On-premise</t>
        </is>
      </c>
      <c r="E972" s="53" t="n">
        <v>5</v>
      </c>
      <c r="F972" s="53" t="n">
        <v>6</v>
      </c>
      <c r="G972" s="55" t="n">
        <v>43.3</v>
      </c>
      <c r="H972" s="55" t="n">
        <v>51.96</v>
      </c>
      <c r="I972" s="53" t="n">
        <v>0</v>
      </c>
      <c r="J972" s="53" t="n">
        <v>5</v>
      </c>
      <c r="K972" s="53" t="n">
        <v>5</v>
      </c>
      <c r="L972" s="53" t="n">
        <v>6</v>
      </c>
      <c r="M972" s="33">
        <f>F972-E972</f>
        <v/>
      </c>
      <c r="N972" s="33">
        <f>L972-K972</f>
        <v/>
      </c>
    </row>
    <row r="973">
      <c r="A973" s="58" t="inlineStr">
        <is>
          <t>170286 West Side Liquors (358 Jersey City)</t>
        </is>
      </c>
      <c r="B973" s="58" t="inlineStr">
        <is>
          <t>Hudson</t>
        </is>
      </c>
      <c r="C973" s="58" t="inlineStr">
        <is>
          <t>Dylan Rubino</t>
        </is>
      </c>
      <c r="D973" s="58" t="inlineStr">
        <is>
          <t>Off-premise</t>
        </is>
      </c>
      <c r="E973" s="53" t="n">
        <v>9</v>
      </c>
      <c r="F973" s="53" t="n">
        <v>10</v>
      </c>
      <c r="G973" s="55" t="n">
        <v>76.05</v>
      </c>
      <c r="H973" s="55" t="n">
        <v>69.88</v>
      </c>
      <c r="I973" s="53" t="n">
        <v>32</v>
      </c>
      <c r="J973" s="53" t="n">
        <v>32</v>
      </c>
      <c r="K973" s="53" t="n">
        <v>9</v>
      </c>
      <c r="L973" s="53" t="n">
        <v>10</v>
      </c>
      <c r="M973" s="33">
        <f>F973-E973</f>
        <v/>
      </c>
      <c r="N973" s="33">
        <f>L973-K973</f>
        <v/>
      </c>
    </row>
    <row r="974">
      <c r="A974" s="58" t="inlineStr">
        <is>
          <t>27051 Factory 220</t>
        </is>
      </c>
      <c r="B974" s="58" t="inlineStr">
        <is>
          <t>Passaic</t>
        </is>
      </c>
      <c r="C974" s="58" t="inlineStr">
        <is>
          <t>Javier Melo</t>
        </is>
      </c>
      <c r="D974" s="58" t="inlineStr">
        <is>
          <t>On-premise</t>
        </is>
      </c>
      <c r="E974" s="53" t="n">
        <v>0</v>
      </c>
      <c r="F974" s="53" t="n">
        <v>296</v>
      </c>
      <c r="G974" s="55" t="n">
        <v>0</v>
      </c>
      <c r="H974" s="55" t="n">
        <v>1238.5</v>
      </c>
      <c r="I974" s="53" t="n">
        <v>0</v>
      </c>
      <c r="J974" s="53" t="n">
        <v>-2</v>
      </c>
      <c r="K974" s="53" t="n">
        <v>0</v>
      </c>
      <c r="L974" s="53" t="n">
        <v>1</v>
      </c>
      <c r="M974" s="33">
        <f>F974-E974</f>
        <v/>
      </c>
      <c r="N974" s="33">
        <f>L974-K974</f>
        <v/>
      </c>
    </row>
    <row r="975">
      <c r="A975" s="58" t="inlineStr">
        <is>
          <t>230437 Weis Supermarkets 143 Newton</t>
        </is>
      </c>
      <c r="B975" s="58" t="inlineStr">
        <is>
          <t>Sussex</t>
        </is>
      </c>
      <c r="C975" s="58" t="inlineStr">
        <is>
          <t>Jayson Romine</t>
        </is>
      </c>
      <c r="D975" s="58" t="inlineStr">
        <is>
          <t>Unmatched</t>
        </is>
      </c>
      <c r="E975" s="53" t="n">
        <v>0</v>
      </c>
      <c r="F975" s="53" t="n">
        <v>2</v>
      </c>
      <c r="G975" s="55" t="n">
        <v>0</v>
      </c>
      <c r="H975" s="55" t="n">
        <v>22.51</v>
      </c>
      <c r="I975" s="53" t="n">
        <v>0</v>
      </c>
      <c r="J975" s="53" t="n">
        <v>9</v>
      </c>
      <c r="K975" s="53" t="n">
        <v>0</v>
      </c>
      <c r="L975" s="53" t="n">
        <v>1</v>
      </c>
      <c r="M975" s="33">
        <f>F975-E975</f>
        <v/>
      </c>
      <c r="N975" s="33">
        <f>L975-K975</f>
        <v/>
      </c>
    </row>
    <row r="976">
      <c r="A976" s="58" t="inlineStr">
        <is>
          <t>230438 Weiss Super Market 147 Franklin</t>
        </is>
      </c>
      <c r="B976" s="58" t="inlineStr">
        <is>
          <t>Sussex</t>
        </is>
      </c>
      <c r="C976" s="58" t="inlineStr">
        <is>
          <t>Jayson Romine</t>
        </is>
      </c>
      <c r="D976" s="58" t="inlineStr">
        <is>
          <t>Unmatched</t>
        </is>
      </c>
      <c r="E976" s="53" t="n">
        <v>0</v>
      </c>
      <c r="F976" s="53" t="n">
        <v>2</v>
      </c>
      <c r="G976" s="55" t="n">
        <v>0</v>
      </c>
      <c r="H976" s="55" t="n">
        <v>22.51</v>
      </c>
      <c r="I976" s="53" t="n">
        <v>0</v>
      </c>
      <c r="J976" s="53" t="n">
        <v>9</v>
      </c>
      <c r="K976" s="53" t="n">
        <v>0</v>
      </c>
      <c r="L976" s="53" t="n">
        <v>1</v>
      </c>
      <c r="M976" s="33">
        <f>F976-E976</f>
        <v/>
      </c>
      <c r="N976" s="33">
        <f>L976-K976</f>
        <v/>
      </c>
    </row>
    <row r="977">
      <c r="A977" s="58" t="inlineStr">
        <is>
          <t>190070 Hickory Wine Cellar</t>
        </is>
      </c>
      <c r="B977" s="58" t="inlineStr">
        <is>
          <t>Morris</t>
        </is>
      </c>
      <c r="C977" s="58" t="inlineStr">
        <is>
          <t>John O'Donoghue</t>
        </is>
      </c>
      <c r="D977" s="58" t="inlineStr">
        <is>
          <t>Unmatched</t>
        </is>
      </c>
      <c r="E977" s="53" t="n">
        <v>9</v>
      </c>
      <c r="F977" s="53" t="n">
        <v>10</v>
      </c>
      <c r="G977" s="55" t="n">
        <v>63.92</v>
      </c>
      <c r="H977" s="55" t="n">
        <v>78.23</v>
      </c>
      <c r="I977" s="53" t="n">
        <v>110</v>
      </c>
      <c r="J977" s="53" t="n">
        <v>158</v>
      </c>
      <c r="K977" s="53" t="n">
        <v>9</v>
      </c>
      <c r="L977" s="53" t="n">
        <v>10</v>
      </c>
      <c r="M977" s="33">
        <f>F977-E977</f>
        <v/>
      </c>
      <c r="N977" s="33">
        <f>L977-K977</f>
        <v/>
      </c>
    </row>
    <row r="978">
      <c r="A978" s="58" t="inlineStr">
        <is>
          <t>190500 Wine &amp; Whisky Country</t>
        </is>
      </c>
      <c r="B978" s="58" t="inlineStr">
        <is>
          <t>Morris</t>
        </is>
      </c>
      <c r="C978" s="58" t="inlineStr">
        <is>
          <t>John O'Donoghue</t>
        </is>
      </c>
      <c r="D978" s="58" t="inlineStr">
        <is>
          <t>Unmatched</t>
        </is>
      </c>
      <c r="E978" s="53" t="n">
        <v>1</v>
      </c>
      <c r="F978" s="53" t="n">
        <v>2</v>
      </c>
      <c r="G978" s="55" t="n">
        <v>11.65</v>
      </c>
      <c r="H978" s="55" t="n">
        <v>24.81</v>
      </c>
      <c r="I978" s="53" t="n">
        <v>61</v>
      </c>
      <c r="J978" s="53" t="n">
        <v>72</v>
      </c>
      <c r="K978" s="53" t="n">
        <v>1</v>
      </c>
      <c r="L978" s="53" t="n">
        <v>2</v>
      </c>
      <c r="M978" s="33">
        <f>F978-E978</f>
        <v/>
      </c>
      <c r="N978" s="33">
        <f>L978-K978</f>
        <v/>
      </c>
    </row>
    <row r="979">
      <c r="A979" s="58" t="inlineStr">
        <is>
          <t>31055 The Game Room</t>
        </is>
      </c>
      <c r="B979" s="58" t="inlineStr">
        <is>
          <t>Bergen</t>
        </is>
      </c>
      <c r="C979" s="58" t="inlineStr">
        <is>
          <t>Nick Melissari</t>
        </is>
      </c>
      <c r="D979" s="58" t="inlineStr">
        <is>
          <t>On-premise</t>
        </is>
      </c>
      <c r="E979" s="53" t="n">
        <v>58</v>
      </c>
      <c r="F979" s="53" t="n">
        <v>79</v>
      </c>
      <c r="G979" s="55" t="n">
        <v>549.4100000000001</v>
      </c>
      <c r="H979" s="55" t="n">
        <v>668.65</v>
      </c>
      <c r="I979" s="53" t="n">
        <v>14</v>
      </c>
      <c r="J979" s="53" t="n">
        <v>21</v>
      </c>
      <c r="K979" s="53" t="n">
        <v>7</v>
      </c>
      <c r="L979" s="53" t="n">
        <v>8</v>
      </c>
      <c r="M979" s="33">
        <f>F979-E979</f>
        <v/>
      </c>
      <c r="N979" s="33">
        <f>L979-K979</f>
        <v/>
      </c>
    </row>
    <row r="980">
      <c r="A980" s="58" t="inlineStr">
        <is>
          <t>29045 Teros Snack Bar</t>
        </is>
      </c>
      <c r="B980" s="58" t="inlineStr">
        <is>
          <t>Bergen</t>
        </is>
      </c>
      <c r="C980" s="58" t="inlineStr">
        <is>
          <t>Nick Melissari</t>
        </is>
      </c>
      <c r="D980" s="58" t="inlineStr">
        <is>
          <t>On-premise</t>
        </is>
      </c>
      <c r="E980" s="53" t="n">
        <v>34</v>
      </c>
      <c r="F980" s="53" t="n">
        <v>29</v>
      </c>
      <c r="G980" s="55" t="n">
        <v>328.23</v>
      </c>
      <c r="H980" s="55" t="n">
        <v>322.4</v>
      </c>
      <c r="I980" s="53" t="n">
        <v>17</v>
      </c>
      <c r="J980" s="53" t="n">
        <v>5</v>
      </c>
      <c r="K980" s="53" t="n">
        <v>3</v>
      </c>
      <c r="L980" s="53" t="n">
        <v>4</v>
      </c>
      <c r="M980" s="33">
        <f>F980-E980</f>
        <v/>
      </c>
      <c r="N980" s="33">
        <f>L980-K980</f>
        <v/>
      </c>
    </row>
    <row r="981">
      <c r="A981" s="58" t="inlineStr">
        <is>
          <t>94005 Cenzino's (P)</t>
        </is>
      </c>
      <c r="B981" s="58" t="inlineStr">
        <is>
          <t>Bergen</t>
        </is>
      </c>
      <c r="C981" s="58" t="inlineStr">
        <is>
          <t>Nick Melissari</t>
        </is>
      </c>
      <c r="D981" s="58" t="inlineStr">
        <is>
          <t>On-premise</t>
        </is>
      </c>
      <c r="E981" s="53" t="n">
        <v>15</v>
      </c>
      <c r="F981" s="53" t="n">
        <v>19</v>
      </c>
      <c r="G981" s="55" t="n">
        <v>137.89</v>
      </c>
      <c r="H981" s="55" t="n">
        <v>163.98</v>
      </c>
      <c r="I981" s="53" t="n">
        <v>4</v>
      </c>
      <c r="J981" s="53" t="n">
        <v>1</v>
      </c>
      <c r="K981" s="53" t="n">
        <v>9</v>
      </c>
      <c r="L981" s="53" t="n">
        <v>10</v>
      </c>
      <c r="M981" s="33">
        <f>F981-E981</f>
        <v/>
      </c>
      <c r="N981" s="33">
        <f>L981-K981</f>
        <v/>
      </c>
    </row>
    <row r="982">
      <c r="A982" s="58" t="inlineStr">
        <is>
          <t>96005 The Brick House (P)</t>
        </is>
      </c>
      <c r="B982" s="58" t="inlineStr">
        <is>
          <t>Bergen</t>
        </is>
      </c>
      <c r="C982" s="58" t="inlineStr">
        <is>
          <t>Nick Melissari</t>
        </is>
      </c>
      <c r="D982" s="58" t="inlineStr">
        <is>
          <t>On-premise</t>
        </is>
      </c>
      <c r="E982" s="53" t="n">
        <v>254</v>
      </c>
      <c r="F982" s="53" t="n">
        <v>211</v>
      </c>
      <c r="G982" s="55" t="n">
        <v>2506.31</v>
      </c>
      <c r="H982" s="55" t="n">
        <v>2185.05</v>
      </c>
      <c r="I982" s="53" t="n">
        <v>31</v>
      </c>
      <c r="J982" s="53" t="n">
        <v>25</v>
      </c>
      <c r="K982" s="53" t="n">
        <v>46</v>
      </c>
      <c r="L982" s="53" t="n">
        <v>47</v>
      </c>
      <c r="M982" s="33">
        <f>F982-E982</f>
        <v/>
      </c>
      <c r="N982" s="33">
        <f>L982-K982</f>
        <v/>
      </c>
    </row>
    <row r="983">
      <c r="A983" s="58" t="inlineStr">
        <is>
          <t>46028 Legends (P)</t>
        </is>
      </c>
      <c r="B983" s="58" t="inlineStr">
        <is>
          <t>Bergen</t>
        </is>
      </c>
      <c r="C983" s="58" t="inlineStr">
        <is>
          <t>Nick Melissari</t>
        </is>
      </c>
      <c r="D983" s="58" t="inlineStr">
        <is>
          <t>On-premise</t>
        </is>
      </c>
      <c r="E983" s="53" t="n">
        <v>438</v>
      </c>
      <c r="F983" s="53" t="n">
        <v>434</v>
      </c>
      <c r="G983" s="55" t="n">
        <v>3307.28</v>
      </c>
      <c r="H983" s="55" t="n">
        <v>3307.49</v>
      </c>
      <c r="I983" s="53" t="n">
        <v>21</v>
      </c>
      <c r="J983" s="53" t="n">
        <v>18</v>
      </c>
      <c r="K983" s="53" t="n">
        <v>1</v>
      </c>
      <c r="L983" s="53" t="n">
        <v>2</v>
      </c>
      <c r="M983" s="33">
        <f>F983-E983</f>
        <v/>
      </c>
      <c r="N983" s="33">
        <f>L983-K983</f>
        <v/>
      </c>
    </row>
    <row r="984">
      <c r="A984" s="58" t="inlineStr">
        <is>
          <t>92012 The Shannon Rose/Ramsey</t>
        </is>
      </c>
      <c r="B984" s="58" t="inlineStr">
        <is>
          <t>Bergen</t>
        </is>
      </c>
      <c r="C984" s="58" t="inlineStr">
        <is>
          <t>Nick Melissari</t>
        </is>
      </c>
      <c r="D984" s="58" t="inlineStr">
        <is>
          <t>On-premise</t>
        </is>
      </c>
      <c r="E984" s="53" t="n">
        <v>262</v>
      </c>
      <c r="F984" s="53" t="n">
        <v>246</v>
      </c>
      <c r="G984" s="55" t="n">
        <v>1988.82</v>
      </c>
      <c r="H984" s="55" t="n">
        <v>1734.62</v>
      </c>
      <c r="I984" s="53" t="n">
        <v>95</v>
      </c>
      <c r="J984" s="53" t="n">
        <v>102</v>
      </c>
      <c r="K984" s="53" t="n">
        <v>12</v>
      </c>
      <c r="L984" s="53" t="n">
        <v>13</v>
      </c>
      <c r="M984" s="33">
        <f>F984-E984</f>
        <v/>
      </c>
      <c r="N984" s="33">
        <f>L984-K984</f>
        <v/>
      </c>
    </row>
    <row r="985">
      <c r="A985" s="58" t="inlineStr">
        <is>
          <t>80008 Fogo de Chao (Paramus)</t>
        </is>
      </c>
      <c r="B985" s="58" t="inlineStr">
        <is>
          <t>Bergen</t>
        </is>
      </c>
      <c r="C985" s="58" t="inlineStr">
        <is>
          <t>Nick Melissari</t>
        </is>
      </c>
      <c r="D985" s="58" t="inlineStr">
        <is>
          <t>Unmatched</t>
        </is>
      </c>
      <c r="E985" s="53" t="n">
        <v>39</v>
      </c>
      <c r="F985" s="53" t="n">
        <v>24</v>
      </c>
      <c r="G985" s="55" t="n">
        <v>431.76</v>
      </c>
      <c r="H985" s="55" t="n">
        <v>257.29</v>
      </c>
      <c r="I985" s="53" t="n">
        <v>1</v>
      </c>
      <c r="J985" s="53" t="n">
        <v>7</v>
      </c>
      <c r="K985" s="53" t="n">
        <v>0</v>
      </c>
      <c r="L985" s="53" t="n">
        <v>1</v>
      </c>
      <c r="M985" s="33">
        <f>F985-E985</f>
        <v/>
      </c>
      <c r="N985" s="33">
        <f>L985-K985</f>
        <v/>
      </c>
    </row>
    <row r="986">
      <c r="A986" s="58" t="inlineStr">
        <is>
          <t>80062 Hampton Inn Paramus</t>
        </is>
      </c>
      <c r="B986" s="58" t="inlineStr">
        <is>
          <t>Bergen</t>
        </is>
      </c>
      <c r="C986" s="58" t="inlineStr">
        <is>
          <t>Nick Melissari</t>
        </is>
      </c>
      <c r="D986" s="58" t="inlineStr">
        <is>
          <t>On-premise</t>
        </is>
      </c>
      <c r="E986" s="53" t="n">
        <v>23</v>
      </c>
      <c r="F986" s="53" t="n">
        <v>35</v>
      </c>
      <c r="G986" s="55" t="n">
        <v>234.34</v>
      </c>
      <c r="H986" s="55" t="n">
        <v>361.1</v>
      </c>
      <c r="I986" s="53" t="n">
        <v>9</v>
      </c>
      <c r="J986" s="53" t="n">
        <v>12</v>
      </c>
      <c r="K986" s="53" t="n">
        <v>2</v>
      </c>
      <c r="L986" s="53" t="n">
        <v>3</v>
      </c>
      <c r="M986" s="33">
        <f>F986-E986</f>
        <v/>
      </c>
      <c r="N986" s="33">
        <f>L986-K986</f>
        <v/>
      </c>
    </row>
    <row r="987">
      <c r="A987" s="58" t="inlineStr">
        <is>
          <t>31053 Little Sheep Restaurant/Bar</t>
        </is>
      </c>
      <c r="B987" s="58" t="inlineStr">
        <is>
          <t>Bergen</t>
        </is>
      </c>
      <c r="C987" s="58" t="inlineStr">
        <is>
          <t>Nick Melissari</t>
        </is>
      </c>
      <c r="D987" s="58" t="inlineStr">
        <is>
          <t>On-premise</t>
        </is>
      </c>
      <c r="E987" s="53" t="n">
        <v>29</v>
      </c>
      <c r="F987" s="53" t="n">
        <v>44</v>
      </c>
      <c r="G987" s="55" t="n">
        <v>275.53</v>
      </c>
      <c r="H987" s="55" t="n">
        <v>425.15</v>
      </c>
      <c r="I987" s="53" t="n">
        <v>7</v>
      </c>
      <c r="J987" s="53" t="n">
        <v>27</v>
      </c>
      <c r="K987" s="53" t="n">
        <v>16</v>
      </c>
      <c r="L987" s="53" t="n">
        <v>17</v>
      </c>
      <c r="M987" s="33">
        <f>F987-E987</f>
        <v/>
      </c>
      <c r="N987" s="33">
        <f>L987-K987</f>
        <v/>
      </c>
    </row>
    <row r="988">
      <c r="A988" s="58" t="inlineStr">
        <is>
          <t>39004 Noches De Colombia (S. Hackensack))</t>
        </is>
      </c>
      <c r="B988" s="58" t="inlineStr">
        <is>
          <t>Bergen</t>
        </is>
      </c>
      <c r="C988" s="58" t="inlineStr">
        <is>
          <t>Pablo Lopez</t>
        </is>
      </c>
      <c r="D988" s="58" t="inlineStr">
        <is>
          <t>On-premise</t>
        </is>
      </c>
      <c r="E988" s="53" t="n">
        <v>403</v>
      </c>
      <c r="F988" s="53" t="n">
        <v>465</v>
      </c>
      <c r="G988" s="55" t="n">
        <v>3894.88</v>
      </c>
      <c r="H988" s="55" t="n">
        <v>4508.46</v>
      </c>
      <c r="I988" s="53" t="n">
        <v>94</v>
      </c>
      <c r="J988" s="53" t="n">
        <v>86</v>
      </c>
      <c r="K988" s="53" t="n">
        <v>12</v>
      </c>
      <c r="L988" s="53" t="n">
        <v>13</v>
      </c>
      <c r="M988" s="33">
        <f>F988-E988</f>
        <v/>
      </c>
      <c r="N988" s="33">
        <f>L988-K988</f>
        <v/>
      </c>
    </row>
    <row r="989">
      <c r="A989" s="58" t="inlineStr">
        <is>
          <t>33005 La Havana 59</t>
        </is>
      </c>
      <c r="B989" s="58" t="inlineStr">
        <is>
          <t>Bergen</t>
        </is>
      </c>
      <c r="C989" s="58" t="inlineStr">
        <is>
          <t>Pablo Lopez</t>
        </is>
      </c>
      <c r="D989" s="58" t="inlineStr">
        <is>
          <t>On-premise</t>
        </is>
      </c>
      <c r="E989" s="53" t="n">
        <v>99</v>
      </c>
      <c r="F989" s="53" t="n">
        <v>77</v>
      </c>
      <c r="G989" s="55" t="n">
        <v>1045.91</v>
      </c>
      <c r="H989" s="55" t="n">
        <v>818.3099999999999</v>
      </c>
      <c r="I989" s="53" t="n">
        <v>11</v>
      </c>
      <c r="J989" s="53" t="n">
        <v>12</v>
      </c>
      <c r="K989" s="53" t="n">
        <v>1</v>
      </c>
      <c r="L989" s="53" t="n">
        <v>2</v>
      </c>
      <c r="M989" s="33">
        <f>F989-E989</f>
        <v/>
      </c>
      <c r="N989" s="33">
        <f>L989-K989</f>
        <v/>
      </c>
    </row>
    <row r="990">
      <c r="A990" s="58" t="inlineStr">
        <is>
          <t>74001 Lolitas Mexican Cantina</t>
        </is>
      </c>
      <c r="B990" s="58" t="inlineStr">
        <is>
          <t>Bergen</t>
        </is>
      </c>
      <c r="C990" s="58" t="inlineStr">
        <is>
          <t>Paul Mclaughlin</t>
        </is>
      </c>
      <c r="D990" s="58" t="inlineStr">
        <is>
          <t>On-premise</t>
        </is>
      </c>
      <c r="E990" s="53" t="n">
        <v>110</v>
      </c>
      <c r="F990" s="53" t="n">
        <v>91</v>
      </c>
      <c r="G990" s="55" t="n">
        <v>954.5500000000001</v>
      </c>
      <c r="H990" s="55" t="n">
        <v>844.71</v>
      </c>
      <c r="I990" s="53" t="n">
        <v>36</v>
      </c>
      <c r="J990" s="53" t="n">
        <v>37</v>
      </c>
      <c r="K990" s="53" t="n">
        <v>26</v>
      </c>
      <c r="L990" s="53" t="n">
        <v>27</v>
      </c>
      <c r="M990" s="33">
        <f>F990-E990</f>
        <v/>
      </c>
      <c r="N990" s="33">
        <f>L990-K990</f>
        <v/>
      </c>
    </row>
    <row r="991">
      <c r="A991" s="58" t="inlineStr">
        <is>
          <t>71005 Park Steakhouse</t>
        </is>
      </c>
      <c r="B991" s="58" t="inlineStr">
        <is>
          <t>Bergen</t>
        </is>
      </c>
      <c r="C991" s="58" t="inlineStr">
        <is>
          <t>Paul Mclaughlin</t>
        </is>
      </c>
      <c r="D991" s="58" t="inlineStr">
        <is>
          <t>On-premise</t>
        </is>
      </c>
      <c r="E991" s="53" t="n">
        <v>46</v>
      </c>
      <c r="F991" s="53" t="n">
        <v>25</v>
      </c>
      <c r="G991" s="55" t="n">
        <v>509.97</v>
      </c>
      <c r="H991" s="55" t="n">
        <v>260.91</v>
      </c>
      <c r="I991" s="53" t="n">
        <v>53</v>
      </c>
      <c r="J991" s="53" t="n">
        <v>47</v>
      </c>
      <c r="K991" s="53" t="n">
        <v>14</v>
      </c>
      <c r="L991" s="53" t="n">
        <v>15</v>
      </c>
      <c r="M991" s="33">
        <f>F991-E991</f>
        <v/>
      </c>
      <c r="N991" s="33">
        <f>L991-K991</f>
        <v/>
      </c>
    </row>
    <row r="992">
      <c r="A992" s="58" t="inlineStr">
        <is>
          <t>57011 Casual Habana Cafe (P)</t>
        </is>
      </c>
      <c r="B992" s="58" t="inlineStr">
        <is>
          <t>Bergen</t>
        </is>
      </c>
      <c r="C992" s="58" t="inlineStr">
        <is>
          <t>Paul Mclaughlin</t>
        </is>
      </c>
      <c r="D992" s="58" t="inlineStr">
        <is>
          <t>On-premise</t>
        </is>
      </c>
      <c r="E992" s="53" t="n">
        <v>35</v>
      </c>
      <c r="F992" s="53" t="n">
        <v>17</v>
      </c>
      <c r="G992" s="55" t="n">
        <v>345.69</v>
      </c>
      <c r="H992" s="55" t="n">
        <v>184</v>
      </c>
      <c r="I992" s="53" t="n">
        <v>0</v>
      </c>
      <c r="J992" s="53" t="n">
        <v>7</v>
      </c>
      <c r="K992" s="53" t="n">
        <v>0</v>
      </c>
      <c r="L992" s="53" t="n">
        <v>1</v>
      </c>
      <c r="M992" s="33">
        <f>F992-E992</f>
        <v/>
      </c>
      <c r="N992" s="33">
        <f>L992-K992</f>
        <v/>
      </c>
    </row>
    <row r="993">
      <c r="A993" s="58" t="inlineStr">
        <is>
          <t>39006 Fat Bastard &amp; Sons</t>
        </is>
      </c>
      <c r="B993" s="58" t="inlineStr">
        <is>
          <t>Bergen</t>
        </is>
      </c>
      <c r="C993" s="58" t="inlineStr">
        <is>
          <t>Paul Mclaughlin</t>
        </is>
      </c>
      <c r="D993" s="58" t="inlineStr">
        <is>
          <t>Unmatched</t>
        </is>
      </c>
      <c r="E993" s="53" t="n">
        <v>96</v>
      </c>
      <c r="F993" s="53" t="n">
        <v>80</v>
      </c>
      <c r="G993" s="55" t="n">
        <v>892.4</v>
      </c>
      <c r="H993" s="55" t="n">
        <v>722.46</v>
      </c>
      <c r="I993" s="53" t="n">
        <v>11</v>
      </c>
      <c r="J993" s="53" t="n">
        <v>15</v>
      </c>
      <c r="K993" s="53" t="n">
        <v>6</v>
      </c>
      <c r="L993" s="53" t="n">
        <v>7</v>
      </c>
      <c r="M993" s="33">
        <f>F993-E993</f>
        <v/>
      </c>
      <c r="N993" s="33">
        <f>L993-K993</f>
        <v/>
      </c>
    </row>
    <row r="994">
      <c r="A994" s="58" t="inlineStr">
        <is>
          <t>40008 Tavern 61 (Z)</t>
        </is>
      </c>
      <c r="B994" s="58" t="inlineStr">
        <is>
          <t>Bergen</t>
        </is>
      </c>
      <c r="C994" s="58" t="inlineStr">
        <is>
          <t>Paul Mclaughlin</t>
        </is>
      </c>
      <c r="D994" s="58" t="inlineStr">
        <is>
          <t>On-premise</t>
        </is>
      </c>
      <c r="E994" s="53" t="n">
        <v>94</v>
      </c>
      <c r="F994" s="53" t="n">
        <v>76</v>
      </c>
      <c r="G994" s="55" t="n">
        <v>881.4300000000001</v>
      </c>
      <c r="H994" s="55" t="n">
        <v>707.36</v>
      </c>
      <c r="I994" s="53" t="n">
        <v>19</v>
      </c>
      <c r="J994" s="53" t="n">
        <v>17</v>
      </c>
      <c r="K994" s="53" t="n">
        <v>12</v>
      </c>
      <c r="L994" s="53" t="n">
        <v>13</v>
      </c>
      <c r="M994" s="33">
        <f>F994-E994</f>
        <v/>
      </c>
      <c r="N994" s="33">
        <f>L994-K994</f>
        <v/>
      </c>
    </row>
    <row r="995">
      <c r="A995" s="58" t="inlineStr">
        <is>
          <t>54001 Tenafly Pizza (Z)</t>
        </is>
      </c>
      <c r="B995" s="58" t="inlineStr">
        <is>
          <t>Bergen</t>
        </is>
      </c>
      <c r="C995" s="58" t="inlineStr">
        <is>
          <t>Paul Mclaughlin</t>
        </is>
      </c>
      <c r="D995" s="58" t="inlineStr">
        <is>
          <t>On-premise</t>
        </is>
      </c>
      <c r="E995" s="53" t="n">
        <v>24</v>
      </c>
      <c r="F995" s="53" t="n">
        <v>29</v>
      </c>
      <c r="G995" s="55" t="n">
        <v>222.3</v>
      </c>
      <c r="H995" s="55" t="n">
        <v>289.23</v>
      </c>
      <c r="I995" s="53" t="n">
        <v>19</v>
      </c>
      <c r="J995" s="53" t="n">
        <v>16</v>
      </c>
      <c r="K995" s="53" t="n">
        <v>7</v>
      </c>
      <c r="L995" s="53" t="n">
        <v>8</v>
      </c>
      <c r="M995" s="33">
        <f>F995-E995</f>
        <v/>
      </c>
      <c r="N995" s="33">
        <f>L995-K995</f>
        <v/>
      </c>
    </row>
    <row r="996">
      <c r="A996" s="58" t="inlineStr">
        <is>
          <t>52026 Englewood Field Club</t>
        </is>
      </c>
      <c r="B996" s="58" t="inlineStr">
        <is>
          <t>Bergen</t>
        </is>
      </c>
      <c r="C996" s="58" t="inlineStr">
        <is>
          <t>Paul Mclaughlin</t>
        </is>
      </c>
      <c r="D996" s="58" t="inlineStr">
        <is>
          <t>On-premise</t>
        </is>
      </c>
      <c r="E996" s="53" t="n">
        <v>7</v>
      </c>
      <c r="F996" s="53" t="n">
        <v>5</v>
      </c>
      <c r="G996" s="55" t="n">
        <v>68.27</v>
      </c>
      <c r="H996" s="55" t="n">
        <v>52.6</v>
      </c>
      <c r="I996" s="53" t="n">
        <v>23</v>
      </c>
      <c r="J996" s="53" t="n">
        <v>6</v>
      </c>
      <c r="K996" s="53" t="n">
        <v>1</v>
      </c>
      <c r="L996" s="53" t="n">
        <v>2</v>
      </c>
      <c r="M996" s="33">
        <f>F996-E996</f>
        <v/>
      </c>
      <c r="N996" s="33">
        <f>L996-K996</f>
        <v/>
      </c>
    </row>
    <row r="997">
      <c r="A997" s="58" t="inlineStr">
        <is>
          <t>57009 Pancho Burrito's (A)</t>
        </is>
      </c>
      <c r="B997" s="58" t="inlineStr">
        <is>
          <t>Bergen</t>
        </is>
      </c>
      <c r="C997" s="58" t="inlineStr">
        <is>
          <t>Paul Mclaughlin</t>
        </is>
      </c>
      <c r="D997" s="58" t="inlineStr">
        <is>
          <t>On-premise</t>
        </is>
      </c>
      <c r="E997" s="53" t="n">
        <v>149</v>
      </c>
      <c r="F997" s="53" t="n">
        <v>186</v>
      </c>
      <c r="G997" s="55" t="n">
        <v>1389.15</v>
      </c>
      <c r="H997" s="55" t="n">
        <v>1851.03</v>
      </c>
      <c r="I997" s="53" t="n">
        <v>89</v>
      </c>
      <c r="J997" s="53" t="n">
        <v>81</v>
      </c>
      <c r="K997" s="53" t="n">
        <v>6</v>
      </c>
      <c r="L997" s="53" t="n">
        <v>7</v>
      </c>
      <c r="M997" s="33">
        <f>F997-E997</f>
        <v/>
      </c>
      <c r="N997" s="33">
        <f>L997-K997</f>
        <v/>
      </c>
    </row>
    <row r="998">
      <c r="A998" s="58" t="inlineStr">
        <is>
          <t>52012 CZEN Restaurant</t>
        </is>
      </c>
      <c r="B998" s="58" t="inlineStr">
        <is>
          <t>Bergen</t>
        </is>
      </c>
      <c r="C998" s="58" t="inlineStr">
        <is>
          <t>Paul Mclaughlin</t>
        </is>
      </c>
      <c r="D998" s="58" t="inlineStr">
        <is>
          <t>On-premise</t>
        </is>
      </c>
      <c r="E998" s="53" t="n">
        <v>0</v>
      </c>
      <c r="F998" s="53" t="n">
        <v>1</v>
      </c>
      <c r="G998" s="55" t="n">
        <v>0</v>
      </c>
      <c r="H998" s="55" t="n">
        <v>13.16</v>
      </c>
      <c r="I998" s="53" t="n">
        <v>0</v>
      </c>
      <c r="J998" s="53" t="n">
        <v>2</v>
      </c>
      <c r="K998" s="53" t="n">
        <v>0</v>
      </c>
      <c r="L998" s="53" t="n">
        <v>1</v>
      </c>
      <c r="M998" s="33">
        <f>F998-E998</f>
        <v/>
      </c>
      <c r="N998" s="33">
        <f>L998-K998</f>
        <v/>
      </c>
    </row>
    <row r="999">
      <c r="A999" s="58" t="inlineStr">
        <is>
          <t>1026 American Legion Post 289 (A) West Milford</t>
        </is>
      </c>
      <c r="B999" s="58" t="inlineStr">
        <is>
          <t>Passaic</t>
        </is>
      </c>
      <c r="C999" s="58" t="inlineStr">
        <is>
          <t>Robin Feldman</t>
        </is>
      </c>
      <c r="D999" s="58" t="inlineStr">
        <is>
          <t>On-premise</t>
        </is>
      </c>
      <c r="E999" s="53" t="n">
        <v>69</v>
      </c>
      <c r="F999" s="53" t="n">
        <v>78</v>
      </c>
      <c r="G999" s="55" t="n">
        <v>533.6999999999999</v>
      </c>
      <c r="H999" s="55" t="n">
        <v>654.25</v>
      </c>
      <c r="I999" s="53" t="n">
        <v>27</v>
      </c>
      <c r="J999" s="53" t="n">
        <v>33</v>
      </c>
      <c r="K999" s="53" t="n">
        <v>10</v>
      </c>
      <c r="L999" s="53" t="n">
        <v>11</v>
      </c>
      <c r="M999" s="33">
        <f>F999-E999</f>
        <v/>
      </c>
      <c r="N999" s="33">
        <f>L999-K999</f>
        <v/>
      </c>
    </row>
    <row r="1000">
      <c r="A1000" s="58" t="inlineStr">
        <is>
          <t>15077 E &amp; V (A) Restaurant</t>
        </is>
      </c>
      <c r="B1000" s="58" t="inlineStr">
        <is>
          <t>Passaic</t>
        </is>
      </c>
      <c r="C1000" s="58" t="inlineStr">
        <is>
          <t>Robin Feldman</t>
        </is>
      </c>
      <c r="D1000" s="58" t="inlineStr">
        <is>
          <t>On-premise</t>
        </is>
      </c>
      <c r="E1000" s="53" t="n">
        <v>10</v>
      </c>
      <c r="F1000" s="53" t="n">
        <v>20</v>
      </c>
      <c r="G1000" s="55" t="n">
        <v>108.37</v>
      </c>
      <c r="H1000" s="55" t="n">
        <v>223.54</v>
      </c>
      <c r="I1000" s="53" t="n">
        <v>0</v>
      </c>
      <c r="J1000" s="53" t="n">
        <v>0</v>
      </c>
      <c r="K1000" s="53" t="n">
        <v>1</v>
      </c>
      <c r="L1000" s="53" t="n">
        <v>2</v>
      </c>
      <c r="M1000" s="33">
        <f>F1000-E1000</f>
        <v/>
      </c>
      <c r="N1000" s="33">
        <f>L1000-K1000</f>
        <v/>
      </c>
    </row>
    <row r="1001">
      <c r="A1001" s="58" t="inlineStr">
        <is>
          <t>2009 Frungillo Caterers</t>
        </is>
      </c>
      <c r="B1001" s="58" t="inlineStr">
        <is>
          <t>Passaic</t>
        </is>
      </c>
      <c r="C1001" s="58" t="inlineStr">
        <is>
          <t>Robin Feldman</t>
        </is>
      </c>
      <c r="D1001" s="58" t="inlineStr">
        <is>
          <t>On-premise</t>
        </is>
      </c>
      <c r="E1001" s="53" t="n">
        <v>61</v>
      </c>
      <c r="F1001" s="53" t="n">
        <v>49</v>
      </c>
      <c r="G1001" s="55" t="n">
        <v>531.9300000000001</v>
      </c>
      <c r="H1001" s="55" t="n">
        <v>452.36</v>
      </c>
      <c r="I1001" s="53" t="n">
        <v>13</v>
      </c>
      <c r="J1001" s="53" t="n">
        <v>12</v>
      </c>
      <c r="K1001" s="53" t="n">
        <v>0</v>
      </c>
      <c r="L1001" s="53" t="n">
        <v>1</v>
      </c>
      <c r="M1001" s="33">
        <f>F1001-E1001</f>
        <v/>
      </c>
      <c r="N1001" s="33">
        <f>L1001-K1001</f>
        <v/>
      </c>
    </row>
    <row r="1002">
      <c r="A1002" s="58" t="inlineStr">
        <is>
          <t>230118 Lake Mohawk (P) Golf Club</t>
        </is>
      </c>
      <c r="B1002" s="58" t="inlineStr">
        <is>
          <t>Sussex</t>
        </is>
      </c>
      <c r="C1002" s="58" t="inlineStr">
        <is>
          <t>Robin Feldman</t>
        </is>
      </c>
      <c r="D1002" s="58" t="inlineStr">
        <is>
          <t>On-premise</t>
        </is>
      </c>
      <c r="E1002" s="53" t="n">
        <v>123</v>
      </c>
      <c r="F1002" s="53" t="n">
        <v>129</v>
      </c>
      <c r="G1002" s="55" t="n">
        <v>383</v>
      </c>
      <c r="H1002" s="55" t="n">
        <v>469.65</v>
      </c>
      <c r="I1002" s="53" t="n">
        <v>46</v>
      </c>
      <c r="J1002" s="53" t="n">
        <v>51</v>
      </c>
      <c r="K1002" s="53" t="n">
        <v>0</v>
      </c>
      <c r="L1002" s="53" t="n">
        <v>1</v>
      </c>
      <c r="M1002" s="33">
        <f>F1002-E1002</f>
        <v/>
      </c>
      <c r="N1002" s="33">
        <f>L1002-K1002</f>
        <v/>
      </c>
    </row>
    <row r="1003">
      <c r="A1003" s="58" t="inlineStr">
        <is>
          <t>231802 Candy's Pizza</t>
        </is>
      </c>
      <c r="B1003" s="58" t="inlineStr">
        <is>
          <t>Sussex</t>
        </is>
      </c>
      <c r="C1003" s="58" t="inlineStr">
        <is>
          <t>Robin Feldman</t>
        </is>
      </c>
      <c r="D1003" s="58" t="inlineStr">
        <is>
          <t>On-premise</t>
        </is>
      </c>
      <c r="E1003" s="53" t="n">
        <v>12</v>
      </c>
      <c r="F1003" s="53" t="n">
        <v>9</v>
      </c>
      <c r="G1003" s="55" t="n">
        <v>113.31</v>
      </c>
      <c r="H1003" s="55" t="n">
        <v>87.43999999999998</v>
      </c>
      <c r="I1003" s="53" t="n">
        <v>6</v>
      </c>
      <c r="J1003" s="53" t="n">
        <v>1</v>
      </c>
      <c r="K1003" s="53" t="n">
        <v>0</v>
      </c>
      <c r="L1003" s="53" t="n">
        <v>1</v>
      </c>
      <c r="M1003" s="33">
        <f>F1003-E1003</f>
        <v/>
      </c>
      <c r="N1003" s="33">
        <f>L1003-K1003</f>
        <v/>
      </c>
    </row>
    <row r="1004">
      <c r="A1004" s="58" t="inlineStr">
        <is>
          <t>66001 Montammy Golf Club (P)</t>
        </is>
      </c>
      <c r="B1004" s="58" t="inlineStr">
        <is>
          <t>Bergen</t>
        </is>
      </c>
      <c r="C1004" s="58" t="inlineStr">
        <is>
          <t>Robin Feldman</t>
        </is>
      </c>
      <c r="D1004" s="58" t="inlineStr">
        <is>
          <t>On-premise</t>
        </is>
      </c>
      <c r="E1004" s="53" t="n">
        <v>64</v>
      </c>
      <c r="F1004" s="53" t="n">
        <v>68</v>
      </c>
      <c r="G1004" s="55" t="n">
        <v>603.1400000000001</v>
      </c>
      <c r="H1004" s="55" t="n">
        <v>594.35</v>
      </c>
      <c r="I1004" s="53" t="n">
        <v>3</v>
      </c>
      <c r="J1004" s="53" t="n">
        <v>15</v>
      </c>
      <c r="K1004" s="53" t="n">
        <v>13</v>
      </c>
      <c r="L1004" s="53" t="n">
        <v>14</v>
      </c>
      <c r="M1004" s="33">
        <f>F1004-E1004</f>
        <v/>
      </c>
      <c r="N1004" s="33">
        <f>L1004-K1004</f>
        <v/>
      </c>
    </row>
    <row r="1005">
      <c r="A1005" s="58" t="inlineStr">
        <is>
          <t>15081 Evolution Restaurant &amp; Bar</t>
        </is>
      </c>
      <c r="B1005" s="58" t="inlineStr">
        <is>
          <t>Passaic</t>
        </is>
      </c>
      <c r="C1005" s="58" t="inlineStr">
        <is>
          <t>Robin Feldman</t>
        </is>
      </c>
      <c r="D1005" s="58" t="inlineStr">
        <is>
          <t>On-premise</t>
        </is>
      </c>
      <c r="E1005" s="53" t="n">
        <v>55</v>
      </c>
      <c r="F1005" s="53" t="n">
        <v>71</v>
      </c>
      <c r="G1005" s="55" t="n">
        <v>500.46</v>
      </c>
      <c r="H1005" s="55" t="n">
        <v>664.92</v>
      </c>
      <c r="I1005" s="53" t="n">
        <v>36</v>
      </c>
      <c r="J1005" s="53" t="n">
        <v>38</v>
      </c>
      <c r="K1005" s="53" t="n">
        <v>3</v>
      </c>
      <c r="L1005" s="53" t="n">
        <v>4</v>
      </c>
      <c r="M1005" s="33">
        <f>F1005-E1005</f>
        <v/>
      </c>
      <c r="N1005" s="33">
        <f>L1005-K1005</f>
        <v/>
      </c>
    </row>
    <row r="1006">
      <c r="A1006" s="58" t="inlineStr">
        <is>
          <t>50032 Vfw 5561 Bogota</t>
        </is>
      </c>
      <c r="B1006" s="58" t="inlineStr">
        <is>
          <t>Bergen</t>
        </is>
      </c>
      <c r="C1006" s="58" t="inlineStr">
        <is>
          <t>Robin Feldman</t>
        </is>
      </c>
      <c r="D1006" s="58" t="inlineStr">
        <is>
          <t>On-premise</t>
        </is>
      </c>
      <c r="E1006" s="53" t="n">
        <v>25</v>
      </c>
      <c r="F1006" s="53" t="n">
        <v>44</v>
      </c>
      <c r="G1006" s="55" t="n">
        <v>186.22</v>
      </c>
      <c r="H1006" s="55" t="n">
        <v>383.52</v>
      </c>
      <c r="I1006" s="53" t="n">
        <v>0</v>
      </c>
      <c r="J1006" s="53" t="n">
        <v>7</v>
      </c>
      <c r="K1006" s="53" t="n">
        <v>0</v>
      </c>
      <c r="L1006" s="53" t="n">
        <v>1</v>
      </c>
      <c r="M1006" s="33">
        <f>F1006-E1006</f>
        <v/>
      </c>
      <c r="N1006" s="33">
        <f>L1006-K1006</f>
        <v/>
      </c>
    </row>
    <row r="1007">
      <c r="A1007" s="58" t="inlineStr">
        <is>
          <t>5009 K Of C Pequannock Valley</t>
        </is>
      </c>
      <c r="B1007" s="58" t="inlineStr">
        <is>
          <t>Morris</t>
        </is>
      </c>
      <c r="C1007" s="58" t="inlineStr">
        <is>
          <t>Robin Feldman</t>
        </is>
      </c>
      <c r="D1007" s="58" t="inlineStr">
        <is>
          <t>On-premise</t>
        </is>
      </c>
      <c r="E1007" s="53" t="n">
        <v>69</v>
      </c>
      <c r="F1007" s="53" t="n">
        <v>74</v>
      </c>
      <c r="G1007" s="55" t="n">
        <v>440.05</v>
      </c>
      <c r="H1007" s="55" t="n">
        <v>449.85</v>
      </c>
      <c r="I1007" s="53" t="n">
        <v>1</v>
      </c>
      <c r="J1007" s="53" t="n">
        <v>1</v>
      </c>
      <c r="K1007" s="53" t="n">
        <v>0</v>
      </c>
      <c r="L1007" s="53" t="n">
        <v>1</v>
      </c>
      <c r="M1007" s="33">
        <f>F1007-E1007</f>
        <v/>
      </c>
      <c r="N1007" s="33">
        <f>L1007-K1007</f>
        <v/>
      </c>
    </row>
    <row r="1008">
      <c r="A1008" s="58" t="inlineStr">
        <is>
          <t>52017 Tapas De Espana (P)</t>
        </is>
      </c>
      <c r="B1008" s="58" t="inlineStr">
        <is>
          <t>Bergen</t>
        </is>
      </c>
      <c r="C1008" s="58" t="inlineStr">
        <is>
          <t>Robin Feldman</t>
        </is>
      </c>
      <c r="D1008" s="58" t="inlineStr">
        <is>
          <t>On-premise</t>
        </is>
      </c>
      <c r="E1008" s="53" t="n">
        <v>0</v>
      </c>
      <c r="F1008" s="53" t="n">
        <v>9</v>
      </c>
      <c r="G1008" s="55" t="n">
        <v>0</v>
      </c>
      <c r="H1008" s="55" t="n">
        <v>101.59</v>
      </c>
      <c r="I1008" s="53" t="n">
        <v>0</v>
      </c>
      <c r="J1008" s="53" t="n">
        <v>1</v>
      </c>
      <c r="K1008" s="53" t="n">
        <v>0</v>
      </c>
      <c r="L1008" s="53" t="n">
        <v>1</v>
      </c>
      <c r="M1008" s="33">
        <f>F1008-E1008</f>
        <v/>
      </c>
      <c r="N1008" s="33">
        <f>L1008-K1008</f>
        <v/>
      </c>
    </row>
    <row r="1009">
      <c r="A1009" s="58" t="inlineStr">
        <is>
          <t>52032 Ideal Lodge 470 (P)</t>
        </is>
      </c>
      <c r="B1009" s="58" t="inlineStr">
        <is>
          <t>Bergen</t>
        </is>
      </c>
      <c r="C1009" s="58" t="inlineStr">
        <is>
          <t>Robin Feldman</t>
        </is>
      </c>
      <c r="D1009" s="58" t="inlineStr">
        <is>
          <t>On-premise</t>
        </is>
      </c>
      <c r="E1009" s="53" t="n">
        <v>70</v>
      </c>
      <c r="F1009" s="53" t="n">
        <v>56</v>
      </c>
      <c r="G1009" s="55" t="n">
        <v>716.39</v>
      </c>
      <c r="H1009" s="55" t="n">
        <v>575.25</v>
      </c>
      <c r="I1009" s="53" t="n">
        <v>9</v>
      </c>
      <c r="J1009" s="53" t="n">
        <v>9</v>
      </c>
      <c r="K1009" s="53" t="n">
        <v>2</v>
      </c>
      <c r="L1009" s="53" t="n">
        <v>3</v>
      </c>
      <c r="M1009" s="33">
        <f>F1009-E1009</f>
        <v/>
      </c>
      <c r="N1009" s="33">
        <f>L1009-K1009</f>
        <v/>
      </c>
    </row>
    <row r="1010">
      <c r="A1010" s="58" t="inlineStr">
        <is>
          <t>40035 Chit Chat Diner</t>
        </is>
      </c>
      <c r="B1010" s="58" t="inlineStr">
        <is>
          <t>Bergen</t>
        </is>
      </c>
      <c r="C1010" s="58" t="inlineStr">
        <is>
          <t>Robin Feldman</t>
        </is>
      </c>
      <c r="D1010" s="58" t="inlineStr">
        <is>
          <t>On-premise</t>
        </is>
      </c>
      <c r="E1010" s="53" t="n">
        <v>28</v>
      </c>
      <c r="F1010" s="53" t="n">
        <v>32</v>
      </c>
      <c r="G1010" s="55" t="n">
        <v>274.35</v>
      </c>
      <c r="H1010" s="55" t="n">
        <v>335.19</v>
      </c>
      <c r="I1010" s="53" t="n">
        <v>7</v>
      </c>
      <c r="J1010" s="53" t="n">
        <v>8</v>
      </c>
      <c r="K1010" s="53" t="n">
        <v>0</v>
      </c>
      <c r="L1010" s="53" t="n">
        <v>1</v>
      </c>
      <c r="M1010" s="33">
        <f>F1010-E1010</f>
        <v/>
      </c>
      <c r="N1010" s="33">
        <f>L1010-K1010</f>
        <v/>
      </c>
    </row>
    <row r="1011">
      <c r="A1011" s="58" t="inlineStr">
        <is>
          <t>81023 K Of C W Bergen</t>
        </is>
      </c>
      <c r="B1011" s="58" t="inlineStr">
        <is>
          <t>Bergen</t>
        </is>
      </c>
      <c r="C1011" s="58" t="inlineStr">
        <is>
          <t>Robin Feldman</t>
        </is>
      </c>
      <c r="D1011" s="58" t="inlineStr">
        <is>
          <t>On-premise</t>
        </is>
      </c>
      <c r="E1011" s="53" t="n">
        <v>0</v>
      </c>
      <c r="F1011" s="53" t="n">
        <v>11</v>
      </c>
      <c r="G1011" s="55" t="n">
        <v>0</v>
      </c>
      <c r="H1011" s="55" t="n">
        <v>106.85</v>
      </c>
      <c r="I1011" s="53" t="n">
        <v>0</v>
      </c>
      <c r="J1011" s="53" t="n">
        <v>0</v>
      </c>
      <c r="K1011" s="53" t="n">
        <v>0</v>
      </c>
      <c r="L1011" s="53" t="n">
        <v>1</v>
      </c>
      <c r="M1011" s="33">
        <f>F1011-E1011</f>
        <v/>
      </c>
      <c r="N1011" s="33">
        <f>L1011-K1011</f>
        <v/>
      </c>
    </row>
    <row r="1012">
      <c r="A1012" s="58" t="inlineStr">
        <is>
          <t>71006 Ridgemont Liquors (A)</t>
        </is>
      </c>
      <c r="B1012" s="58" t="inlineStr">
        <is>
          <t>Bergen</t>
        </is>
      </c>
      <c r="C1012" s="58" t="inlineStr">
        <is>
          <t>Shane Barreca</t>
        </is>
      </c>
      <c r="D1012" s="58" t="inlineStr">
        <is>
          <t>Off-premise</t>
        </is>
      </c>
      <c r="E1012" s="53" t="n">
        <v>1309</v>
      </c>
      <c r="F1012" s="53" t="n">
        <v>1144</v>
      </c>
      <c r="G1012" s="55" t="n">
        <v>8341.699999999999</v>
      </c>
      <c r="H1012" s="55" t="n">
        <v>7768.67</v>
      </c>
      <c r="I1012" s="53" t="n">
        <v>284</v>
      </c>
      <c r="J1012" s="53" t="n">
        <v>273</v>
      </c>
      <c r="K1012" s="53" t="n">
        <v>175</v>
      </c>
      <c r="L1012" s="53" t="n">
        <v>176</v>
      </c>
      <c r="M1012" s="33">
        <f>F1012-E1012</f>
        <v/>
      </c>
      <c r="N1012" s="33">
        <f>L1012-K1012</f>
        <v/>
      </c>
    </row>
    <row r="1013">
      <c r="A1013" s="58" t="inlineStr">
        <is>
          <t>150012 Kings Super Markets</t>
        </is>
      </c>
      <c r="B1013" s="58" t="inlineStr">
        <is>
          <t>Essex</t>
        </is>
      </c>
      <c r="C1013" s="58" t="inlineStr">
        <is>
          <t>Alex Rodriguez</t>
        </is>
      </c>
      <c r="D1013" s="58" t="inlineStr">
        <is>
          <t>Off-premise</t>
        </is>
      </c>
      <c r="E1013" s="53" t="n">
        <v>5</v>
      </c>
      <c r="F1013" s="53" t="n">
        <v>5</v>
      </c>
      <c r="G1013" s="55" t="n">
        <v>43.3</v>
      </c>
      <c r="H1013" s="55" t="n">
        <v>43.3</v>
      </c>
      <c r="I1013" s="53" t="n">
        <v>147</v>
      </c>
      <c r="J1013" s="53" t="n">
        <v>132</v>
      </c>
      <c r="K1013" s="53" t="n">
        <v>5</v>
      </c>
      <c r="L1013" s="53" t="n">
        <v>5</v>
      </c>
      <c r="M1013" s="33">
        <f>F1013-E1013</f>
        <v/>
      </c>
      <c r="N1013" s="33">
        <f>L1013-K1013</f>
        <v/>
      </c>
    </row>
    <row r="1014">
      <c r="A1014" s="58" t="inlineStr">
        <is>
          <t>250020 Rick's Wines &amp; Liquors</t>
        </is>
      </c>
      <c r="B1014" s="58" t="inlineStr">
        <is>
          <t>Union</t>
        </is>
      </c>
      <c r="C1014" s="58" t="inlineStr">
        <is>
          <t>Alex Rodriguez</t>
        </is>
      </c>
      <c r="D1014" s="58" t="inlineStr">
        <is>
          <t>Off-premise</t>
        </is>
      </c>
      <c r="E1014" s="53" t="n">
        <v>9</v>
      </c>
      <c r="F1014" s="53" t="n">
        <v>9</v>
      </c>
      <c r="G1014" s="55" t="n">
        <v>84.03</v>
      </c>
      <c r="H1014" s="55" t="n">
        <v>84.03</v>
      </c>
      <c r="I1014" s="53" t="n">
        <v>185</v>
      </c>
      <c r="J1014" s="53" t="n">
        <v>84</v>
      </c>
      <c r="K1014" s="53" t="n">
        <v>9</v>
      </c>
      <c r="L1014" s="53" t="n">
        <v>9</v>
      </c>
      <c r="M1014" s="33">
        <f>F1014-E1014</f>
        <v/>
      </c>
      <c r="N1014" s="33">
        <f>L1014-K1014</f>
        <v/>
      </c>
    </row>
    <row r="1015">
      <c r="A1015" s="58" t="inlineStr">
        <is>
          <t>250056 Continental Wine/Liq</t>
        </is>
      </c>
      <c r="B1015" s="58" t="inlineStr">
        <is>
          <t>Union</t>
        </is>
      </c>
      <c r="C1015" s="58" t="inlineStr">
        <is>
          <t>Alex Rodriguez</t>
        </is>
      </c>
      <c r="D1015" s="58" t="inlineStr">
        <is>
          <t>Off-premise</t>
        </is>
      </c>
      <c r="E1015" s="53" t="n">
        <v>9</v>
      </c>
      <c r="F1015" s="53" t="n">
        <v>9</v>
      </c>
      <c r="G1015" s="55" t="n">
        <v>71.53</v>
      </c>
      <c r="H1015" s="55" t="n">
        <v>71.53</v>
      </c>
      <c r="I1015" s="53" t="n">
        <v>66</v>
      </c>
      <c r="J1015" s="53" t="n">
        <v>48</v>
      </c>
      <c r="K1015" s="53" t="n">
        <v>9</v>
      </c>
      <c r="L1015" s="53" t="n">
        <v>9</v>
      </c>
      <c r="M1015" s="33">
        <f>F1015-E1015</f>
        <v/>
      </c>
      <c r="N1015" s="33">
        <f>L1015-K1015</f>
        <v/>
      </c>
    </row>
    <row r="1016">
      <c r="A1016" s="58" t="inlineStr">
        <is>
          <t>250153 T &amp; J Liquor</t>
        </is>
      </c>
      <c r="B1016" s="58" t="inlineStr">
        <is>
          <t>Union</t>
        </is>
      </c>
      <c r="C1016" s="58" t="inlineStr">
        <is>
          <t>Alex Rodriguez</t>
        </is>
      </c>
      <c r="D1016" s="58" t="inlineStr">
        <is>
          <t>Off-premise</t>
        </is>
      </c>
      <c r="E1016" s="53" t="n">
        <v>9</v>
      </c>
      <c r="F1016" s="53" t="n">
        <v>9</v>
      </c>
      <c r="G1016" s="55" t="n">
        <v>71.53</v>
      </c>
      <c r="H1016" s="55" t="n">
        <v>71.53</v>
      </c>
      <c r="I1016" s="53" t="n">
        <v>67</v>
      </c>
      <c r="J1016" s="53" t="n">
        <v>69</v>
      </c>
      <c r="K1016" s="53" t="n">
        <v>9</v>
      </c>
      <c r="L1016" s="53" t="n">
        <v>9</v>
      </c>
      <c r="M1016" s="33">
        <f>F1016-E1016</f>
        <v/>
      </c>
      <c r="N1016" s="33">
        <f>L1016-K1016</f>
        <v/>
      </c>
    </row>
    <row r="1017">
      <c r="A1017" s="58" t="inlineStr">
        <is>
          <t>250157 Skylark Discount Liquors</t>
        </is>
      </c>
      <c r="B1017" s="58" t="inlineStr">
        <is>
          <t>Union</t>
        </is>
      </c>
      <c r="C1017" s="58" t="inlineStr">
        <is>
          <t>Alex Rodriguez</t>
        </is>
      </c>
      <c r="D1017" s="58" t="inlineStr">
        <is>
          <t>Off-premise</t>
        </is>
      </c>
      <c r="E1017" s="53" t="n">
        <v>19</v>
      </c>
      <c r="F1017" s="53" t="n">
        <v>19</v>
      </c>
      <c r="G1017" s="55" t="n">
        <v>141.68</v>
      </c>
      <c r="H1017" s="55" t="n">
        <v>135.83</v>
      </c>
      <c r="I1017" s="53" t="n">
        <v>24</v>
      </c>
      <c r="J1017" s="53" t="n">
        <v>27</v>
      </c>
      <c r="K1017" s="53" t="n">
        <v>19</v>
      </c>
      <c r="L1017" s="53" t="n">
        <v>19</v>
      </c>
      <c r="M1017" s="33">
        <f>F1017-E1017</f>
        <v/>
      </c>
      <c r="N1017" s="33">
        <f>L1017-K1017</f>
        <v/>
      </c>
    </row>
    <row r="1018">
      <c r="A1018" s="58" t="inlineStr">
        <is>
          <t>150038 Pioneer Wine's &amp; Liquors</t>
        </is>
      </c>
      <c r="B1018" s="58" t="inlineStr">
        <is>
          <t>Essex</t>
        </is>
      </c>
      <c r="C1018" s="58" t="inlineStr">
        <is>
          <t>Alisa Acciardi</t>
        </is>
      </c>
      <c r="D1018" s="58" t="inlineStr">
        <is>
          <t>Off-premise</t>
        </is>
      </c>
      <c r="E1018" s="53" t="n">
        <v>10</v>
      </c>
      <c r="F1018" s="53" t="n">
        <v>10</v>
      </c>
      <c r="G1018" s="55" t="n">
        <v>69.2</v>
      </c>
      <c r="H1018" s="55" t="n">
        <v>69.2</v>
      </c>
      <c r="I1018" s="53" t="n">
        <v>92</v>
      </c>
      <c r="J1018" s="53" t="n">
        <v>109</v>
      </c>
      <c r="K1018" s="53" t="n">
        <v>10</v>
      </c>
      <c r="L1018" s="53" t="n">
        <v>10</v>
      </c>
      <c r="M1018" s="33">
        <f>F1018-E1018</f>
        <v/>
      </c>
      <c r="N1018" s="33">
        <f>L1018-K1018</f>
        <v/>
      </c>
    </row>
    <row r="1019">
      <c r="A1019" s="58" t="inlineStr">
        <is>
          <t>150086 Cordes Wine &amp; Liquor</t>
        </is>
      </c>
      <c r="B1019" s="58" t="inlineStr">
        <is>
          <t>Essex</t>
        </is>
      </c>
      <c r="C1019" s="58" t="inlineStr">
        <is>
          <t>Alisa Acciardi</t>
        </is>
      </c>
      <c r="D1019" s="58" t="inlineStr">
        <is>
          <t>Off-premise</t>
        </is>
      </c>
      <c r="E1019" s="53" t="n">
        <v>10</v>
      </c>
      <c r="F1019" s="53" t="n">
        <v>10</v>
      </c>
      <c r="G1019" s="55" t="n">
        <v>86.34</v>
      </c>
      <c r="H1019" s="55" t="n">
        <v>86.34</v>
      </c>
      <c r="I1019" s="53" t="n">
        <v>68</v>
      </c>
      <c r="J1019" s="53" t="n">
        <v>34</v>
      </c>
      <c r="K1019" s="53" t="n">
        <v>10</v>
      </c>
      <c r="L1019" s="53" t="n">
        <v>10</v>
      </c>
      <c r="M1019" s="33">
        <f>F1019-E1019</f>
        <v/>
      </c>
      <c r="N1019" s="33">
        <f>L1019-K1019</f>
        <v/>
      </c>
    </row>
    <row r="1020">
      <c r="A1020" s="58" t="inlineStr">
        <is>
          <t>150123 Cowans Public</t>
        </is>
      </c>
      <c r="B1020" s="58" t="inlineStr">
        <is>
          <t>Essex</t>
        </is>
      </c>
      <c r="C1020" s="58" t="inlineStr">
        <is>
          <t>Alisa Acciardi</t>
        </is>
      </c>
      <c r="D1020" s="58" t="inlineStr">
        <is>
          <t>On-premise</t>
        </is>
      </c>
      <c r="E1020" s="53" t="n">
        <v>14</v>
      </c>
      <c r="F1020" s="53" t="n">
        <v>14</v>
      </c>
      <c r="G1020" s="55" t="n">
        <v>84.5</v>
      </c>
      <c r="H1020" s="55" t="n">
        <v>84.5</v>
      </c>
      <c r="I1020" s="53" t="n">
        <v>42</v>
      </c>
      <c r="J1020" s="53" t="n">
        <v>21</v>
      </c>
      <c r="K1020" s="53" t="n">
        <v>14</v>
      </c>
      <c r="L1020" s="53" t="n">
        <v>14</v>
      </c>
      <c r="M1020" s="33">
        <f>F1020-E1020</f>
        <v/>
      </c>
      <c r="N1020" s="33">
        <f>L1020-K1020</f>
        <v/>
      </c>
    </row>
    <row r="1021">
      <c r="A1021" s="58" t="inlineStr">
        <is>
          <t>150157 Plaza Wine &amp; Liquor</t>
        </is>
      </c>
      <c r="B1021" s="58" t="inlineStr">
        <is>
          <t>Essex</t>
        </is>
      </c>
      <c r="C1021" s="58" t="inlineStr">
        <is>
          <t>Alisa Acciardi</t>
        </is>
      </c>
      <c r="D1021" s="58" t="inlineStr">
        <is>
          <t>Off-premise</t>
        </is>
      </c>
      <c r="E1021" s="53" t="n">
        <v>10</v>
      </c>
      <c r="F1021" s="53" t="n">
        <v>10</v>
      </c>
      <c r="G1021" s="55" t="n">
        <v>69.06</v>
      </c>
      <c r="H1021" s="55" t="n">
        <v>69.56</v>
      </c>
      <c r="I1021" s="53" t="n">
        <v>177</v>
      </c>
      <c r="J1021" s="53" t="n">
        <v>168</v>
      </c>
      <c r="K1021" s="53" t="n">
        <v>10</v>
      </c>
      <c r="L1021" s="53" t="n">
        <v>10</v>
      </c>
      <c r="M1021" s="33">
        <f>F1021-E1021</f>
        <v/>
      </c>
      <c r="N1021" s="33">
        <f>L1021-K1021</f>
        <v/>
      </c>
    </row>
    <row r="1022">
      <c r="A1022" s="58" t="inlineStr">
        <is>
          <t>150176 Lou's Corner</t>
        </is>
      </c>
      <c r="B1022" s="58" t="inlineStr">
        <is>
          <t>Essex</t>
        </is>
      </c>
      <c r="C1022" s="58" t="inlineStr">
        <is>
          <t>Alisa Acciardi</t>
        </is>
      </c>
      <c r="D1022" s="58" t="inlineStr">
        <is>
          <t>Off-premise</t>
        </is>
      </c>
      <c r="E1022" s="53" t="n">
        <v>9</v>
      </c>
      <c r="F1022" s="53" t="n">
        <v>9</v>
      </c>
      <c r="G1022" s="55" t="n">
        <v>71.53</v>
      </c>
      <c r="H1022" s="55" t="n">
        <v>71.53</v>
      </c>
      <c r="I1022" s="53" t="n">
        <v>1</v>
      </c>
      <c r="J1022" s="53" t="n">
        <v>1</v>
      </c>
      <c r="K1022" s="53" t="n">
        <v>9</v>
      </c>
      <c r="L1022" s="53" t="n">
        <v>9</v>
      </c>
      <c r="M1022" s="33">
        <f>F1022-E1022</f>
        <v/>
      </c>
      <c r="N1022" s="33">
        <f>L1022-K1022</f>
        <v/>
      </c>
    </row>
    <row r="1023">
      <c r="A1023" s="58" t="inlineStr">
        <is>
          <t>150229 City Discount Liquors</t>
        </is>
      </c>
      <c r="B1023" s="58" t="inlineStr">
        <is>
          <t>Essex</t>
        </is>
      </c>
      <c r="C1023" s="58" t="inlineStr">
        <is>
          <t>Alisa Acciardi</t>
        </is>
      </c>
      <c r="D1023" s="58" t="inlineStr">
        <is>
          <t>Off-premise</t>
        </is>
      </c>
      <c r="E1023" s="53" t="n">
        <v>19</v>
      </c>
      <c r="F1023" s="53" t="n">
        <v>19</v>
      </c>
      <c r="G1023" s="55" t="n">
        <v>143.13</v>
      </c>
      <c r="H1023" s="55" t="n">
        <v>143.09</v>
      </c>
      <c r="I1023" s="53" t="n">
        <v>61</v>
      </c>
      <c r="J1023" s="53" t="n">
        <v>51</v>
      </c>
      <c r="K1023" s="53" t="n">
        <v>19</v>
      </c>
      <c r="L1023" s="53" t="n">
        <v>19</v>
      </c>
      <c r="M1023" s="33">
        <f>F1023-E1023</f>
        <v/>
      </c>
      <c r="N1023" s="33">
        <f>L1023-K1023</f>
        <v/>
      </c>
    </row>
    <row r="1024">
      <c r="A1024" s="58" t="inlineStr">
        <is>
          <t>170035 Steves Liquors (P)</t>
        </is>
      </c>
      <c r="B1024" s="58" t="inlineStr">
        <is>
          <t>Hudson</t>
        </is>
      </c>
      <c r="C1024" s="58" t="inlineStr">
        <is>
          <t>Alisa Acciardi</t>
        </is>
      </c>
      <c r="D1024" s="58" t="inlineStr">
        <is>
          <t>Off-premise</t>
        </is>
      </c>
      <c r="E1024" s="53" t="n">
        <v>9</v>
      </c>
      <c r="F1024" s="53" t="n">
        <v>9</v>
      </c>
      <c r="G1024" s="55" t="n">
        <v>71.53</v>
      </c>
      <c r="H1024" s="55" t="n">
        <v>71.53</v>
      </c>
      <c r="I1024" s="53" t="n">
        <v>20</v>
      </c>
      <c r="J1024" s="53" t="n">
        <v>0</v>
      </c>
      <c r="K1024" s="53" t="n">
        <v>9</v>
      </c>
      <c r="L1024" s="53" t="n">
        <v>9</v>
      </c>
      <c r="M1024" s="33">
        <f>F1024-E1024</f>
        <v/>
      </c>
      <c r="N1024" s="33">
        <f>L1024-K1024</f>
        <v/>
      </c>
    </row>
    <row r="1025">
      <c r="A1025" s="58" t="inlineStr">
        <is>
          <t>171333 Family Convenience &amp; Liq_2</t>
        </is>
      </c>
      <c r="B1025" s="58" t="inlineStr">
        <is>
          <t>Hudson</t>
        </is>
      </c>
      <c r="C1025" s="58" t="inlineStr">
        <is>
          <t>Alisa Acciardi</t>
        </is>
      </c>
      <c r="D1025" s="58" t="inlineStr">
        <is>
          <t>Off-premise</t>
        </is>
      </c>
      <c r="E1025" s="53" t="n">
        <v>10</v>
      </c>
      <c r="F1025" s="53" t="n">
        <v>10</v>
      </c>
      <c r="G1025" s="55" t="n">
        <v>71.56</v>
      </c>
      <c r="H1025" s="55" t="n">
        <v>70.56999999999999</v>
      </c>
      <c r="I1025" s="53" t="n">
        <v>31</v>
      </c>
      <c r="J1025" s="53" t="n">
        <v>37</v>
      </c>
      <c r="K1025" s="53" t="n">
        <v>10</v>
      </c>
      <c r="L1025" s="53" t="n">
        <v>10</v>
      </c>
      <c r="M1025" s="33">
        <f>F1025-E1025</f>
        <v/>
      </c>
      <c r="N1025" s="33">
        <f>L1025-K1025</f>
        <v/>
      </c>
    </row>
    <row r="1026">
      <c r="A1026" s="58" t="inlineStr">
        <is>
          <t>171404 Massarelli's Liquors</t>
        </is>
      </c>
      <c r="B1026" s="58" t="inlineStr">
        <is>
          <t>Hudson</t>
        </is>
      </c>
      <c r="C1026" s="58" t="inlineStr">
        <is>
          <t>Alisa Acciardi</t>
        </is>
      </c>
      <c r="D1026" s="58" t="inlineStr">
        <is>
          <t>Off-premise</t>
        </is>
      </c>
      <c r="E1026" s="53" t="n">
        <v>10</v>
      </c>
      <c r="F1026" s="53" t="n">
        <v>10</v>
      </c>
      <c r="G1026" s="55" t="n">
        <v>70.36</v>
      </c>
      <c r="H1026" s="55" t="n">
        <v>70.38</v>
      </c>
      <c r="I1026" s="53" t="n">
        <v>91</v>
      </c>
      <c r="J1026" s="53" t="n">
        <v>108</v>
      </c>
      <c r="K1026" s="53" t="n">
        <v>10</v>
      </c>
      <c r="L1026" s="53" t="n">
        <v>10</v>
      </c>
      <c r="M1026" s="33">
        <f>F1026-E1026</f>
        <v/>
      </c>
      <c r="N1026" s="33">
        <f>L1026-K1026</f>
        <v/>
      </c>
    </row>
    <row r="1027">
      <c r="A1027" s="58" t="inlineStr">
        <is>
          <t>173900 Otaiko Hibachi &amp; Sushi</t>
        </is>
      </c>
      <c r="B1027" s="58" t="inlineStr">
        <is>
          <t>Hudson</t>
        </is>
      </c>
      <c r="C1027" s="58" t="inlineStr">
        <is>
          <t>Alisa Acciardi</t>
        </is>
      </c>
      <c r="D1027" s="58" t="inlineStr">
        <is>
          <t>On-premise</t>
        </is>
      </c>
      <c r="E1027" s="53" t="n">
        <v>56</v>
      </c>
      <c r="F1027" s="53" t="n">
        <v>56</v>
      </c>
      <c r="G1027" s="55" t="n">
        <v>429.25</v>
      </c>
      <c r="H1027" s="55" t="n">
        <v>429.23</v>
      </c>
      <c r="I1027" s="53" t="n">
        <v>0</v>
      </c>
      <c r="J1027" s="53" t="n">
        <v>0</v>
      </c>
      <c r="K1027" s="53" t="n">
        <v>56</v>
      </c>
      <c r="L1027" s="53" t="n">
        <v>56</v>
      </c>
      <c r="M1027" s="33">
        <f>F1027-E1027</f>
        <v/>
      </c>
      <c r="N1027" s="33">
        <f>L1027-K1027</f>
        <v/>
      </c>
    </row>
    <row r="1028">
      <c r="A1028" s="58" t="inlineStr">
        <is>
          <t>24057 Mighty Quinns Bbq</t>
        </is>
      </c>
      <c r="B1028" s="58" t="inlineStr">
        <is>
          <t>Passaic</t>
        </is>
      </c>
      <c r="C1028" s="58" t="inlineStr">
        <is>
          <t>Alisa Acciardi</t>
        </is>
      </c>
      <c r="D1028" s="58" t="inlineStr">
        <is>
          <t>On-premise</t>
        </is>
      </c>
      <c r="E1028" s="53" t="n">
        <v>22</v>
      </c>
      <c r="F1028" s="53" t="n">
        <v>23</v>
      </c>
      <c r="G1028" s="55" t="n">
        <v>217.63</v>
      </c>
      <c r="H1028" s="55" t="n">
        <v>228.58</v>
      </c>
      <c r="I1028" s="53" t="n">
        <v>20</v>
      </c>
      <c r="J1028" s="53" t="n">
        <v>12</v>
      </c>
      <c r="K1028" s="53" t="n">
        <v>0</v>
      </c>
      <c r="L1028" s="53" t="n">
        <v>0</v>
      </c>
      <c r="M1028" s="33">
        <f>F1028-E1028</f>
        <v/>
      </c>
      <c r="N1028" s="33">
        <f>L1028-K1028</f>
        <v/>
      </c>
    </row>
    <row r="1029">
      <c r="A1029" s="58" t="inlineStr">
        <is>
          <t>150244 Bacchanal Junction</t>
        </is>
      </c>
      <c r="B1029" s="58" t="inlineStr">
        <is>
          <t>Essex</t>
        </is>
      </c>
      <c r="C1029" s="58" t="inlineStr">
        <is>
          <t>Alisa Acciardi</t>
        </is>
      </c>
      <c r="D1029" s="58" t="inlineStr">
        <is>
          <t>Unmatched</t>
        </is>
      </c>
      <c r="E1029" s="53" t="n">
        <v>11</v>
      </c>
      <c r="F1029" s="53" t="n">
        <v>0</v>
      </c>
      <c r="G1029" s="55" t="n">
        <v>115.05</v>
      </c>
      <c r="H1029" s="55" t="n">
        <v>0</v>
      </c>
      <c r="I1029" s="53" t="n">
        <v>2</v>
      </c>
      <c r="J1029" s="53" t="n">
        <v>0</v>
      </c>
      <c r="K1029" s="53" t="n">
        <v>0</v>
      </c>
      <c r="L1029" s="53" t="n">
        <v>0</v>
      </c>
      <c r="M1029" s="33">
        <f>F1029-E1029</f>
        <v/>
      </c>
      <c r="N1029" s="33">
        <f>L1029-K1029</f>
        <v/>
      </c>
    </row>
    <row r="1030">
      <c r="A1030" s="58" t="inlineStr">
        <is>
          <t>17003 D'CARBON BAR AND GRILL haledon</t>
        </is>
      </c>
      <c r="B1030" s="58" t="inlineStr">
        <is>
          <t>Passaic</t>
        </is>
      </c>
      <c r="C1030" s="58" t="inlineStr">
        <is>
          <t>Allison Scott</t>
        </is>
      </c>
      <c r="D1030" s="58" t="inlineStr">
        <is>
          <t>On-premise</t>
        </is>
      </c>
      <c r="E1030" s="53" t="n">
        <v>109</v>
      </c>
      <c r="F1030" s="53" t="n">
        <v>106</v>
      </c>
      <c r="G1030" s="55" t="n">
        <v>1077.83</v>
      </c>
      <c r="H1030" s="55" t="n">
        <v>1087.47</v>
      </c>
      <c r="I1030" s="53" t="n">
        <v>56</v>
      </c>
      <c r="J1030" s="53" t="n">
        <v>19</v>
      </c>
      <c r="K1030" s="53" t="n">
        <v>10</v>
      </c>
      <c r="L1030" s="53" t="n">
        <v>10</v>
      </c>
      <c r="M1030" s="33">
        <f>F1030-E1030</f>
        <v/>
      </c>
      <c r="N1030" s="33">
        <f>L1030-K1030</f>
        <v/>
      </c>
    </row>
    <row r="1031">
      <c r="A1031" s="58" t="inlineStr">
        <is>
          <t>24022 Applebee's Clifton</t>
        </is>
      </c>
      <c r="B1031" s="58" t="inlineStr">
        <is>
          <t>Passaic</t>
        </is>
      </c>
      <c r="C1031" s="58" t="inlineStr">
        <is>
          <t>Allison Scott</t>
        </is>
      </c>
      <c r="D1031" s="58" t="inlineStr">
        <is>
          <t>On-premise</t>
        </is>
      </c>
      <c r="E1031" s="53" t="n">
        <v>440</v>
      </c>
      <c r="F1031" s="53" t="n">
        <v>468</v>
      </c>
      <c r="G1031" s="55" t="n">
        <v>2965.09</v>
      </c>
      <c r="H1031" s="55" t="n">
        <v>3420.75</v>
      </c>
      <c r="I1031" s="53" t="n">
        <v>91</v>
      </c>
      <c r="J1031" s="53" t="n">
        <v>87</v>
      </c>
      <c r="K1031" s="53" t="n">
        <v>8</v>
      </c>
      <c r="L1031" s="53" t="n">
        <v>8</v>
      </c>
      <c r="M1031" s="33">
        <f>F1031-E1031</f>
        <v/>
      </c>
      <c r="N1031" s="33">
        <f>L1031-K1031</f>
        <v/>
      </c>
    </row>
    <row r="1032">
      <c r="A1032" s="58" t="inlineStr">
        <is>
          <t>24027 Mario's Rest</t>
        </is>
      </c>
      <c r="B1032" s="58" t="inlineStr">
        <is>
          <t>Passaic</t>
        </is>
      </c>
      <c r="C1032" s="58" t="inlineStr">
        <is>
          <t>Allison Scott</t>
        </is>
      </c>
      <c r="D1032" s="58" t="inlineStr">
        <is>
          <t>On-premise</t>
        </is>
      </c>
      <c r="E1032" s="53" t="n">
        <v>74</v>
      </c>
      <c r="F1032" s="53" t="n">
        <v>55</v>
      </c>
      <c r="G1032" s="55" t="n">
        <v>537.5500000000001</v>
      </c>
      <c r="H1032" s="55" t="n">
        <v>449.81</v>
      </c>
      <c r="I1032" s="53" t="n">
        <v>0</v>
      </c>
      <c r="J1032" s="53" t="n">
        <v>2</v>
      </c>
      <c r="K1032" s="53" t="n">
        <v>2</v>
      </c>
      <c r="L1032" s="53" t="n">
        <v>2</v>
      </c>
      <c r="M1032" s="33">
        <f>F1032-E1032</f>
        <v/>
      </c>
      <c r="N1032" s="33">
        <f>L1032-K1032</f>
        <v/>
      </c>
    </row>
    <row r="1033">
      <c r="A1033" s="58" t="inlineStr">
        <is>
          <t>27035 Platinum Dollz</t>
        </is>
      </c>
      <c r="B1033" s="58" t="inlineStr">
        <is>
          <t>Passaic</t>
        </is>
      </c>
      <c r="C1033" s="58" t="inlineStr">
        <is>
          <t>Allison Scott</t>
        </is>
      </c>
      <c r="D1033" s="58" t="inlineStr">
        <is>
          <t>Unmatched</t>
        </is>
      </c>
      <c r="E1033" s="53" t="n">
        <v>268</v>
      </c>
      <c r="F1033" s="53" t="n">
        <v>69</v>
      </c>
      <c r="G1033" s="55" t="n">
        <v>2343.68</v>
      </c>
      <c r="H1033" s="55" t="n">
        <v>667.4399999999999</v>
      </c>
      <c r="I1033" s="53" t="n">
        <v>0</v>
      </c>
      <c r="J1033" s="53" t="n">
        <v>0</v>
      </c>
      <c r="K1033" s="53" t="n">
        <v>2</v>
      </c>
      <c r="L1033" s="53" t="n">
        <v>2</v>
      </c>
      <c r="M1033" s="33">
        <f>F1033-E1033</f>
        <v/>
      </c>
      <c r="N1033" s="33">
        <f>L1033-K1033</f>
        <v/>
      </c>
    </row>
    <row r="1034">
      <c r="A1034" s="58" t="inlineStr">
        <is>
          <t>12015 Izumi Hibachi Steak House</t>
        </is>
      </c>
      <c r="B1034" s="58" t="inlineStr">
        <is>
          <t>Passaic</t>
        </is>
      </c>
      <c r="C1034" s="58" t="inlineStr">
        <is>
          <t>Allison Scott</t>
        </is>
      </c>
      <c r="D1034" s="58" t="inlineStr">
        <is>
          <t>On-premise</t>
        </is>
      </c>
      <c r="E1034" s="53" t="n">
        <v>59</v>
      </c>
      <c r="F1034" s="53" t="n">
        <v>57</v>
      </c>
      <c r="G1034" s="55" t="n">
        <v>529.7900000000001</v>
      </c>
      <c r="H1034" s="55" t="n">
        <v>496.97</v>
      </c>
      <c r="I1034" s="53" t="n">
        <v>1</v>
      </c>
      <c r="J1034" s="53" t="n">
        <v>0</v>
      </c>
      <c r="K1034" s="53" t="n">
        <v>26</v>
      </c>
      <c r="L1034" s="53" t="n">
        <v>26</v>
      </c>
      <c r="M1034" s="33">
        <f>F1034-E1034</f>
        <v/>
      </c>
      <c r="N1034" s="33">
        <f>L1034-K1034</f>
        <v/>
      </c>
    </row>
    <row r="1035">
      <c r="A1035" s="58" t="inlineStr">
        <is>
          <t>15048 D'carbon Restaurant</t>
        </is>
      </c>
      <c r="B1035" s="58" t="inlineStr">
        <is>
          <t>Passaic</t>
        </is>
      </c>
      <c r="C1035" s="58" t="inlineStr">
        <is>
          <t>Allison Scott</t>
        </is>
      </c>
      <c r="D1035" s="58" t="inlineStr">
        <is>
          <t>On-premise</t>
        </is>
      </c>
      <c r="E1035" s="53" t="n">
        <v>40</v>
      </c>
      <c r="F1035" s="53" t="n">
        <v>29</v>
      </c>
      <c r="G1035" s="55" t="n">
        <v>410.71</v>
      </c>
      <c r="H1035" s="55" t="n">
        <v>315.61</v>
      </c>
      <c r="I1035" s="53" t="n">
        <v>53</v>
      </c>
      <c r="J1035" s="53" t="n">
        <v>42</v>
      </c>
      <c r="K1035" s="53" t="n">
        <v>0</v>
      </c>
      <c r="L1035" s="53" t="n">
        <v>0</v>
      </c>
      <c r="M1035" s="33">
        <f>F1035-E1035</f>
        <v/>
      </c>
      <c r="N1035" s="33">
        <f>L1035-K1035</f>
        <v/>
      </c>
    </row>
    <row r="1036">
      <c r="A1036" s="58" t="inlineStr">
        <is>
          <t>22004 Neighbors</t>
        </is>
      </c>
      <c r="B1036" s="58" t="inlineStr">
        <is>
          <t>Passaic</t>
        </is>
      </c>
      <c r="C1036" s="58" t="inlineStr">
        <is>
          <t>Allison Scott</t>
        </is>
      </c>
      <c r="D1036" s="58" t="inlineStr">
        <is>
          <t>On-premise</t>
        </is>
      </c>
      <c r="E1036" s="53" t="n">
        <v>428</v>
      </c>
      <c r="F1036" s="53" t="n">
        <v>528</v>
      </c>
      <c r="G1036" s="55" t="n">
        <v>3167.86</v>
      </c>
      <c r="H1036" s="55" t="n">
        <v>3778.700000000001</v>
      </c>
      <c r="I1036" s="53" t="n">
        <v>134</v>
      </c>
      <c r="J1036" s="53" t="n">
        <v>99</v>
      </c>
      <c r="K1036" s="53" t="n">
        <v>0</v>
      </c>
      <c r="L1036" s="53" t="n">
        <v>0</v>
      </c>
      <c r="M1036" s="33">
        <f>F1036-E1036</f>
        <v/>
      </c>
      <c r="N1036" s="33">
        <f>L1036-K1036</f>
        <v/>
      </c>
    </row>
    <row r="1037">
      <c r="A1037" s="58" t="inlineStr">
        <is>
          <t>150133 The Wine Rack Millburn</t>
        </is>
      </c>
      <c r="B1037" s="58" t="inlineStr">
        <is>
          <t>Essex</t>
        </is>
      </c>
      <c r="C1037" s="58" t="inlineStr">
        <is>
          <t>Andrew Lundy</t>
        </is>
      </c>
      <c r="D1037" s="58" t="inlineStr">
        <is>
          <t>Off-premise</t>
        </is>
      </c>
      <c r="E1037" s="53" t="n">
        <v>19</v>
      </c>
      <c r="F1037" s="53" t="n">
        <v>19</v>
      </c>
      <c r="G1037" s="55" t="n">
        <v>143.09</v>
      </c>
      <c r="H1037" s="55" t="n">
        <v>143.15</v>
      </c>
      <c r="I1037" s="53" t="n">
        <v>51</v>
      </c>
      <c r="J1037" s="53" t="n">
        <v>112</v>
      </c>
      <c r="K1037" s="53" t="n">
        <v>19</v>
      </c>
      <c r="L1037" s="53" t="n">
        <v>19</v>
      </c>
      <c r="M1037" s="33">
        <f>F1037-E1037</f>
        <v/>
      </c>
      <c r="N1037" s="33">
        <f>L1037-K1037</f>
        <v/>
      </c>
    </row>
    <row r="1038">
      <c r="A1038" s="58" t="inlineStr">
        <is>
          <t>250060 La Bamba</t>
        </is>
      </c>
      <c r="B1038" s="58" t="inlineStr">
        <is>
          <t>Union</t>
        </is>
      </c>
      <c r="C1038" s="58" t="inlineStr">
        <is>
          <t>Andrew Lundy</t>
        </is>
      </c>
      <c r="D1038" s="58" t="inlineStr">
        <is>
          <t>Off-premise</t>
        </is>
      </c>
      <c r="E1038" s="53" t="n">
        <v>9</v>
      </c>
      <c r="F1038" s="53" t="n">
        <v>9</v>
      </c>
      <c r="G1038" s="55" t="n">
        <v>71.53</v>
      </c>
      <c r="H1038" s="55" t="n">
        <v>71.53</v>
      </c>
      <c r="I1038" s="53" t="n">
        <v>455</v>
      </c>
      <c r="J1038" s="53" t="n">
        <v>84</v>
      </c>
      <c r="K1038" s="53" t="n">
        <v>9</v>
      </c>
      <c r="L1038" s="53" t="n">
        <v>9</v>
      </c>
      <c r="M1038" s="33">
        <f>F1038-E1038</f>
        <v/>
      </c>
      <c r="N1038" s="33">
        <f>L1038-K1038</f>
        <v/>
      </c>
    </row>
    <row r="1039">
      <c r="A1039" s="58" t="inlineStr">
        <is>
          <t>250084 Parkway Liquors(P)</t>
        </is>
      </c>
      <c r="B1039" s="58" t="inlineStr">
        <is>
          <t>Union</t>
        </is>
      </c>
      <c r="C1039" s="58" t="inlineStr">
        <is>
          <t>Andrew Lundy</t>
        </is>
      </c>
      <c r="D1039" s="58" t="inlineStr">
        <is>
          <t>Off-premise</t>
        </is>
      </c>
      <c r="E1039" s="53" t="n">
        <v>10</v>
      </c>
      <c r="F1039" s="53" t="n">
        <v>10</v>
      </c>
      <c r="G1039" s="55" t="n">
        <v>69.43000000000001</v>
      </c>
      <c r="H1039" s="55" t="n">
        <v>69.67</v>
      </c>
      <c r="I1039" s="53" t="n">
        <v>77</v>
      </c>
      <c r="J1039" s="53" t="n">
        <v>124</v>
      </c>
      <c r="K1039" s="53" t="n">
        <v>10</v>
      </c>
      <c r="L1039" s="53" t="n">
        <v>10</v>
      </c>
      <c r="M1039" s="33">
        <f>F1039-E1039</f>
        <v/>
      </c>
      <c r="N1039" s="33">
        <f>L1039-K1039</f>
        <v/>
      </c>
    </row>
    <row r="1040">
      <c r="A1040" s="58" t="inlineStr">
        <is>
          <t>250119 Pointe Grande Liquor</t>
        </is>
      </c>
      <c r="B1040" s="58" t="inlineStr">
        <is>
          <t>Union</t>
        </is>
      </c>
      <c r="C1040" s="58" t="inlineStr">
        <is>
          <t>Andrew Lundy</t>
        </is>
      </c>
      <c r="D1040" s="58" t="inlineStr">
        <is>
          <t>Off-premise</t>
        </is>
      </c>
      <c r="E1040" s="53" t="n">
        <v>82</v>
      </c>
      <c r="F1040" s="53" t="n">
        <v>82</v>
      </c>
      <c r="G1040" s="55" t="n">
        <v>498.59</v>
      </c>
      <c r="H1040" s="55" t="n">
        <v>528.27</v>
      </c>
      <c r="I1040" s="53" t="n">
        <v>251</v>
      </c>
      <c r="J1040" s="53" t="n">
        <v>149</v>
      </c>
      <c r="K1040" s="53" t="n">
        <v>82</v>
      </c>
      <c r="L1040" s="53" t="n">
        <v>82</v>
      </c>
      <c r="M1040" s="33">
        <f>F1040-E1040</f>
        <v/>
      </c>
      <c r="N1040" s="33">
        <f>L1040-K1040</f>
        <v/>
      </c>
    </row>
    <row r="1041">
      <c r="A1041" s="58" t="inlineStr">
        <is>
          <t>250138 Wine Anthology</t>
        </is>
      </c>
      <c r="B1041" s="58" t="inlineStr">
        <is>
          <t>Union</t>
        </is>
      </c>
      <c r="C1041" s="58" t="inlineStr">
        <is>
          <t>Andrew Lundy</t>
        </is>
      </c>
      <c r="D1041" s="58" t="inlineStr">
        <is>
          <t>Off-premise</t>
        </is>
      </c>
      <c r="E1041" s="53" t="n">
        <v>10</v>
      </c>
      <c r="F1041" s="53" t="n">
        <v>10</v>
      </c>
      <c r="G1041" s="55" t="n">
        <v>69.91</v>
      </c>
      <c r="H1041" s="55" t="n">
        <v>71.56</v>
      </c>
      <c r="I1041" s="53" t="n">
        <v>63</v>
      </c>
      <c r="J1041" s="53" t="n">
        <v>81</v>
      </c>
      <c r="K1041" s="53" t="n">
        <v>10</v>
      </c>
      <c r="L1041" s="53" t="n">
        <v>10</v>
      </c>
      <c r="M1041" s="33">
        <f>F1041-E1041</f>
        <v/>
      </c>
      <c r="N1041" s="33">
        <f>L1041-K1041</f>
        <v/>
      </c>
    </row>
    <row r="1042">
      <c r="A1042" s="58" t="inlineStr">
        <is>
          <t>250170 D&amp;R Liquor</t>
        </is>
      </c>
      <c r="B1042" s="58" t="inlineStr">
        <is>
          <t>Union</t>
        </is>
      </c>
      <c r="C1042" s="58" t="inlineStr">
        <is>
          <t>Andrew Lundy</t>
        </is>
      </c>
      <c r="D1042" s="58" t="inlineStr">
        <is>
          <t>Off-premise</t>
        </is>
      </c>
      <c r="E1042" s="53" t="n">
        <v>20</v>
      </c>
      <c r="F1042" s="53" t="n">
        <v>20</v>
      </c>
      <c r="G1042" s="55" t="n">
        <v>138.4</v>
      </c>
      <c r="H1042" s="55" t="n">
        <v>138.4</v>
      </c>
      <c r="I1042" s="53" t="n">
        <v>106</v>
      </c>
      <c r="J1042" s="53" t="n">
        <v>99</v>
      </c>
      <c r="K1042" s="53" t="n">
        <v>20</v>
      </c>
      <c r="L1042" s="53" t="n">
        <v>20</v>
      </c>
      <c r="M1042" s="33">
        <f>F1042-E1042</f>
        <v/>
      </c>
      <c r="N1042" s="33">
        <f>L1042-K1042</f>
        <v/>
      </c>
    </row>
    <row r="1043">
      <c r="A1043" s="58" t="inlineStr">
        <is>
          <t>250445 Blue Sunday Bar &amp; Grill</t>
        </is>
      </c>
      <c r="B1043" s="58" t="inlineStr">
        <is>
          <t>Union</t>
        </is>
      </c>
      <c r="C1043" s="58" t="inlineStr">
        <is>
          <t>Andrew Lundy</t>
        </is>
      </c>
      <c r="D1043" s="58" t="inlineStr">
        <is>
          <t>On-premise</t>
        </is>
      </c>
      <c r="E1043" s="53" t="n">
        <v>14</v>
      </c>
      <c r="F1043" s="53" t="n">
        <v>14</v>
      </c>
      <c r="G1043" s="55" t="n">
        <v>84.5</v>
      </c>
      <c r="H1043" s="55" t="n">
        <v>84.5</v>
      </c>
      <c r="I1043" s="53" t="n">
        <v>0</v>
      </c>
      <c r="J1043" s="53" t="n">
        <v>0</v>
      </c>
      <c r="K1043" s="53" t="n">
        <v>14</v>
      </c>
      <c r="L1043" s="53" t="n">
        <v>14</v>
      </c>
      <c r="M1043" s="33">
        <f>F1043-E1043</f>
        <v/>
      </c>
      <c r="N1043" s="33">
        <f>L1043-K1043</f>
        <v/>
      </c>
    </row>
    <row r="1044">
      <c r="A1044" s="58" t="inlineStr">
        <is>
          <t>231211 Tony's Pizza (P)</t>
        </is>
      </c>
      <c r="B1044" s="58" t="inlineStr">
        <is>
          <t>Sussex</t>
        </is>
      </c>
      <c r="C1044" s="58" t="inlineStr">
        <is>
          <t>Anthony Palmisano</t>
        </is>
      </c>
      <c r="D1044" s="58" t="inlineStr">
        <is>
          <t>On-premise</t>
        </is>
      </c>
      <c r="E1044" s="53" t="n">
        <v>583</v>
      </c>
      <c r="F1044" s="53" t="n">
        <v>464</v>
      </c>
      <c r="G1044" s="55" t="n">
        <v>3549.48</v>
      </c>
      <c r="H1044" s="55" t="n">
        <v>2732.28</v>
      </c>
      <c r="I1044" s="53" t="n">
        <v>70</v>
      </c>
      <c r="J1044" s="53" t="n">
        <v>78</v>
      </c>
      <c r="K1044" s="53" t="n">
        <v>1</v>
      </c>
      <c r="L1044" s="53" t="n">
        <v>1</v>
      </c>
      <c r="M1044" s="33">
        <f>F1044-E1044</f>
        <v/>
      </c>
      <c r="N1044" s="33">
        <f>L1044-K1044</f>
        <v/>
      </c>
    </row>
    <row r="1045">
      <c r="A1045" s="58" t="inlineStr">
        <is>
          <t>190902 Betsy Ross Diner</t>
        </is>
      </c>
      <c r="B1045" s="58" t="inlineStr">
        <is>
          <t>Morris</t>
        </is>
      </c>
      <c r="C1045" s="58" t="inlineStr">
        <is>
          <t>Anthony Palmisano</t>
        </is>
      </c>
      <c r="D1045" s="58" t="inlineStr">
        <is>
          <t>On-premise</t>
        </is>
      </c>
      <c r="E1045" s="53" t="n">
        <v>8</v>
      </c>
      <c r="F1045" s="53" t="n">
        <v>18</v>
      </c>
      <c r="G1045" s="55" t="n">
        <v>74.67</v>
      </c>
      <c r="H1045" s="55" t="n">
        <v>171.26</v>
      </c>
      <c r="I1045" s="53" t="n">
        <v>2</v>
      </c>
      <c r="J1045" s="53" t="n">
        <v>2</v>
      </c>
      <c r="K1045" s="53" t="n">
        <v>0</v>
      </c>
      <c r="L1045" s="53" t="n">
        <v>0</v>
      </c>
      <c r="M1045" s="33">
        <f>F1045-E1045</f>
        <v/>
      </c>
      <c r="N1045" s="33">
        <f>L1045-K1045</f>
        <v/>
      </c>
    </row>
    <row r="1046">
      <c r="A1046" s="58" t="inlineStr">
        <is>
          <t>230907 Irish Cottage Inn</t>
        </is>
      </c>
      <c r="B1046" s="58" t="inlineStr">
        <is>
          <t>Sussex</t>
        </is>
      </c>
      <c r="C1046" s="58" t="inlineStr">
        <is>
          <t>Anthony Palmisano</t>
        </is>
      </c>
      <c r="D1046" s="58" t="inlineStr">
        <is>
          <t>On-premise</t>
        </is>
      </c>
      <c r="E1046" s="53" t="n">
        <v>253</v>
      </c>
      <c r="F1046" s="53" t="n">
        <v>270</v>
      </c>
      <c r="G1046" s="55" t="n">
        <v>1760.95</v>
      </c>
      <c r="H1046" s="55" t="n">
        <v>1934.61</v>
      </c>
      <c r="I1046" s="53" t="n">
        <v>118</v>
      </c>
      <c r="J1046" s="53" t="n">
        <v>125</v>
      </c>
      <c r="K1046" s="53" t="n">
        <v>0</v>
      </c>
      <c r="L1046" s="53" t="n">
        <v>0</v>
      </c>
      <c r="M1046" s="33">
        <f>F1046-E1046</f>
        <v/>
      </c>
      <c r="N1046" s="33">
        <f>L1046-K1046</f>
        <v/>
      </c>
    </row>
    <row r="1047">
      <c r="A1047" s="58" t="inlineStr">
        <is>
          <t>231214 Mt Creek Kink (So)A</t>
        </is>
      </c>
      <c r="B1047" s="58" t="inlineStr">
        <is>
          <t>Sussex</t>
        </is>
      </c>
      <c r="C1047" s="58" t="inlineStr">
        <is>
          <t>Anthony Palmisano</t>
        </is>
      </c>
      <c r="D1047" s="58" t="inlineStr">
        <is>
          <t>On-premise</t>
        </is>
      </c>
      <c r="E1047" s="53" t="n">
        <v>45</v>
      </c>
      <c r="F1047" s="53" t="n">
        <v>-2</v>
      </c>
      <c r="G1047" s="55" t="n">
        <v>193.53</v>
      </c>
      <c r="H1047" s="55" t="n">
        <v>-8.800000000000001</v>
      </c>
      <c r="I1047" s="53" t="n">
        <v>12</v>
      </c>
      <c r="J1047" s="53" t="n">
        <v>1</v>
      </c>
      <c r="K1047" s="53" t="n">
        <v>0</v>
      </c>
      <c r="L1047" s="53" t="n">
        <v>0</v>
      </c>
      <c r="M1047" s="33">
        <f>F1047-E1047</f>
        <v/>
      </c>
      <c r="N1047" s="33">
        <f>L1047-K1047</f>
        <v/>
      </c>
    </row>
    <row r="1048">
      <c r="A1048" s="58" t="inlineStr">
        <is>
          <t>230909 Coyote Cocina Mexicana</t>
        </is>
      </c>
      <c r="B1048" s="58" t="inlineStr">
        <is>
          <t>Sussex</t>
        </is>
      </c>
      <c r="C1048" s="58" t="inlineStr">
        <is>
          <t>Anthony Palmisano</t>
        </is>
      </c>
      <c r="D1048" s="58" t="inlineStr">
        <is>
          <t>Unmatched</t>
        </is>
      </c>
      <c r="E1048" s="53" t="n">
        <v>86</v>
      </c>
      <c r="F1048" s="53" t="n">
        <v>30</v>
      </c>
      <c r="G1048" s="55" t="n">
        <v>816.64</v>
      </c>
      <c r="H1048" s="55" t="n">
        <v>276.1</v>
      </c>
      <c r="I1048" s="53" t="n">
        <v>9</v>
      </c>
      <c r="J1048" s="53" t="n">
        <v>6</v>
      </c>
      <c r="K1048" s="53" t="n">
        <v>0</v>
      </c>
      <c r="L1048" s="53" t="n">
        <v>0</v>
      </c>
      <c r="M1048" s="33">
        <f>F1048-E1048</f>
        <v/>
      </c>
      <c r="N1048" s="33">
        <f>L1048-K1048</f>
        <v/>
      </c>
    </row>
    <row r="1049">
      <c r="A1049" s="58" t="inlineStr">
        <is>
          <t>190921 White Owl Tavern</t>
        </is>
      </c>
      <c r="B1049" s="58" t="inlineStr">
        <is>
          <t>Morris</t>
        </is>
      </c>
      <c r="C1049" s="58" t="inlineStr">
        <is>
          <t>Brian Sengebush</t>
        </is>
      </c>
      <c r="D1049" s="58" t="inlineStr">
        <is>
          <t>On-premise</t>
        </is>
      </c>
      <c r="E1049" s="53" t="n">
        <v>38</v>
      </c>
      <c r="F1049" s="53" t="n">
        <v>41</v>
      </c>
      <c r="G1049" s="55" t="n">
        <v>353.5599999999999</v>
      </c>
      <c r="H1049" s="55" t="n">
        <v>411.3100000000001</v>
      </c>
      <c r="I1049" s="53" t="n">
        <v>0</v>
      </c>
      <c r="J1049" s="53" t="n">
        <v>2</v>
      </c>
      <c r="K1049" s="53" t="n">
        <v>6</v>
      </c>
      <c r="L1049" s="53" t="n">
        <v>6</v>
      </c>
      <c r="M1049" s="33">
        <f>F1049-E1049</f>
        <v/>
      </c>
      <c r="N1049" s="33">
        <f>L1049-K1049</f>
        <v/>
      </c>
    </row>
    <row r="1050">
      <c r="A1050" s="58" t="inlineStr">
        <is>
          <t>230111 Rock Island Lake Club</t>
        </is>
      </c>
      <c r="B1050" s="58" t="inlineStr">
        <is>
          <t>Sussex</t>
        </is>
      </c>
      <c r="C1050" s="58" t="inlineStr">
        <is>
          <t>Brian Sengebush</t>
        </is>
      </c>
      <c r="D1050" s="58" t="inlineStr">
        <is>
          <t>On-premise</t>
        </is>
      </c>
      <c r="E1050" s="53" t="n">
        <v>64</v>
      </c>
      <c r="F1050" s="53" t="n">
        <v>45</v>
      </c>
      <c r="G1050" s="55" t="n">
        <v>414.53</v>
      </c>
      <c r="H1050" s="55" t="n">
        <v>218.76</v>
      </c>
      <c r="I1050" s="53" t="n">
        <v>42</v>
      </c>
      <c r="J1050" s="53" t="n">
        <v>14</v>
      </c>
      <c r="K1050" s="53" t="n">
        <v>7</v>
      </c>
      <c r="L1050" s="53" t="n">
        <v>7</v>
      </c>
      <c r="M1050" s="33">
        <f>F1050-E1050</f>
        <v/>
      </c>
      <c r="N1050" s="33">
        <f>L1050-K1050</f>
        <v/>
      </c>
    </row>
    <row r="1051">
      <c r="A1051" s="58" t="inlineStr">
        <is>
          <t>230116 Lake Mohawk Country Club</t>
        </is>
      </c>
      <c r="B1051" s="58" t="inlineStr">
        <is>
          <t>Sussex</t>
        </is>
      </c>
      <c r="C1051" s="58" t="inlineStr">
        <is>
          <t>Brian Sengebush</t>
        </is>
      </c>
      <c r="D1051" s="58" t="inlineStr">
        <is>
          <t>On-premise</t>
        </is>
      </c>
      <c r="E1051" s="53" t="n">
        <v>138</v>
      </c>
      <c r="F1051" s="53" t="n">
        <v>183</v>
      </c>
      <c r="G1051" s="55" t="n">
        <v>888.3699999999999</v>
      </c>
      <c r="H1051" s="55" t="n">
        <v>1075.94</v>
      </c>
      <c r="I1051" s="53" t="n">
        <v>52</v>
      </c>
      <c r="J1051" s="53" t="n">
        <v>32</v>
      </c>
      <c r="K1051" s="53" t="n">
        <v>9</v>
      </c>
      <c r="L1051" s="53" t="n">
        <v>9</v>
      </c>
      <c r="M1051" s="33">
        <f>F1051-E1051</f>
        <v/>
      </c>
      <c r="N1051" s="33">
        <f>L1051-K1051</f>
        <v/>
      </c>
    </row>
    <row r="1052">
      <c r="A1052" s="58" t="inlineStr">
        <is>
          <t>190723 Muldoon's Steak &amp; Pub</t>
        </is>
      </c>
      <c r="B1052" s="58" t="inlineStr">
        <is>
          <t>Morris</t>
        </is>
      </c>
      <c r="C1052" s="58" t="inlineStr">
        <is>
          <t>Brian Sengebush</t>
        </is>
      </c>
      <c r="D1052" s="58" t="inlineStr">
        <is>
          <t>On-premise</t>
        </is>
      </c>
      <c r="E1052" s="53" t="n">
        <v>41</v>
      </c>
      <c r="F1052" s="53" t="n">
        <v>54</v>
      </c>
      <c r="G1052" s="55" t="n">
        <v>350.86</v>
      </c>
      <c r="H1052" s="55" t="n">
        <v>459.34</v>
      </c>
      <c r="I1052" s="53" t="n">
        <v>11</v>
      </c>
      <c r="J1052" s="53" t="n">
        <v>13</v>
      </c>
      <c r="K1052" s="53" t="n">
        <v>2</v>
      </c>
      <c r="L1052" s="53" t="n">
        <v>2</v>
      </c>
      <c r="M1052" s="33">
        <f>F1052-E1052</f>
        <v/>
      </c>
      <c r="N1052" s="33">
        <f>L1052-K1052</f>
        <v/>
      </c>
    </row>
    <row r="1053">
      <c r="A1053" s="58" t="inlineStr">
        <is>
          <t>230120 Village Saloon (P)</t>
        </is>
      </c>
      <c r="B1053" s="58" t="inlineStr">
        <is>
          <t>Sussex</t>
        </is>
      </c>
      <c r="C1053" s="58" t="inlineStr">
        <is>
          <t>Brian Sengebush</t>
        </is>
      </c>
      <c r="D1053" s="58" t="inlineStr">
        <is>
          <t>On-premise</t>
        </is>
      </c>
      <c r="E1053" s="53" t="n">
        <v>100</v>
      </c>
      <c r="F1053" s="53" t="n">
        <v>99</v>
      </c>
      <c r="G1053" s="55" t="n">
        <v>701.0200000000001</v>
      </c>
      <c r="H1053" s="55" t="n">
        <v>765.87</v>
      </c>
      <c r="I1053" s="53" t="n">
        <v>5</v>
      </c>
      <c r="J1053" s="53" t="n">
        <v>8</v>
      </c>
      <c r="K1053" s="53" t="n">
        <v>2</v>
      </c>
      <c r="L1053" s="53" t="n">
        <v>2</v>
      </c>
      <c r="M1053" s="33">
        <f>F1053-E1053</f>
        <v/>
      </c>
      <c r="N1053" s="33">
        <f>L1053-K1053</f>
        <v/>
      </c>
    </row>
    <row r="1054">
      <c r="A1054" s="58" t="inlineStr">
        <is>
          <t>231609 Point 5 Lafayette</t>
        </is>
      </c>
      <c r="B1054" s="58" t="inlineStr">
        <is>
          <t>Sussex</t>
        </is>
      </c>
      <c r="C1054" s="58" t="inlineStr">
        <is>
          <t>Brian Sengebush</t>
        </is>
      </c>
      <c r="D1054" s="58" t="inlineStr">
        <is>
          <t>Off-premise</t>
        </is>
      </c>
      <c r="E1054" s="53" t="n">
        <v>3</v>
      </c>
      <c r="F1054" s="53" t="n">
        <v>8</v>
      </c>
      <c r="G1054" s="55" t="n">
        <v>21.05</v>
      </c>
      <c r="H1054" s="55" t="n">
        <v>76.55</v>
      </c>
      <c r="I1054" s="53" t="n">
        <v>28</v>
      </c>
      <c r="J1054" s="53" t="n">
        <v>8</v>
      </c>
      <c r="K1054" s="53" t="n">
        <v>2</v>
      </c>
      <c r="L1054" s="53" t="n">
        <v>2</v>
      </c>
      <c r="M1054" s="33">
        <f>F1054-E1054</f>
        <v/>
      </c>
      <c r="N1054" s="33">
        <f>L1054-K1054</f>
        <v/>
      </c>
    </row>
    <row r="1055">
      <c r="A1055" s="58" t="inlineStr">
        <is>
          <t>191405 Pat's Bar (P)</t>
        </is>
      </c>
      <c r="B1055" s="58" t="inlineStr">
        <is>
          <t>Morris</t>
        </is>
      </c>
      <c r="C1055" s="58" t="inlineStr">
        <is>
          <t>Brian Sengebush</t>
        </is>
      </c>
      <c r="D1055" s="58" t="inlineStr">
        <is>
          <t>On-premise</t>
        </is>
      </c>
      <c r="E1055" s="53" t="n">
        <v>357</v>
      </c>
      <c r="F1055" s="53" t="n">
        <v>340</v>
      </c>
      <c r="G1055" s="55" t="n">
        <v>1800.26</v>
      </c>
      <c r="H1055" s="55" t="n">
        <v>1728.93</v>
      </c>
      <c r="I1055" s="53" t="n">
        <v>89</v>
      </c>
      <c r="J1055" s="53" t="n">
        <v>78</v>
      </c>
      <c r="K1055" s="53" t="n">
        <v>2</v>
      </c>
      <c r="L1055" s="53" t="n">
        <v>2</v>
      </c>
      <c r="M1055" s="33">
        <f>F1055-E1055</f>
        <v/>
      </c>
      <c r="N1055" s="33">
        <f>L1055-K1055</f>
        <v/>
      </c>
    </row>
    <row r="1056">
      <c r="A1056" s="58" t="inlineStr">
        <is>
          <t>190203 Boonton Lanes</t>
        </is>
      </c>
      <c r="B1056" s="58" t="inlineStr">
        <is>
          <t>Morris</t>
        </is>
      </c>
      <c r="C1056" s="58" t="inlineStr">
        <is>
          <t>Brian Sengebush</t>
        </is>
      </c>
      <c r="D1056" s="58" t="inlineStr">
        <is>
          <t>On-premise</t>
        </is>
      </c>
      <c r="E1056" s="53" t="n">
        <v>195</v>
      </c>
      <c r="F1056" s="53" t="n">
        <v>279</v>
      </c>
      <c r="G1056" s="55" t="n">
        <v>1169.97</v>
      </c>
      <c r="H1056" s="55" t="n">
        <v>1538</v>
      </c>
      <c r="I1056" s="53" t="n">
        <v>14</v>
      </c>
      <c r="J1056" s="53" t="n">
        <v>29</v>
      </c>
      <c r="K1056" s="53" t="n">
        <v>0</v>
      </c>
      <c r="L1056" s="53" t="n">
        <v>0</v>
      </c>
      <c r="M1056" s="33">
        <f>F1056-E1056</f>
        <v/>
      </c>
      <c r="N1056" s="33">
        <f>L1056-K1056</f>
        <v/>
      </c>
    </row>
    <row r="1057">
      <c r="A1057" s="58" t="inlineStr">
        <is>
          <t>190503 The Station</t>
        </is>
      </c>
      <c r="B1057" s="58" t="inlineStr">
        <is>
          <t>Morris</t>
        </is>
      </c>
      <c r="C1057" s="58" t="inlineStr">
        <is>
          <t>Brian Sengebush</t>
        </is>
      </c>
      <c r="D1057" s="58" t="inlineStr">
        <is>
          <t>On-premise</t>
        </is>
      </c>
      <c r="E1057" s="53" t="n">
        <v>32</v>
      </c>
      <c r="F1057" s="53" t="n">
        <v>23</v>
      </c>
      <c r="G1057" s="55" t="n">
        <v>228.94</v>
      </c>
      <c r="H1057" s="55" t="n">
        <v>170.89</v>
      </c>
      <c r="I1057" s="53" t="n">
        <v>0</v>
      </c>
      <c r="J1057" s="53" t="n">
        <v>0</v>
      </c>
      <c r="K1057" s="53" t="n">
        <v>0</v>
      </c>
      <c r="L1057" s="53" t="n">
        <v>0</v>
      </c>
      <c r="M1057" s="33">
        <f>F1057-E1057</f>
        <v/>
      </c>
      <c r="N1057" s="33">
        <f>L1057-K1057</f>
        <v/>
      </c>
    </row>
    <row r="1058">
      <c r="A1058" s="58" t="inlineStr">
        <is>
          <t>191407 Pub 199</t>
        </is>
      </c>
      <c r="B1058" s="58" t="inlineStr">
        <is>
          <t>Morris</t>
        </is>
      </c>
      <c r="C1058" s="58" t="inlineStr">
        <is>
          <t>Brian Sengebush</t>
        </is>
      </c>
      <c r="D1058" s="58" t="inlineStr">
        <is>
          <t>On-premise</t>
        </is>
      </c>
      <c r="E1058" s="53" t="n">
        <v>234</v>
      </c>
      <c r="F1058" s="53" t="n">
        <v>265</v>
      </c>
      <c r="G1058" s="55" t="n">
        <v>1629.81</v>
      </c>
      <c r="H1058" s="55" t="n">
        <v>1737.87</v>
      </c>
      <c r="I1058" s="53" t="n">
        <v>36</v>
      </c>
      <c r="J1058" s="53" t="n">
        <v>37</v>
      </c>
      <c r="K1058" s="53" t="n">
        <v>0</v>
      </c>
      <c r="L1058" s="53" t="n">
        <v>0</v>
      </c>
      <c r="M1058" s="33">
        <f>F1058-E1058</f>
        <v/>
      </c>
      <c r="N1058" s="33">
        <f>L1058-K1058</f>
        <v/>
      </c>
    </row>
    <row r="1059">
      <c r="A1059" s="58" t="inlineStr">
        <is>
          <t>191500 Lake Hopatcong Cruises</t>
        </is>
      </c>
      <c r="B1059" s="58" t="inlineStr">
        <is>
          <t>Morris</t>
        </is>
      </c>
      <c r="C1059" s="58" t="inlineStr">
        <is>
          <t>Brian Sengebush</t>
        </is>
      </c>
      <c r="D1059" s="58" t="inlineStr">
        <is>
          <t>On-premise</t>
        </is>
      </c>
      <c r="E1059" s="53" t="n">
        <v>27</v>
      </c>
      <c r="F1059" s="53" t="n">
        <v>29</v>
      </c>
      <c r="G1059" s="55" t="n">
        <v>240.85</v>
      </c>
      <c r="H1059" s="55" t="n">
        <v>270.64</v>
      </c>
      <c r="I1059" s="53" t="n">
        <v>6</v>
      </c>
      <c r="J1059" s="53" t="n">
        <v>4</v>
      </c>
      <c r="K1059" s="53" t="n">
        <v>0</v>
      </c>
      <c r="L1059" s="53" t="n">
        <v>0</v>
      </c>
      <c r="M1059" s="33">
        <f>F1059-E1059</f>
        <v/>
      </c>
      <c r="N1059" s="33">
        <f>L1059-K1059</f>
        <v/>
      </c>
    </row>
    <row r="1060">
      <c r="A1060" s="58" t="inlineStr">
        <is>
          <t>191609 Ron's Landmark</t>
        </is>
      </c>
      <c r="B1060" s="58" t="inlineStr">
        <is>
          <t>Morris</t>
        </is>
      </c>
      <c r="C1060" s="58" t="inlineStr">
        <is>
          <t>Brian Sengebush</t>
        </is>
      </c>
      <c r="D1060" s="58" t="inlineStr">
        <is>
          <t>On-premise</t>
        </is>
      </c>
      <c r="E1060" s="53" t="n">
        <v>20</v>
      </c>
      <c r="F1060" s="53" t="n">
        <v>13</v>
      </c>
      <c r="G1060" s="55" t="n">
        <v>175.81</v>
      </c>
      <c r="H1060" s="55" t="n">
        <v>108.55</v>
      </c>
      <c r="I1060" s="53" t="n">
        <v>1</v>
      </c>
      <c r="J1060" s="53" t="n">
        <v>0</v>
      </c>
      <c r="K1060" s="53" t="n">
        <v>0</v>
      </c>
      <c r="L1060" s="53" t="n">
        <v>0</v>
      </c>
      <c r="M1060" s="33">
        <f>F1060-E1060</f>
        <v/>
      </c>
      <c r="N1060" s="33">
        <f>L1060-K1060</f>
        <v/>
      </c>
    </row>
    <row r="1061">
      <c r="A1061" s="58" t="inlineStr">
        <is>
          <t>191612 Black Forest Inn</t>
        </is>
      </c>
      <c r="B1061" s="58" t="inlineStr">
        <is>
          <t>Sussex</t>
        </is>
      </c>
      <c r="C1061" s="58" t="inlineStr">
        <is>
          <t>Brian Sengebush</t>
        </is>
      </c>
      <c r="D1061" s="58" t="inlineStr">
        <is>
          <t>On-premise</t>
        </is>
      </c>
      <c r="E1061" s="53" t="n">
        <v>32</v>
      </c>
      <c r="F1061" s="53" t="n">
        <v>10</v>
      </c>
      <c r="G1061" s="55" t="n">
        <v>266.94</v>
      </c>
      <c r="H1061" s="55" t="n">
        <v>62.42</v>
      </c>
      <c r="I1061" s="53" t="n">
        <v>10</v>
      </c>
      <c r="J1061" s="53" t="n">
        <v>0</v>
      </c>
      <c r="K1061" s="53" t="n">
        <v>0</v>
      </c>
      <c r="L1061" s="53" t="n">
        <v>0</v>
      </c>
      <c r="M1061" s="33">
        <f>F1061-E1061</f>
        <v/>
      </c>
      <c r="N1061" s="33">
        <f>L1061-K1061</f>
        <v/>
      </c>
    </row>
    <row r="1062">
      <c r="A1062" s="58" t="inlineStr">
        <is>
          <t>191704 Stonewood Tavern</t>
        </is>
      </c>
      <c r="B1062" s="58" t="inlineStr">
        <is>
          <t>Sussex</t>
        </is>
      </c>
      <c r="C1062" s="58" t="inlineStr">
        <is>
          <t>Brian Sengebush</t>
        </is>
      </c>
      <c r="D1062" s="58" t="inlineStr">
        <is>
          <t>On-premise</t>
        </is>
      </c>
      <c r="E1062" s="53" t="n">
        <v>152</v>
      </c>
      <c r="F1062" s="53" t="n">
        <v>175</v>
      </c>
      <c r="G1062" s="55" t="n">
        <v>1234.37</v>
      </c>
      <c r="H1062" s="55" t="n">
        <v>1469.94</v>
      </c>
      <c r="I1062" s="53" t="n">
        <v>47</v>
      </c>
      <c r="J1062" s="53" t="n">
        <v>16</v>
      </c>
      <c r="K1062" s="53" t="n">
        <v>0</v>
      </c>
      <c r="L1062" s="53" t="n">
        <v>0</v>
      </c>
      <c r="M1062" s="33">
        <f>F1062-E1062</f>
        <v/>
      </c>
      <c r="N1062" s="33">
        <f>L1062-K1062</f>
        <v/>
      </c>
    </row>
    <row r="1063">
      <c r="A1063" s="58" t="inlineStr">
        <is>
          <t>191718 Bell's Mansion</t>
        </is>
      </c>
      <c r="B1063" s="58" t="inlineStr">
        <is>
          <t>Sussex</t>
        </is>
      </c>
      <c r="C1063" s="58" t="inlineStr">
        <is>
          <t>Brian Sengebush</t>
        </is>
      </c>
      <c r="D1063" s="58" t="inlineStr">
        <is>
          <t>On-premise</t>
        </is>
      </c>
      <c r="E1063" s="53" t="n">
        <v>82</v>
      </c>
      <c r="F1063" s="53" t="n">
        <v>57</v>
      </c>
      <c r="G1063" s="55" t="n">
        <v>677.9400000000001</v>
      </c>
      <c r="H1063" s="55" t="n">
        <v>417.99</v>
      </c>
      <c r="I1063" s="53" t="n">
        <v>20</v>
      </c>
      <c r="J1063" s="53" t="n">
        <v>39</v>
      </c>
      <c r="K1063" s="53" t="n">
        <v>0</v>
      </c>
      <c r="L1063" s="53" t="n">
        <v>0</v>
      </c>
      <c r="M1063" s="33">
        <f>F1063-E1063</f>
        <v/>
      </c>
      <c r="N1063" s="33">
        <f>L1063-K1063</f>
        <v/>
      </c>
    </row>
    <row r="1064">
      <c r="A1064" s="58" t="inlineStr">
        <is>
          <t>191805 Pavilion Lounge(Z)</t>
        </is>
      </c>
      <c r="B1064" s="58" t="inlineStr">
        <is>
          <t>Morris</t>
        </is>
      </c>
      <c r="C1064" s="58" t="inlineStr">
        <is>
          <t>Brian Sengebush</t>
        </is>
      </c>
      <c r="D1064" s="58" t="inlineStr">
        <is>
          <t>On-premise</t>
        </is>
      </c>
      <c r="E1064" s="53" t="n">
        <v>204</v>
      </c>
      <c r="F1064" s="53" t="n">
        <v>140</v>
      </c>
      <c r="G1064" s="55" t="n">
        <v>1647.66</v>
      </c>
      <c r="H1064" s="55" t="n">
        <v>1103.83</v>
      </c>
      <c r="I1064" s="53" t="n">
        <v>0</v>
      </c>
      <c r="J1064" s="53" t="n">
        <v>2</v>
      </c>
      <c r="K1064" s="53" t="n">
        <v>0</v>
      </c>
      <c r="L1064" s="53" t="n">
        <v>0</v>
      </c>
      <c r="M1064" s="33">
        <f>F1064-E1064</f>
        <v/>
      </c>
      <c r="N1064" s="33">
        <f>L1064-K1064</f>
        <v/>
      </c>
    </row>
    <row r="1065">
      <c r="A1065" s="58" t="inlineStr">
        <is>
          <t>191816 Vasa Park</t>
        </is>
      </c>
      <c r="B1065" s="58" t="inlineStr">
        <is>
          <t>Warren</t>
        </is>
      </c>
      <c r="C1065" s="58" t="inlineStr">
        <is>
          <t>Brian Sengebush</t>
        </is>
      </c>
      <c r="D1065" s="58" t="inlineStr">
        <is>
          <t>On-premise</t>
        </is>
      </c>
      <c r="E1065" s="53" t="n">
        <v>116</v>
      </c>
      <c r="F1065" s="53" t="n">
        <v>104</v>
      </c>
      <c r="G1065" s="55" t="n">
        <v>665.8399999999999</v>
      </c>
      <c r="H1065" s="55" t="n">
        <v>628.8299999999999</v>
      </c>
      <c r="I1065" s="53" t="n">
        <v>0</v>
      </c>
      <c r="J1065" s="53" t="n">
        <v>2</v>
      </c>
      <c r="K1065" s="53" t="n">
        <v>0</v>
      </c>
      <c r="L1065" s="53" t="n">
        <v>0</v>
      </c>
      <c r="M1065" s="33">
        <f>F1065-E1065</f>
        <v/>
      </c>
      <c r="N1065" s="33">
        <f>L1065-K1065</f>
        <v/>
      </c>
    </row>
    <row r="1066">
      <c r="A1066" s="58" t="inlineStr">
        <is>
          <t>230304 Mc Q's Pub (P)</t>
        </is>
      </c>
      <c r="B1066" s="58" t="inlineStr">
        <is>
          <t>Sussex</t>
        </is>
      </c>
      <c r="C1066" s="58" t="inlineStr">
        <is>
          <t>Brian Sengebush</t>
        </is>
      </c>
      <c r="D1066" s="58" t="inlineStr">
        <is>
          <t>On-premise</t>
        </is>
      </c>
      <c r="E1066" s="53" t="n">
        <v>329</v>
      </c>
      <c r="F1066" s="53" t="n">
        <v>260</v>
      </c>
      <c r="G1066" s="55" t="n">
        <v>1981.69</v>
      </c>
      <c r="H1066" s="55" t="n">
        <v>1562.24</v>
      </c>
      <c r="I1066" s="53" t="n">
        <v>22</v>
      </c>
      <c r="J1066" s="53" t="n">
        <v>20</v>
      </c>
      <c r="K1066" s="53" t="n">
        <v>0</v>
      </c>
      <c r="L1066" s="53" t="n">
        <v>0</v>
      </c>
      <c r="M1066" s="33">
        <f>F1066-E1066</f>
        <v/>
      </c>
      <c r="N1066" s="33">
        <f>L1066-K1066</f>
        <v/>
      </c>
    </row>
    <row r="1067">
      <c r="A1067" s="58" t="inlineStr">
        <is>
          <t>230421 Nativa Coffee Bar</t>
        </is>
      </c>
      <c r="B1067" s="58" t="inlineStr">
        <is>
          <t>Sussex</t>
        </is>
      </c>
      <c r="C1067" s="58" t="inlineStr">
        <is>
          <t>Brian Sengebush</t>
        </is>
      </c>
      <c r="D1067" s="58" t="inlineStr">
        <is>
          <t>On-premise</t>
        </is>
      </c>
      <c r="E1067" s="53" t="n">
        <v>34</v>
      </c>
      <c r="F1067" s="53" t="n">
        <v>29</v>
      </c>
      <c r="G1067" s="55" t="n">
        <v>384.1</v>
      </c>
      <c r="H1067" s="55" t="n">
        <v>302.28</v>
      </c>
      <c r="I1067" s="53" t="n">
        <v>7</v>
      </c>
      <c r="J1067" s="53" t="n">
        <v>8</v>
      </c>
      <c r="K1067" s="53" t="n">
        <v>0</v>
      </c>
      <c r="L1067" s="53" t="n">
        <v>0</v>
      </c>
      <c r="M1067" s="33">
        <f>F1067-E1067</f>
        <v/>
      </c>
      <c r="N1067" s="33">
        <f>L1067-K1067</f>
        <v/>
      </c>
    </row>
    <row r="1068">
      <c r="A1068" s="58" t="inlineStr">
        <is>
          <t>231710 Lakeside Pub (P)</t>
        </is>
      </c>
      <c r="B1068" s="58" t="inlineStr">
        <is>
          <t>Sussex</t>
        </is>
      </c>
      <c r="C1068" s="58" t="inlineStr">
        <is>
          <t>Brian Sengebush</t>
        </is>
      </c>
      <c r="D1068" s="58" t="inlineStr">
        <is>
          <t>On-premise</t>
        </is>
      </c>
      <c r="E1068" s="53" t="n">
        <v>345</v>
      </c>
      <c r="F1068" s="53" t="n">
        <v>220</v>
      </c>
      <c r="G1068" s="55" t="n">
        <v>2499.37</v>
      </c>
      <c r="H1068" s="55" t="n">
        <v>1637.32</v>
      </c>
      <c r="I1068" s="53" t="n">
        <v>34</v>
      </c>
      <c r="J1068" s="53" t="n">
        <v>32</v>
      </c>
      <c r="K1068" s="53" t="n">
        <v>0</v>
      </c>
      <c r="L1068" s="53" t="n">
        <v>0</v>
      </c>
      <c r="M1068" s="33">
        <f>F1068-E1068</f>
        <v/>
      </c>
      <c r="N1068" s="33">
        <f>L1068-K1068</f>
        <v/>
      </c>
    </row>
    <row r="1069">
      <c r="A1069" s="58" t="inlineStr">
        <is>
          <t>231718 Jumboland Diner</t>
        </is>
      </c>
      <c r="B1069" s="58" t="inlineStr">
        <is>
          <t>Sussex</t>
        </is>
      </c>
      <c r="C1069" s="58" t="inlineStr">
        <is>
          <t>Brian Sengebush</t>
        </is>
      </c>
      <c r="D1069" s="58" t="inlineStr">
        <is>
          <t>On-premise</t>
        </is>
      </c>
      <c r="E1069" s="53" t="n">
        <v>136</v>
      </c>
      <c r="F1069" s="53" t="n">
        <v>159</v>
      </c>
      <c r="G1069" s="55" t="n">
        <v>1293.7</v>
      </c>
      <c r="H1069" s="55" t="n">
        <v>1478.54</v>
      </c>
      <c r="I1069" s="53" t="n">
        <v>6</v>
      </c>
      <c r="J1069" s="53" t="n">
        <v>0</v>
      </c>
      <c r="K1069" s="53" t="n">
        <v>0</v>
      </c>
      <c r="L1069" s="53" t="n">
        <v>0</v>
      </c>
      <c r="M1069" s="33">
        <f>F1069-E1069</f>
        <v/>
      </c>
      <c r="N1069" s="33">
        <f>L1069-K1069</f>
        <v/>
      </c>
    </row>
    <row r="1070">
      <c r="A1070" s="58" t="inlineStr">
        <is>
          <t>231806 Walpack Inn</t>
        </is>
      </c>
      <c r="B1070" s="58" t="inlineStr">
        <is>
          <t>Sussex</t>
        </is>
      </c>
      <c r="C1070" s="58" t="inlineStr">
        <is>
          <t>Brian Sengebush</t>
        </is>
      </c>
      <c r="D1070" s="58" t="inlineStr">
        <is>
          <t>On-premise</t>
        </is>
      </c>
      <c r="E1070" s="53" t="n">
        <v>42</v>
      </c>
      <c r="F1070" s="53" t="n">
        <v>47</v>
      </c>
      <c r="G1070" s="55" t="n">
        <v>396.15</v>
      </c>
      <c r="H1070" s="55" t="n">
        <v>438.46</v>
      </c>
      <c r="I1070" s="53" t="n">
        <v>4</v>
      </c>
      <c r="J1070" s="53" t="n">
        <v>6</v>
      </c>
      <c r="K1070" s="53" t="n">
        <v>0</v>
      </c>
      <c r="L1070" s="53" t="n">
        <v>0</v>
      </c>
      <c r="M1070" s="33">
        <f>F1070-E1070</f>
        <v/>
      </c>
      <c r="N1070" s="33">
        <f>L1070-K1070</f>
        <v/>
      </c>
    </row>
    <row r="1071">
      <c r="A1071" s="58" t="inlineStr">
        <is>
          <t>190312 The Knoll Country Club &amp; Catering</t>
        </is>
      </c>
      <c r="B1071" s="58" t="inlineStr">
        <is>
          <t>Morris</t>
        </is>
      </c>
      <c r="C1071" s="58" t="inlineStr">
        <is>
          <t>Brian Sengebush</t>
        </is>
      </c>
      <c r="D1071" s="58" t="inlineStr">
        <is>
          <t>On-premise</t>
        </is>
      </c>
      <c r="E1071" s="53" t="n">
        <v>379</v>
      </c>
      <c r="F1071" s="53" t="n">
        <v>413</v>
      </c>
      <c r="G1071" s="55" t="n">
        <v>1499.32</v>
      </c>
      <c r="H1071" s="55" t="n">
        <v>1540.31</v>
      </c>
      <c r="I1071" s="53" t="n">
        <v>45</v>
      </c>
      <c r="J1071" s="53" t="n">
        <v>48</v>
      </c>
      <c r="K1071" s="53" t="n">
        <v>0</v>
      </c>
      <c r="L1071" s="53" t="n">
        <v>0</v>
      </c>
      <c r="M1071" s="33">
        <f>F1071-E1071</f>
        <v/>
      </c>
      <c r="N1071" s="33">
        <f>L1071-K1071</f>
        <v/>
      </c>
    </row>
    <row r="1072">
      <c r="A1072" s="58" t="inlineStr">
        <is>
          <t>190803 Germania Park</t>
        </is>
      </c>
      <c r="B1072" s="58" t="inlineStr">
        <is>
          <t>Morris</t>
        </is>
      </c>
      <c r="C1072" s="58" t="inlineStr">
        <is>
          <t>Brian Sengebush</t>
        </is>
      </c>
      <c r="D1072" s="58" t="inlineStr">
        <is>
          <t>On-premise</t>
        </is>
      </c>
      <c r="E1072" s="53" t="n">
        <v>14</v>
      </c>
      <c r="F1072" s="53" t="n">
        <v>7</v>
      </c>
      <c r="G1072" s="55" t="n">
        <v>106.09</v>
      </c>
      <c r="H1072" s="55" t="n">
        <v>60.48</v>
      </c>
      <c r="I1072" s="53" t="n">
        <v>250</v>
      </c>
      <c r="J1072" s="53" t="n">
        <v>276</v>
      </c>
      <c r="K1072" s="53" t="n">
        <v>0</v>
      </c>
      <c r="L1072" s="53" t="n">
        <v>0</v>
      </c>
      <c r="M1072" s="33">
        <f>F1072-E1072</f>
        <v/>
      </c>
      <c r="N1072" s="33">
        <f>L1072-K1072</f>
        <v/>
      </c>
    </row>
    <row r="1073">
      <c r="A1073" s="58" t="inlineStr">
        <is>
          <t>191001 Stone Water</t>
        </is>
      </c>
      <c r="B1073" s="58" t="inlineStr">
        <is>
          <t>Morris</t>
        </is>
      </c>
      <c r="C1073" s="58" t="inlineStr">
        <is>
          <t>Brian Sengebush</t>
        </is>
      </c>
      <c r="D1073" s="58" t="inlineStr">
        <is>
          <t>On-premise</t>
        </is>
      </c>
      <c r="E1073" s="53" t="n">
        <v>177</v>
      </c>
      <c r="F1073" s="53" t="n">
        <v>135</v>
      </c>
      <c r="G1073" s="55" t="n">
        <v>1098.77</v>
      </c>
      <c r="H1073" s="55" t="n">
        <v>829.11</v>
      </c>
      <c r="I1073" s="53" t="n">
        <v>12</v>
      </c>
      <c r="J1073" s="53" t="n">
        <v>17</v>
      </c>
      <c r="K1073" s="53" t="n">
        <v>0</v>
      </c>
      <c r="L1073" s="53" t="n">
        <v>0</v>
      </c>
      <c r="M1073" s="33">
        <f>F1073-E1073</f>
        <v/>
      </c>
      <c r="N1073" s="33">
        <f>L1073-K1073</f>
        <v/>
      </c>
    </row>
    <row r="1074">
      <c r="A1074" s="58" t="inlineStr">
        <is>
          <t>191716 The Stanhope House(P)</t>
        </is>
      </c>
      <c r="B1074" s="58" t="inlineStr">
        <is>
          <t>Sussex</t>
        </is>
      </c>
      <c r="C1074" s="58" t="inlineStr">
        <is>
          <t>Brian Sengebush</t>
        </is>
      </c>
      <c r="D1074" s="58" t="inlineStr">
        <is>
          <t>Unmatched</t>
        </is>
      </c>
      <c r="E1074" s="53" t="n">
        <v>27</v>
      </c>
      <c r="F1074" s="53" t="n">
        <v>0</v>
      </c>
      <c r="G1074" s="55" t="n">
        <v>205.8</v>
      </c>
      <c r="H1074" s="55" t="n">
        <v>0</v>
      </c>
      <c r="I1074" s="53" t="n">
        <v>5</v>
      </c>
      <c r="J1074" s="53" t="n">
        <v>0</v>
      </c>
      <c r="K1074" s="53" t="n">
        <v>0</v>
      </c>
      <c r="L1074" s="53" t="n">
        <v>0</v>
      </c>
      <c r="M1074" s="33">
        <f>F1074-E1074</f>
        <v/>
      </c>
      <c r="N1074" s="33">
        <f>L1074-K1074</f>
        <v/>
      </c>
    </row>
    <row r="1075">
      <c r="A1075" s="58" t="inlineStr">
        <is>
          <t>191719 American Lgn Stanhope</t>
        </is>
      </c>
      <c r="B1075" s="58" t="inlineStr">
        <is>
          <t>Sussex</t>
        </is>
      </c>
      <c r="C1075" s="58" t="inlineStr">
        <is>
          <t>Brian Sengebush</t>
        </is>
      </c>
      <c r="D1075" s="58" t="inlineStr">
        <is>
          <t>On-premise</t>
        </is>
      </c>
      <c r="E1075" s="53" t="n">
        <v>193</v>
      </c>
      <c r="F1075" s="53" t="n">
        <v>197</v>
      </c>
      <c r="G1075" s="55" t="n">
        <v>1437.33</v>
      </c>
      <c r="H1075" s="55" t="n">
        <v>1517.65</v>
      </c>
      <c r="I1075" s="53" t="n">
        <v>23</v>
      </c>
      <c r="J1075" s="53" t="n">
        <v>21</v>
      </c>
      <c r="K1075" s="53" t="n">
        <v>0</v>
      </c>
      <c r="L1075" s="53" t="n">
        <v>0</v>
      </c>
      <c r="M1075" s="33">
        <f>F1075-E1075</f>
        <v/>
      </c>
      <c r="N1075" s="33">
        <f>L1075-K1075</f>
        <v/>
      </c>
    </row>
    <row r="1076">
      <c r="A1076" s="58" t="inlineStr">
        <is>
          <t>191720 Stanhope Hose Co #1</t>
        </is>
      </c>
      <c r="B1076" s="58" t="inlineStr">
        <is>
          <t>Sussex</t>
        </is>
      </c>
      <c r="C1076" s="58" t="inlineStr">
        <is>
          <t>Brian Sengebush</t>
        </is>
      </c>
      <c r="D1076" s="58" t="inlineStr">
        <is>
          <t>Unmatched</t>
        </is>
      </c>
      <c r="E1076" s="53" t="n">
        <v>7</v>
      </c>
      <c r="F1076" s="53" t="n">
        <v>0</v>
      </c>
      <c r="G1076" s="55" t="n">
        <v>25.51</v>
      </c>
      <c r="H1076" s="55" t="n">
        <v>0</v>
      </c>
      <c r="I1076" s="53" t="n">
        <v>0</v>
      </c>
      <c r="J1076" s="53" t="n">
        <v>0</v>
      </c>
      <c r="K1076" s="53" t="n">
        <v>0</v>
      </c>
      <c r="L1076" s="53" t="n">
        <v>0</v>
      </c>
      <c r="M1076" s="33">
        <f>F1076-E1076</f>
        <v/>
      </c>
      <c r="N1076" s="33">
        <f>L1076-K1076</f>
        <v/>
      </c>
    </row>
    <row r="1077">
      <c r="A1077" s="58" t="inlineStr">
        <is>
          <t>230101 Tomahawk Lake,Inc</t>
        </is>
      </c>
      <c r="B1077" s="58" t="inlineStr">
        <is>
          <t>Sussex</t>
        </is>
      </c>
      <c r="C1077" s="58" t="inlineStr">
        <is>
          <t>Brian Sengebush</t>
        </is>
      </c>
      <c r="D1077" s="58" t="inlineStr">
        <is>
          <t>On-premise</t>
        </is>
      </c>
      <c r="E1077" s="53" t="n">
        <v>178</v>
      </c>
      <c r="F1077" s="53" t="n">
        <v>230</v>
      </c>
      <c r="G1077" s="55" t="n">
        <v>1189.48</v>
      </c>
      <c r="H1077" s="55" t="n">
        <v>1406.01</v>
      </c>
      <c r="I1077" s="53" t="n">
        <v>0</v>
      </c>
      <c r="J1077" s="53" t="n">
        <v>0</v>
      </c>
      <c r="K1077" s="53" t="n">
        <v>0</v>
      </c>
      <c r="L1077" s="53" t="n">
        <v>0</v>
      </c>
      <c r="M1077" s="33">
        <f>F1077-E1077</f>
        <v/>
      </c>
      <c r="N1077" s="33">
        <f>L1077-K1077</f>
        <v/>
      </c>
    </row>
    <row r="1078">
      <c r="A1078" s="58" t="inlineStr">
        <is>
          <t>231711 Riviera Maya</t>
        </is>
      </c>
      <c r="B1078" s="58" t="inlineStr">
        <is>
          <t>Sussex</t>
        </is>
      </c>
      <c r="C1078" s="58" t="inlineStr">
        <is>
          <t>Brian Sengebush</t>
        </is>
      </c>
      <c r="D1078" s="58" t="inlineStr">
        <is>
          <t>On-premise</t>
        </is>
      </c>
      <c r="E1078" s="53" t="n">
        <v>19</v>
      </c>
      <c r="F1078" s="53" t="n">
        <v>27</v>
      </c>
      <c r="G1078" s="55" t="n">
        <v>166.5</v>
      </c>
      <c r="H1078" s="55" t="n">
        <v>253.96</v>
      </c>
      <c r="I1078" s="53" t="n">
        <v>3</v>
      </c>
      <c r="J1078" s="53" t="n">
        <v>7</v>
      </c>
      <c r="K1078" s="53" t="n">
        <v>0</v>
      </c>
      <c r="L1078" s="53" t="n">
        <v>0</v>
      </c>
      <c r="M1078" s="33">
        <f>F1078-E1078</f>
        <v/>
      </c>
      <c r="N1078" s="33">
        <f>L1078-K1078</f>
        <v/>
      </c>
    </row>
    <row r="1079">
      <c r="A1079" s="58" t="inlineStr">
        <is>
          <t>190918 Luna Restaurant &amp; Bar</t>
        </is>
      </c>
      <c r="B1079" s="58" t="inlineStr">
        <is>
          <t>Morris</t>
        </is>
      </c>
      <c r="C1079" s="58" t="inlineStr">
        <is>
          <t>Brian Sengebush</t>
        </is>
      </c>
      <c r="D1079" s="58" t="inlineStr">
        <is>
          <t>On-premise</t>
        </is>
      </c>
      <c r="E1079" s="53" t="n">
        <v>115</v>
      </c>
      <c r="F1079" s="53" t="n">
        <v>-37</v>
      </c>
      <c r="G1079" s="55" t="n">
        <v>812.55</v>
      </c>
      <c r="H1079" s="55" t="n">
        <v>-276.82</v>
      </c>
      <c r="I1079" s="53" t="n">
        <v>0</v>
      </c>
      <c r="J1079" s="53" t="n">
        <v>0</v>
      </c>
      <c r="K1079" s="53" t="n">
        <v>0</v>
      </c>
      <c r="L1079" s="53" t="n">
        <v>0</v>
      </c>
      <c r="M1079" s="33">
        <f>F1079-E1079</f>
        <v/>
      </c>
      <c r="N1079" s="33">
        <f>L1079-K1079</f>
        <v/>
      </c>
    </row>
    <row r="1080">
      <c r="A1080" s="58" t="inlineStr">
        <is>
          <t>38034 La Nota Restaurant Bar</t>
        </is>
      </c>
      <c r="B1080" s="58" t="inlineStr">
        <is>
          <t>Bergen</t>
        </is>
      </c>
      <c r="C1080" s="58" t="inlineStr">
        <is>
          <t>Chris Payton</t>
        </is>
      </c>
      <c r="D1080" s="58" t="inlineStr">
        <is>
          <t>Unmatched</t>
        </is>
      </c>
      <c r="E1080" s="53" t="n">
        <v>0</v>
      </c>
      <c r="F1080" s="53" t="n">
        <v>35</v>
      </c>
      <c r="G1080" s="55" t="n">
        <v>0</v>
      </c>
      <c r="H1080" s="55" t="n">
        <v>358.72</v>
      </c>
      <c r="I1080" s="53" t="n">
        <v>0</v>
      </c>
      <c r="J1080" s="53" t="n">
        <v>12</v>
      </c>
      <c r="K1080" s="53" t="n">
        <v>0</v>
      </c>
      <c r="L1080" s="53" t="n">
        <v>0</v>
      </c>
      <c r="M1080" s="33">
        <f>F1080-E1080</f>
        <v/>
      </c>
      <c r="N1080" s="33">
        <f>L1080-K1080</f>
        <v/>
      </c>
    </row>
    <row r="1081">
      <c r="A1081" s="58" t="inlineStr">
        <is>
          <t>80010 Suburban Diner</t>
        </is>
      </c>
      <c r="B1081" s="58" t="inlineStr">
        <is>
          <t>Bergen</t>
        </is>
      </c>
      <c r="C1081" s="58" t="inlineStr">
        <is>
          <t>Chris Payton</t>
        </is>
      </c>
      <c r="D1081" s="58" t="inlineStr">
        <is>
          <t>On-premise</t>
        </is>
      </c>
      <c r="E1081" s="53" t="n">
        <v>7</v>
      </c>
      <c r="F1081" s="53" t="n">
        <v>11</v>
      </c>
      <c r="G1081" s="55" t="n">
        <v>89.18000000000001</v>
      </c>
      <c r="H1081" s="55" t="n">
        <v>120</v>
      </c>
      <c r="I1081" s="53" t="n">
        <v>7</v>
      </c>
      <c r="J1081" s="53" t="n">
        <v>0</v>
      </c>
      <c r="K1081" s="53" t="n">
        <v>0</v>
      </c>
      <c r="L1081" s="53" t="n">
        <v>0</v>
      </c>
      <c r="M1081" s="33">
        <f>F1081-E1081</f>
        <v/>
      </c>
      <c r="N1081" s="33">
        <f>L1081-K1081</f>
        <v/>
      </c>
    </row>
    <row r="1082">
      <c r="A1082" s="58" t="inlineStr">
        <is>
          <t>80029 Seoul Galbi</t>
        </is>
      </c>
      <c r="B1082" s="58" t="inlineStr">
        <is>
          <t>Bergen</t>
        </is>
      </c>
      <c r="C1082" s="58" t="inlineStr">
        <is>
          <t>Chris Payton</t>
        </is>
      </c>
      <c r="D1082" s="58" t="inlineStr">
        <is>
          <t>On-premise</t>
        </is>
      </c>
      <c r="E1082" s="53" t="n">
        <v>10</v>
      </c>
      <c r="F1082" s="53" t="n">
        <v>0</v>
      </c>
      <c r="G1082" s="55" t="n">
        <v>70.39</v>
      </c>
      <c r="H1082" s="55" t="n">
        <v>0</v>
      </c>
      <c r="I1082" s="53" t="n">
        <v>0</v>
      </c>
      <c r="J1082" s="53" t="n">
        <v>0</v>
      </c>
      <c r="K1082" s="53" t="n">
        <v>0</v>
      </c>
      <c r="L1082" s="53" t="n">
        <v>0</v>
      </c>
      <c r="M1082" s="33">
        <f>F1082-E1082</f>
        <v/>
      </c>
      <c r="N1082" s="33">
        <f>L1082-K1082</f>
        <v/>
      </c>
    </row>
    <row r="1083">
      <c r="A1083" s="58" t="inlineStr">
        <is>
          <t>44047 Sedona Tap House</t>
        </is>
      </c>
      <c r="B1083" s="58" t="inlineStr">
        <is>
          <t>Bergen</t>
        </is>
      </c>
      <c r="C1083" s="58" t="inlineStr">
        <is>
          <t>Dan Lagala</t>
        </is>
      </c>
      <c r="D1083" s="58" t="inlineStr">
        <is>
          <t>On-premise</t>
        </is>
      </c>
      <c r="E1083" s="53" t="n">
        <v>127</v>
      </c>
      <c r="F1083" s="53" t="n">
        <v>148</v>
      </c>
      <c r="G1083" s="55" t="n">
        <v>1273.47</v>
      </c>
      <c r="H1083" s="55" t="n">
        <v>1506.37</v>
      </c>
      <c r="I1083" s="53" t="n">
        <v>89</v>
      </c>
      <c r="J1083" s="53" t="n">
        <v>114</v>
      </c>
      <c r="K1083" s="53" t="n">
        <v>46</v>
      </c>
      <c r="L1083" s="53" t="n">
        <v>46</v>
      </c>
      <c r="M1083" s="33">
        <f>F1083-E1083</f>
        <v/>
      </c>
      <c r="N1083" s="33">
        <f>L1083-K1083</f>
        <v/>
      </c>
    </row>
    <row r="1084">
      <c r="A1084" s="58" t="inlineStr">
        <is>
          <t>44052 Minit Mart_2</t>
        </is>
      </c>
      <c r="B1084" s="58" t="inlineStr">
        <is>
          <t>Bergen</t>
        </is>
      </c>
      <c r="C1084" s="58" t="inlineStr">
        <is>
          <t>Dan Lagala</t>
        </is>
      </c>
      <c r="D1084" s="58" t="inlineStr">
        <is>
          <t>Off-premise</t>
        </is>
      </c>
      <c r="E1084" s="53" t="n">
        <v>1324</v>
      </c>
      <c r="F1084" s="53" t="n">
        <v>1118</v>
      </c>
      <c r="G1084" s="55" t="n">
        <v>8303.920000000002</v>
      </c>
      <c r="H1084" s="55" t="n">
        <v>7434.98</v>
      </c>
      <c r="I1084" s="53" t="n">
        <v>93</v>
      </c>
      <c r="J1084" s="53" t="n">
        <v>64</v>
      </c>
      <c r="K1084" s="53" t="n">
        <v>86</v>
      </c>
      <c r="L1084" s="53" t="n">
        <v>86</v>
      </c>
      <c r="M1084" s="33">
        <f>F1084-E1084</f>
        <v/>
      </c>
      <c r="N1084" s="33">
        <f>L1084-K1084</f>
        <v/>
      </c>
    </row>
    <row r="1085">
      <c r="A1085" s="58" t="inlineStr">
        <is>
          <t>45002 JC&amp;D Best Wine &amp; Liquor</t>
        </is>
      </c>
      <c r="B1085" s="58" t="inlineStr">
        <is>
          <t>Bergen</t>
        </is>
      </c>
      <c r="C1085" s="58" t="inlineStr">
        <is>
          <t>Dan Lagala</t>
        </is>
      </c>
      <c r="D1085" s="58" t="inlineStr">
        <is>
          <t>Off-premise</t>
        </is>
      </c>
      <c r="E1085" s="53" t="n">
        <v>1360</v>
      </c>
      <c r="F1085" s="53" t="n">
        <v>1406</v>
      </c>
      <c r="G1085" s="55" t="n">
        <v>8700.269999999999</v>
      </c>
      <c r="H1085" s="55" t="n">
        <v>9339.280000000002</v>
      </c>
      <c r="I1085" s="53" t="n">
        <v>59</v>
      </c>
      <c r="J1085" s="53" t="n">
        <v>58</v>
      </c>
      <c r="K1085" s="53" t="n">
        <v>268</v>
      </c>
      <c r="L1085" s="53" t="n">
        <v>268</v>
      </c>
      <c r="M1085" s="33">
        <f>F1085-E1085</f>
        <v/>
      </c>
      <c r="N1085" s="33">
        <f>L1085-K1085</f>
        <v/>
      </c>
    </row>
    <row r="1086">
      <c r="A1086" s="58" t="inlineStr">
        <is>
          <t>46031 Kang Ho Dong</t>
        </is>
      </c>
      <c r="B1086" s="58" t="inlineStr">
        <is>
          <t>Bergen</t>
        </is>
      </c>
      <c r="C1086" s="58" t="inlineStr">
        <is>
          <t>Dan Lagala</t>
        </is>
      </c>
      <c r="D1086" s="58" t="inlineStr">
        <is>
          <t>On-premise</t>
        </is>
      </c>
      <c r="E1086" s="53" t="n">
        <v>35</v>
      </c>
      <c r="F1086" s="53" t="n">
        <v>20</v>
      </c>
      <c r="G1086" s="55" t="n">
        <v>225.08</v>
      </c>
      <c r="H1086" s="55" t="n">
        <v>186.95</v>
      </c>
      <c r="I1086" s="53" t="n">
        <v>0</v>
      </c>
      <c r="J1086" s="53" t="n">
        <v>0</v>
      </c>
      <c r="K1086" s="53" t="n">
        <v>10</v>
      </c>
      <c r="L1086" s="53" t="n">
        <v>10</v>
      </c>
      <c r="M1086" s="33">
        <f>F1086-E1086</f>
        <v/>
      </c>
      <c r="N1086" s="33">
        <f>L1086-K1086</f>
        <v/>
      </c>
    </row>
    <row r="1087">
      <c r="A1087" s="58" t="inlineStr">
        <is>
          <t>49076 Raku Izakaya (Z)</t>
        </is>
      </c>
      <c r="B1087" s="58" t="inlineStr">
        <is>
          <t>Bergen</t>
        </is>
      </c>
      <c r="C1087" s="58" t="inlineStr">
        <is>
          <t>Dan Lagala</t>
        </is>
      </c>
      <c r="D1087" s="58" t="inlineStr">
        <is>
          <t>On-premise</t>
        </is>
      </c>
      <c r="E1087" s="53" t="n">
        <v>215</v>
      </c>
      <c r="F1087" s="53" t="n">
        <v>216</v>
      </c>
      <c r="G1087" s="55" t="n">
        <v>1564.78</v>
      </c>
      <c r="H1087" s="55" t="n">
        <v>1494.25</v>
      </c>
      <c r="I1087" s="53" t="n">
        <v>7</v>
      </c>
      <c r="J1087" s="53" t="n">
        <v>6</v>
      </c>
      <c r="K1087" s="53" t="n">
        <v>145</v>
      </c>
      <c r="L1087" s="53" t="n">
        <v>145</v>
      </c>
      <c r="M1087" s="33">
        <f>F1087-E1087</f>
        <v/>
      </c>
      <c r="N1087" s="33">
        <f>L1087-K1087</f>
        <v/>
      </c>
    </row>
    <row r="1088">
      <c r="A1088" s="58" t="inlineStr">
        <is>
          <t>44001 Brazeiro Churrascaria</t>
        </is>
      </c>
      <c r="B1088" s="58" t="inlineStr">
        <is>
          <t>Bergen</t>
        </is>
      </c>
      <c r="C1088" s="58" t="inlineStr">
        <is>
          <t>Dan Lagala</t>
        </is>
      </c>
      <c r="D1088" s="58" t="inlineStr">
        <is>
          <t>Unmatched</t>
        </is>
      </c>
      <c r="E1088" s="53" t="n">
        <v>38</v>
      </c>
      <c r="F1088" s="53" t="n">
        <v>24</v>
      </c>
      <c r="G1088" s="55" t="n">
        <v>458.84</v>
      </c>
      <c r="H1088" s="55" t="n">
        <v>265.4</v>
      </c>
      <c r="I1088" s="53" t="n">
        <v>0</v>
      </c>
      <c r="J1088" s="53" t="n">
        <v>10</v>
      </c>
      <c r="K1088" s="53" t="n">
        <v>0</v>
      </c>
      <c r="L1088" s="53" t="n">
        <v>0</v>
      </c>
      <c r="M1088" s="33">
        <f>F1088-E1088</f>
        <v/>
      </c>
      <c r="N1088" s="33">
        <f>L1088-K1088</f>
        <v/>
      </c>
    </row>
    <row r="1089">
      <c r="A1089" s="58" t="inlineStr">
        <is>
          <t>44033 Brass Rail Pub Cliffside</t>
        </is>
      </c>
      <c r="B1089" s="58" t="inlineStr">
        <is>
          <t>Bergen</t>
        </is>
      </c>
      <c r="C1089" s="58" t="inlineStr">
        <is>
          <t>Dan Lagala</t>
        </is>
      </c>
      <c r="D1089" s="58" t="inlineStr">
        <is>
          <t>On-premise</t>
        </is>
      </c>
      <c r="E1089" s="53" t="n">
        <v>158</v>
      </c>
      <c r="F1089" s="53" t="n">
        <v>0</v>
      </c>
      <c r="G1089" s="55" t="n">
        <v>1205.41</v>
      </c>
      <c r="H1089" s="55" t="n">
        <v>0</v>
      </c>
      <c r="I1089" s="53" t="n">
        <v>0</v>
      </c>
      <c r="J1089" s="53" t="n">
        <v>0</v>
      </c>
      <c r="K1089" s="53" t="n">
        <v>0</v>
      </c>
      <c r="L1089" s="53" t="n">
        <v>0</v>
      </c>
      <c r="M1089" s="33">
        <f>F1089-E1089</f>
        <v/>
      </c>
      <c r="N1089" s="33">
        <f>L1089-K1089</f>
        <v/>
      </c>
    </row>
    <row r="1090">
      <c r="A1090" s="58" t="inlineStr">
        <is>
          <t>44038 Palisadium Club</t>
        </is>
      </c>
      <c r="B1090" s="58" t="inlineStr">
        <is>
          <t>Bergen</t>
        </is>
      </c>
      <c r="C1090" s="58" t="inlineStr">
        <is>
          <t>Dan Lagala</t>
        </is>
      </c>
      <c r="D1090" s="58" t="inlineStr">
        <is>
          <t>On-premise</t>
        </is>
      </c>
      <c r="E1090" s="53" t="n">
        <v>0</v>
      </c>
      <c r="F1090" s="53" t="n">
        <v>10</v>
      </c>
      <c r="G1090" s="55" t="n">
        <v>0</v>
      </c>
      <c r="H1090" s="55" t="n">
        <v>100.48</v>
      </c>
      <c r="I1090" s="53" t="n">
        <v>0</v>
      </c>
      <c r="J1090" s="53" t="n">
        <v>0</v>
      </c>
      <c r="K1090" s="53" t="n">
        <v>0</v>
      </c>
      <c r="L1090" s="53" t="n">
        <v>0</v>
      </c>
      <c r="M1090" s="33">
        <f>F1090-E1090</f>
        <v/>
      </c>
      <c r="N1090" s="33">
        <f>L1090-K1090</f>
        <v/>
      </c>
    </row>
    <row r="1091">
      <c r="A1091" s="58" t="inlineStr">
        <is>
          <t>44048 Clubhouse Cafe (P)</t>
        </is>
      </c>
      <c r="B1091" s="58" t="inlineStr">
        <is>
          <t>Bergen</t>
        </is>
      </c>
      <c r="C1091" s="58" t="inlineStr">
        <is>
          <t>Dan Lagala</t>
        </is>
      </c>
      <c r="D1091" s="58" t="inlineStr">
        <is>
          <t>On-premise</t>
        </is>
      </c>
      <c r="E1091" s="53" t="n">
        <v>280</v>
      </c>
      <c r="F1091" s="53" t="n">
        <v>280</v>
      </c>
      <c r="G1091" s="55" t="n">
        <v>1914.95</v>
      </c>
      <c r="H1091" s="55" t="n">
        <v>1839.52</v>
      </c>
      <c r="I1091" s="53" t="n">
        <v>20</v>
      </c>
      <c r="J1091" s="53" t="n">
        <v>13</v>
      </c>
      <c r="K1091" s="53" t="n">
        <v>0</v>
      </c>
      <c r="L1091" s="53" t="n">
        <v>0</v>
      </c>
      <c r="M1091" s="33">
        <f>F1091-E1091</f>
        <v/>
      </c>
      <c r="N1091" s="33">
        <f>L1091-K1091</f>
        <v/>
      </c>
    </row>
    <row r="1092">
      <c r="A1092" s="58" t="inlineStr">
        <is>
          <t>46006 Rock 21</t>
        </is>
      </c>
      <c r="B1092" s="58" t="inlineStr">
        <is>
          <t>Bergen</t>
        </is>
      </c>
      <c r="C1092" s="58" t="inlineStr">
        <is>
          <t>Dan Lagala</t>
        </is>
      </c>
      <c r="D1092" s="58" t="inlineStr">
        <is>
          <t>On-premise</t>
        </is>
      </c>
      <c r="E1092" s="53" t="n">
        <v>55</v>
      </c>
      <c r="F1092" s="53" t="n">
        <v>50</v>
      </c>
      <c r="G1092" s="55" t="n">
        <v>484.1799999999999</v>
      </c>
      <c r="H1092" s="55" t="n">
        <v>420.03</v>
      </c>
      <c r="I1092" s="53" t="n">
        <v>0</v>
      </c>
      <c r="J1092" s="53" t="n">
        <v>0</v>
      </c>
      <c r="K1092" s="53" t="n">
        <v>0</v>
      </c>
      <c r="L1092" s="53" t="n">
        <v>0</v>
      </c>
      <c r="M1092" s="33">
        <f>F1092-E1092</f>
        <v/>
      </c>
      <c r="N1092" s="33">
        <f>L1092-K1092</f>
        <v/>
      </c>
    </row>
    <row r="1093">
      <c r="A1093" s="58" t="inlineStr">
        <is>
          <t>46010 So Noon Nan Jib</t>
        </is>
      </c>
      <c r="B1093" s="58" t="inlineStr">
        <is>
          <t>Bergen</t>
        </is>
      </c>
      <c r="C1093" s="58" t="inlineStr">
        <is>
          <t>Dan Lagala</t>
        </is>
      </c>
      <c r="D1093" s="58" t="inlineStr">
        <is>
          <t>On-premise</t>
        </is>
      </c>
      <c r="E1093" s="53" t="n">
        <v>45</v>
      </c>
      <c r="F1093" s="53" t="n">
        <v>44</v>
      </c>
      <c r="G1093" s="55" t="n">
        <v>406.32</v>
      </c>
      <c r="H1093" s="55" t="n">
        <v>363.26</v>
      </c>
      <c r="I1093" s="53" t="n">
        <v>0</v>
      </c>
      <c r="J1093" s="53" t="n">
        <v>0</v>
      </c>
      <c r="K1093" s="53" t="n">
        <v>0</v>
      </c>
      <c r="L1093" s="53" t="n">
        <v>0</v>
      </c>
      <c r="M1093" s="33">
        <f>F1093-E1093</f>
        <v/>
      </c>
      <c r="N1093" s="33">
        <f>L1093-K1093</f>
        <v/>
      </c>
    </row>
    <row r="1094">
      <c r="A1094" s="58" t="inlineStr">
        <is>
          <t>46014 Soosang Hand Pocha</t>
        </is>
      </c>
      <c r="B1094" s="58" t="inlineStr">
        <is>
          <t>Bergen</t>
        </is>
      </c>
      <c r="C1094" s="58" t="inlineStr">
        <is>
          <t>Dan Lagala</t>
        </is>
      </c>
      <c r="D1094" s="58" t="inlineStr">
        <is>
          <t>On-premise</t>
        </is>
      </c>
      <c r="E1094" s="53" t="n">
        <v>177</v>
      </c>
      <c r="F1094" s="53" t="n">
        <v>127</v>
      </c>
      <c r="G1094" s="55" t="n">
        <v>1473.52</v>
      </c>
      <c r="H1094" s="55" t="n">
        <v>1072</v>
      </c>
      <c r="I1094" s="53" t="n">
        <v>21</v>
      </c>
      <c r="J1094" s="53" t="n">
        <v>34</v>
      </c>
      <c r="K1094" s="53" t="n">
        <v>0</v>
      </c>
      <c r="L1094" s="53" t="n">
        <v>0</v>
      </c>
      <c r="M1094" s="33">
        <f>F1094-E1094</f>
        <v/>
      </c>
      <c r="N1094" s="33">
        <f>L1094-K1094</f>
        <v/>
      </c>
    </row>
    <row r="1095">
      <c r="A1095" s="58" t="inlineStr">
        <is>
          <t>49061 Double Tree Hotel Ft Lee</t>
        </is>
      </c>
      <c r="B1095" s="58" t="inlineStr">
        <is>
          <t>Bergen</t>
        </is>
      </c>
      <c r="C1095" s="58" t="inlineStr">
        <is>
          <t>Dan Lagala</t>
        </is>
      </c>
      <c r="D1095" s="58" t="inlineStr">
        <is>
          <t>On-premise</t>
        </is>
      </c>
      <c r="E1095" s="53" t="n">
        <v>40</v>
      </c>
      <c r="F1095" s="53" t="n">
        <v>104</v>
      </c>
      <c r="G1095" s="55" t="n">
        <v>441.84</v>
      </c>
      <c r="H1095" s="55" t="n">
        <v>1050.65</v>
      </c>
      <c r="I1095" s="53" t="n">
        <v>14</v>
      </c>
      <c r="J1095" s="53" t="n">
        <v>10</v>
      </c>
      <c r="K1095" s="53" t="n">
        <v>0</v>
      </c>
      <c r="L1095" s="53" t="n">
        <v>0</v>
      </c>
      <c r="M1095" s="33">
        <f>F1095-E1095</f>
        <v/>
      </c>
      <c r="N1095" s="33">
        <f>L1095-K1095</f>
        <v/>
      </c>
    </row>
    <row r="1096">
      <c r="A1096" s="58" t="inlineStr">
        <is>
          <t>49071 Chillers Grill (A)</t>
        </is>
      </c>
      <c r="B1096" s="58" t="inlineStr">
        <is>
          <t>Bergen</t>
        </is>
      </c>
      <c r="C1096" s="58" t="inlineStr">
        <is>
          <t>Dan Lagala</t>
        </is>
      </c>
      <c r="D1096" s="58" t="inlineStr">
        <is>
          <t>On-premise</t>
        </is>
      </c>
      <c r="E1096" s="53" t="n">
        <v>32</v>
      </c>
      <c r="F1096" s="53" t="n">
        <v>46</v>
      </c>
      <c r="G1096" s="55" t="n">
        <v>314.09</v>
      </c>
      <c r="H1096" s="55" t="n">
        <v>440.63</v>
      </c>
      <c r="I1096" s="53" t="n">
        <v>0</v>
      </c>
      <c r="J1096" s="53" t="n">
        <v>14</v>
      </c>
      <c r="K1096" s="53" t="n">
        <v>0</v>
      </c>
      <c r="L1096" s="53" t="n">
        <v>0</v>
      </c>
      <c r="M1096" s="33">
        <f>F1096-E1096</f>
        <v/>
      </c>
      <c r="N1096" s="33">
        <f>L1096-K1096</f>
        <v/>
      </c>
    </row>
    <row r="1097">
      <c r="A1097" s="58" t="inlineStr">
        <is>
          <t>53002 Mr Bbq</t>
        </is>
      </c>
      <c r="B1097" s="58" t="inlineStr">
        <is>
          <t>Bergen</t>
        </is>
      </c>
      <c r="C1097" s="58" t="inlineStr">
        <is>
          <t>Dan Lagala</t>
        </is>
      </c>
      <c r="D1097" s="58" t="inlineStr">
        <is>
          <t>On-premise</t>
        </is>
      </c>
      <c r="E1097" s="53" t="n">
        <v>20</v>
      </c>
      <c r="F1097" s="53" t="n">
        <v>10</v>
      </c>
      <c r="G1097" s="55" t="n">
        <v>188.56</v>
      </c>
      <c r="H1097" s="55" t="n">
        <v>83.83</v>
      </c>
      <c r="I1097" s="53" t="n">
        <v>0</v>
      </c>
      <c r="J1097" s="53" t="n">
        <v>0</v>
      </c>
      <c r="K1097" s="53" t="n">
        <v>0</v>
      </c>
      <c r="L1097" s="53" t="n">
        <v>0</v>
      </c>
      <c r="M1097" s="33">
        <f>F1097-E1097</f>
        <v/>
      </c>
      <c r="N1097" s="33">
        <f>L1097-K1097</f>
        <v/>
      </c>
    </row>
    <row r="1098">
      <c r="A1098" s="58" t="inlineStr">
        <is>
          <t>44042 R J's (Z)</t>
        </is>
      </c>
      <c r="B1098" s="58" t="inlineStr">
        <is>
          <t>Bergen</t>
        </is>
      </c>
      <c r="C1098" s="58" t="inlineStr">
        <is>
          <t>Dan Lagala</t>
        </is>
      </c>
      <c r="D1098" s="58" t="inlineStr">
        <is>
          <t>Unmatched</t>
        </is>
      </c>
      <c r="E1098" s="53" t="n">
        <v>39</v>
      </c>
      <c r="F1098" s="53" t="n">
        <v>0</v>
      </c>
      <c r="G1098" s="55" t="n">
        <v>239.59</v>
      </c>
      <c r="H1098" s="55" t="n">
        <v>0</v>
      </c>
      <c r="I1098" s="53" t="n">
        <v>0</v>
      </c>
      <c r="J1098" s="53" t="n">
        <v>0</v>
      </c>
      <c r="K1098" s="53" t="n">
        <v>0</v>
      </c>
      <c r="L1098" s="53" t="n">
        <v>0</v>
      </c>
      <c r="M1098" s="33">
        <f>F1098-E1098</f>
        <v/>
      </c>
      <c r="N1098" s="33">
        <f>L1098-K1098</f>
        <v/>
      </c>
    </row>
    <row r="1099">
      <c r="A1099" s="58" t="inlineStr">
        <is>
          <t>44044 Sonsonate Rest(P)</t>
        </is>
      </c>
      <c r="B1099" s="58" t="inlineStr">
        <is>
          <t>Bergen</t>
        </is>
      </c>
      <c r="C1099" s="58" t="inlineStr">
        <is>
          <t>Dan Lagala</t>
        </is>
      </c>
      <c r="D1099" s="58" t="inlineStr">
        <is>
          <t>On-premise</t>
        </is>
      </c>
      <c r="E1099" s="53" t="n">
        <v>451</v>
      </c>
      <c r="F1099" s="53" t="n">
        <v>393</v>
      </c>
      <c r="G1099" s="55" t="n">
        <v>3479.1</v>
      </c>
      <c r="H1099" s="55" t="n">
        <v>3064.809999999999</v>
      </c>
      <c r="I1099" s="53" t="n">
        <v>31</v>
      </c>
      <c r="J1099" s="53" t="n">
        <v>29</v>
      </c>
      <c r="K1099" s="53" t="n">
        <v>0</v>
      </c>
      <c r="L1099" s="53" t="n">
        <v>0</v>
      </c>
      <c r="M1099" s="33">
        <f>F1099-E1099</f>
        <v/>
      </c>
      <c r="N1099" s="33">
        <f>L1099-K1099</f>
        <v/>
      </c>
    </row>
    <row r="1100">
      <c r="A1100" s="58" t="inlineStr">
        <is>
          <t>46020 Third Floor Cafe</t>
        </is>
      </c>
      <c r="B1100" s="58" t="inlineStr">
        <is>
          <t>Bergen</t>
        </is>
      </c>
      <c r="C1100" s="58" t="inlineStr">
        <is>
          <t>Dan Lagala</t>
        </is>
      </c>
      <c r="D1100" s="58" t="inlineStr">
        <is>
          <t>Unmatched</t>
        </is>
      </c>
      <c r="E1100" s="53" t="n">
        <v>30</v>
      </c>
      <c r="F1100" s="53" t="n">
        <v>40</v>
      </c>
      <c r="G1100" s="55" t="n">
        <v>213.5</v>
      </c>
      <c r="H1100" s="55" t="n">
        <v>354.14</v>
      </c>
      <c r="I1100" s="53" t="n">
        <v>0</v>
      </c>
      <c r="J1100" s="53" t="n">
        <v>0</v>
      </c>
      <c r="K1100" s="53" t="n">
        <v>0</v>
      </c>
      <c r="L1100" s="53" t="n">
        <v>0</v>
      </c>
      <c r="M1100" s="33">
        <f>F1100-E1100</f>
        <v/>
      </c>
      <c r="N1100" s="33">
        <f>L1100-K1100</f>
        <v/>
      </c>
    </row>
    <row r="1101">
      <c r="A1101" s="58" t="inlineStr">
        <is>
          <t>46030 Elks Post 2475 (Z)</t>
        </is>
      </c>
      <c r="B1101" s="58" t="inlineStr">
        <is>
          <t>Bergen</t>
        </is>
      </c>
      <c r="C1101" s="58" t="inlineStr">
        <is>
          <t>Dan Lagala</t>
        </is>
      </c>
      <c r="D1101" s="58" t="inlineStr">
        <is>
          <t>On-premise</t>
        </is>
      </c>
      <c r="E1101" s="53" t="n">
        <v>26</v>
      </c>
      <c r="F1101" s="53" t="n">
        <v>10</v>
      </c>
      <c r="G1101" s="55" t="n">
        <v>254.3</v>
      </c>
      <c r="H1101" s="55" t="n">
        <v>87.42</v>
      </c>
      <c r="I1101" s="53" t="n">
        <v>0</v>
      </c>
      <c r="J1101" s="53" t="n">
        <v>0</v>
      </c>
      <c r="K1101" s="53" t="n">
        <v>0</v>
      </c>
      <c r="L1101" s="53" t="n">
        <v>0</v>
      </c>
      <c r="M1101" s="33">
        <f>F1101-E1101</f>
        <v/>
      </c>
      <c r="N1101" s="33">
        <f>L1101-K1101</f>
        <v/>
      </c>
    </row>
    <row r="1102">
      <c r="A1102" s="58" t="inlineStr">
        <is>
          <t>49018 Jumong Restaurant</t>
        </is>
      </c>
      <c r="B1102" s="58" t="inlineStr">
        <is>
          <t>Bergen</t>
        </is>
      </c>
      <c r="C1102" s="58" t="inlineStr">
        <is>
          <t>Dan Lagala</t>
        </is>
      </c>
      <c r="D1102" s="58" t="inlineStr">
        <is>
          <t>On-premise</t>
        </is>
      </c>
      <c r="E1102" s="53" t="n">
        <v>75</v>
      </c>
      <c r="F1102" s="53" t="n">
        <v>80</v>
      </c>
      <c r="G1102" s="55" t="n">
        <v>527.9299999999999</v>
      </c>
      <c r="H1102" s="55" t="n">
        <v>574.78</v>
      </c>
      <c r="I1102" s="53" t="n">
        <v>0</v>
      </c>
      <c r="J1102" s="53" t="n">
        <v>0</v>
      </c>
      <c r="K1102" s="53" t="n">
        <v>0</v>
      </c>
      <c r="L1102" s="53" t="n">
        <v>0</v>
      </c>
      <c r="M1102" s="33">
        <f>F1102-E1102</f>
        <v/>
      </c>
      <c r="N1102" s="33">
        <f>L1102-K1102</f>
        <v/>
      </c>
    </row>
    <row r="1103">
      <c r="A1103" s="58" t="inlineStr">
        <is>
          <t>49029 Obaltan</t>
        </is>
      </c>
      <c r="B1103" s="58" t="inlineStr">
        <is>
          <t>Bergen</t>
        </is>
      </c>
      <c r="C1103" s="58" t="inlineStr">
        <is>
          <t>Dan Lagala</t>
        </is>
      </c>
      <c r="D1103" s="58" t="inlineStr">
        <is>
          <t>On-premise</t>
        </is>
      </c>
      <c r="E1103" s="53" t="n">
        <v>10</v>
      </c>
      <c r="F1103" s="53" t="n">
        <v>9</v>
      </c>
      <c r="G1103" s="55" t="n">
        <v>70.39</v>
      </c>
      <c r="H1103" s="55" t="n">
        <v>62.81</v>
      </c>
      <c r="I1103" s="53" t="n">
        <v>0</v>
      </c>
      <c r="J1103" s="53" t="n">
        <v>0</v>
      </c>
      <c r="K1103" s="53" t="n">
        <v>0</v>
      </c>
      <c r="L1103" s="53" t="n">
        <v>0</v>
      </c>
      <c r="M1103" s="33">
        <f>F1103-E1103</f>
        <v/>
      </c>
      <c r="N1103" s="33">
        <f>L1103-K1103</f>
        <v/>
      </c>
    </row>
    <row r="1104">
      <c r="A1104" s="58" t="inlineStr">
        <is>
          <t>49057 Gammeeok</t>
        </is>
      </c>
      <c r="B1104" s="58" t="inlineStr">
        <is>
          <t>Bergen</t>
        </is>
      </c>
      <c r="C1104" s="58" t="inlineStr">
        <is>
          <t>Dan Lagala</t>
        </is>
      </c>
      <c r="D1104" s="58" t="inlineStr">
        <is>
          <t>On-premise</t>
        </is>
      </c>
      <c r="E1104" s="53" t="n">
        <v>10</v>
      </c>
      <c r="F1104" s="53" t="n">
        <v>30</v>
      </c>
      <c r="G1104" s="55" t="n">
        <v>81.43000000000001</v>
      </c>
      <c r="H1104" s="55" t="n">
        <v>274.71</v>
      </c>
      <c r="I1104" s="53" t="n">
        <v>0</v>
      </c>
      <c r="J1104" s="53" t="n">
        <v>0</v>
      </c>
      <c r="K1104" s="53" t="n">
        <v>0</v>
      </c>
      <c r="L1104" s="53" t="n">
        <v>0</v>
      </c>
      <c r="M1104" s="33">
        <f>F1104-E1104</f>
        <v/>
      </c>
      <c r="N1104" s="33">
        <f>L1104-K1104</f>
        <v/>
      </c>
    </row>
    <row r="1105">
      <c r="A1105" s="58" t="inlineStr">
        <is>
          <t>53003 Bada Story</t>
        </is>
      </c>
      <c r="B1105" s="58" t="inlineStr">
        <is>
          <t>Bergen</t>
        </is>
      </c>
      <c r="C1105" s="58" t="inlineStr">
        <is>
          <t>Dan Lagala</t>
        </is>
      </c>
      <c r="D1105" s="58" t="inlineStr">
        <is>
          <t>Unmatched</t>
        </is>
      </c>
      <c r="E1105" s="53" t="n">
        <v>21</v>
      </c>
      <c r="F1105" s="53" t="n">
        <v>0</v>
      </c>
      <c r="G1105" s="55" t="n">
        <v>197.73</v>
      </c>
      <c r="H1105" s="55" t="n">
        <v>0</v>
      </c>
      <c r="I1105" s="53" t="n">
        <v>0</v>
      </c>
      <c r="J1105" s="53" t="n">
        <v>0</v>
      </c>
      <c r="K1105" s="53" t="n">
        <v>0</v>
      </c>
      <c r="L1105" s="53" t="n">
        <v>0</v>
      </c>
      <c r="M1105" s="33">
        <f>F1105-E1105</f>
        <v/>
      </c>
      <c r="N1105" s="33">
        <f>L1105-K1105</f>
        <v/>
      </c>
    </row>
    <row r="1106">
      <c r="A1106" s="58" t="inlineStr">
        <is>
          <t>43032 El Caporal Mexican Food</t>
        </is>
      </c>
      <c r="B1106" s="58" t="inlineStr">
        <is>
          <t>Bergen</t>
        </is>
      </c>
      <c r="C1106" s="58" t="inlineStr">
        <is>
          <t>Dan Lagala</t>
        </is>
      </c>
      <c r="D1106" s="58" t="inlineStr">
        <is>
          <t>On-premise</t>
        </is>
      </c>
      <c r="E1106" s="53" t="n">
        <v>0</v>
      </c>
      <c r="F1106" s="53" t="n">
        <v>134</v>
      </c>
      <c r="G1106" s="55" t="n">
        <v>0</v>
      </c>
      <c r="H1106" s="55" t="n">
        <v>1019.98</v>
      </c>
      <c r="I1106" s="53" t="n">
        <v>0</v>
      </c>
      <c r="J1106" s="53" t="n">
        <v>0</v>
      </c>
      <c r="K1106" s="53" t="n">
        <v>0</v>
      </c>
      <c r="L1106" s="53" t="n">
        <v>0</v>
      </c>
      <c r="M1106" s="33">
        <f>F1106-E1106</f>
        <v/>
      </c>
      <c r="N1106" s="33">
        <f>L1106-K1106</f>
        <v/>
      </c>
    </row>
    <row r="1107">
      <c r="A1107" s="58" t="inlineStr">
        <is>
          <t>52029 Santa Barbara</t>
        </is>
      </c>
      <c r="B1107" s="58" t="inlineStr">
        <is>
          <t>Bergen</t>
        </is>
      </c>
      <c r="C1107" s="58" t="inlineStr">
        <is>
          <t>Dave Ehlers</t>
        </is>
      </c>
      <c r="D1107" s="58" t="inlineStr">
        <is>
          <t>Off-premise</t>
        </is>
      </c>
      <c r="E1107" s="53" t="n">
        <v>225</v>
      </c>
      <c r="F1107" s="53" t="n">
        <v>225</v>
      </c>
      <c r="G1107" s="55" t="n">
        <v>1821.85</v>
      </c>
      <c r="H1107" s="55" t="n">
        <v>1878.65</v>
      </c>
      <c r="I1107" s="53" t="n">
        <v>20</v>
      </c>
      <c r="J1107" s="53" t="n">
        <v>29</v>
      </c>
      <c r="K1107" s="53" t="n">
        <v>0</v>
      </c>
      <c r="L1107" s="53" t="n">
        <v>0</v>
      </c>
      <c r="M1107" s="33">
        <f>F1107-E1107</f>
        <v/>
      </c>
      <c r="N1107" s="33">
        <f>L1107-K1107</f>
        <v/>
      </c>
    </row>
    <row r="1108">
      <c r="A1108" s="58" t="inlineStr">
        <is>
          <t>52011 Englewood Wine (A)</t>
        </is>
      </c>
      <c r="B1108" s="58" t="inlineStr">
        <is>
          <t>Bergen</t>
        </is>
      </c>
      <c r="C1108" s="58" t="inlineStr">
        <is>
          <t>Dave Ehlers</t>
        </is>
      </c>
      <c r="D1108" s="58" t="inlineStr">
        <is>
          <t>Off-premise</t>
        </is>
      </c>
      <c r="E1108" s="53" t="n">
        <v>0</v>
      </c>
      <c r="F1108" s="53" t="n">
        <v>2</v>
      </c>
      <c r="G1108" s="55" t="n">
        <v>0</v>
      </c>
      <c r="H1108" s="55" t="n">
        <v>19.74</v>
      </c>
      <c r="I1108" s="53" t="n">
        <v>0</v>
      </c>
      <c r="J1108" s="53" t="n">
        <v>8</v>
      </c>
      <c r="K1108" s="53" t="n">
        <v>0</v>
      </c>
      <c r="L1108" s="53" t="n">
        <v>0</v>
      </c>
      <c r="M1108" s="33">
        <f>F1108-E1108</f>
        <v/>
      </c>
      <c r="N1108" s="33">
        <f>L1108-K1108</f>
        <v/>
      </c>
    </row>
    <row r="1109">
      <c r="A1109" s="58" t="inlineStr">
        <is>
          <t>27027 Shamrock B&amp;G (P)</t>
        </is>
      </c>
      <c r="B1109" s="58" t="inlineStr">
        <is>
          <t>Passaic</t>
        </is>
      </c>
      <c r="C1109" s="58" t="inlineStr">
        <is>
          <t>Derrick Laws</t>
        </is>
      </c>
      <c r="D1109" s="58" t="inlineStr">
        <is>
          <t>On-premise</t>
        </is>
      </c>
      <c r="E1109" s="53" t="n">
        <v>80</v>
      </c>
      <c r="F1109" s="53" t="n">
        <v>91</v>
      </c>
      <c r="G1109" s="55" t="n">
        <v>632.47</v>
      </c>
      <c r="H1109" s="55" t="n">
        <v>833.38</v>
      </c>
      <c r="I1109" s="53" t="n">
        <v>124</v>
      </c>
      <c r="J1109" s="53" t="n">
        <v>117</v>
      </c>
      <c r="K1109" s="53" t="n">
        <v>0</v>
      </c>
      <c r="L1109" s="53" t="n">
        <v>0</v>
      </c>
      <c r="M1109" s="33">
        <f>F1109-E1109</f>
        <v/>
      </c>
      <c r="N1109" s="33">
        <f>L1109-K1109</f>
        <v/>
      </c>
    </row>
    <row r="1110">
      <c r="A1110" s="58" t="inlineStr">
        <is>
          <t>20125 El Escondite Bar and Restaurant</t>
        </is>
      </c>
      <c r="B1110" s="58" t="inlineStr">
        <is>
          <t>Passaic</t>
        </is>
      </c>
      <c r="C1110" s="58" t="inlineStr">
        <is>
          <t>Derrick Laws</t>
        </is>
      </c>
      <c r="D1110" s="58" t="inlineStr">
        <is>
          <t>Unmatched</t>
        </is>
      </c>
      <c r="E1110" s="53" t="n">
        <v>0</v>
      </c>
      <c r="F1110" s="53" t="n">
        <v>525</v>
      </c>
      <c r="G1110" s="55" t="n">
        <v>0</v>
      </c>
      <c r="H1110" s="55" t="n">
        <v>4673.84</v>
      </c>
      <c r="I1110" s="53" t="n">
        <v>0</v>
      </c>
      <c r="J1110" s="53" t="n">
        <v>-10</v>
      </c>
      <c r="K1110" s="53" t="n">
        <v>0</v>
      </c>
      <c r="L1110" s="53" t="n">
        <v>0</v>
      </c>
      <c r="M1110" s="33">
        <f>F1110-E1110</f>
        <v/>
      </c>
      <c r="N1110" s="33">
        <f>L1110-K1110</f>
        <v/>
      </c>
    </row>
    <row r="1111">
      <c r="A1111" s="58" t="inlineStr">
        <is>
          <t>20075 Griselda Rest.(A)</t>
        </is>
      </c>
      <c r="B1111" s="58" t="inlineStr">
        <is>
          <t>Passaic</t>
        </is>
      </c>
      <c r="C1111" s="58" t="inlineStr">
        <is>
          <t>Derrick Laws</t>
        </is>
      </c>
      <c r="D1111" s="58" t="inlineStr">
        <is>
          <t>On-premise</t>
        </is>
      </c>
      <c r="E1111" s="53" t="n">
        <v>0</v>
      </c>
      <c r="F1111" s="53" t="n">
        <v>45</v>
      </c>
      <c r="G1111" s="55" t="n">
        <v>0</v>
      </c>
      <c r="H1111" s="55" t="n">
        <v>486.75</v>
      </c>
      <c r="I1111" s="53" t="n">
        <v>0</v>
      </c>
      <c r="J1111" s="53" t="n">
        <v>10</v>
      </c>
      <c r="K1111" s="53" t="n">
        <v>0</v>
      </c>
      <c r="L1111" s="53" t="n">
        <v>0</v>
      </c>
      <c r="M1111" s="33">
        <f>F1111-E1111</f>
        <v/>
      </c>
      <c r="N1111" s="33">
        <f>L1111-K1111</f>
        <v/>
      </c>
    </row>
    <row r="1112">
      <c r="A1112" s="58" t="inlineStr">
        <is>
          <t>170015 Twin City Liquors (A)</t>
        </is>
      </c>
      <c r="B1112" s="58" t="inlineStr">
        <is>
          <t>Hudson</t>
        </is>
      </c>
      <c r="C1112" s="58" t="inlineStr">
        <is>
          <t>Dylan Rubino</t>
        </is>
      </c>
      <c r="D1112" s="58" t="inlineStr">
        <is>
          <t>Off-premise</t>
        </is>
      </c>
      <c r="E1112" s="53" t="n">
        <v>19</v>
      </c>
      <c r="F1112" s="53" t="n">
        <v>19</v>
      </c>
      <c r="G1112" s="55" t="n">
        <v>143.09</v>
      </c>
      <c r="H1112" s="55" t="n">
        <v>143.1</v>
      </c>
      <c r="I1112" s="53" t="n">
        <v>128</v>
      </c>
      <c r="J1112" s="53" t="n">
        <v>85</v>
      </c>
      <c r="K1112" s="53" t="n">
        <v>19</v>
      </c>
      <c r="L1112" s="53" t="n">
        <v>19</v>
      </c>
      <c r="M1112" s="33">
        <f>F1112-E1112</f>
        <v/>
      </c>
      <c r="N1112" s="33">
        <f>L1112-K1112</f>
        <v/>
      </c>
    </row>
    <row r="1113">
      <c r="A1113" s="58" t="inlineStr">
        <is>
          <t>170039 Downtown Liquor</t>
        </is>
      </c>
      <c r="B1113" s="58" t="inlineStr">
        <is>
          <t>Hudson</t>
        </is>
      </c>
      <c r="C1113" s="58" t="inlineStr">
        <is>
          <t>Dylan Rubino</t>
        </is>
      </c>
      <c r="D1113" s="58" t="inlineStr">
        <is>
          <t>Off-premise</t>
        </is>
      </c>
      <c r="E1113" s="53" t="n">
        <v>23</v>
      </c>
      <c r="F1113" s="53" t="n">
        <v>23</v>
      </c>
      <c r="G1113" s="55" t="n">
        <v>178.81</v>
      </c>
      <c r="H1113" s="55" t="n">
        <v>178.81</v>
      </c>
      <c r="I1113" s="53" t="n">
        <v>0</v>
      </c>
      <c r="J1113" s="53" t="n">
        <v>0</v>
      </c>
      <c r="K1113" s="53" t="n">
        <v>23</v>
      </c>
      <c r="L1113" s="53" t="n">
        <v>23</v>
      </c>
      <c r="M1113" s="33">
        <f>F1113-E1113</f>
        <v/>
      </c>
      <c r="N1113" s="33">
        <f>L1113-K1113</f>
        <v/>
      </c>
    </row>
    <row r="1114">
      <c r="A1114" s="58" t="inlineStr">
        <is>
          <t>170062 Sparrow Hill Market &amp;Liq (Jersey City)</t>
        </is>
      </c>
      <c r="B1114" s="58" t="inlineStr">
        <is>
          <t>Hudson</t>
        </is>
      </c>
      <c r="C1114" s="58" t="inlineStr">
        <is>
          <t>Dylan Rubino</t>
        </is>
      </c>
      <c r="D1114" s="58" t="inlineStr">
        <is>
          <t>Off-premise</t>
        </is>
      </c>
      <c r="E1114" s="53" t="n">
        <v>19</v>
      </c>
      <c r="F1114" s="53" t="n">
        <v>19</v>
      </c>
      <c r="G1114" s="55" t="n">
        <v>141.21</v>
      </c>
      <c r="H1114" s="55" t="n">
        <v>141.22</v>
      </c>
      <c r="I1114" s="53" t="n">
        <v>56</v>
      </c>
      <c r="J1114" s="53" t="n">
        <v>22</v>
      </c>
      <c r="K1114" s="53" t="n">
        <v>19</v>
      </c>
      <c r="L1114" s="53" t="n">
        <v>19</v>
      </c>
      <c r="M1114" s="33">
        <f>F1114-E1114</f>
        <v/>
      </c>
      <c r="N1114" s="33">
        <f>L1114-K1114</f>
        <v/>
      </c>
    </row>
    <row r="1115">
      <c r="A1115" s="58" t="inlineStr">
        <is>
          <t>170072 Jersey Farm &amp; Liquors</t>
        </is>
      </c>
      <c r="B1115" s="58" t="inlineStr">
        <is>
          <t>Hudson</t>
        </is>
      </c>
      <c r="C1115" s="58" t="inlineStr">
        <is>
          <t>Dylan Rubino</t>
        </is>
      </c>
      <c r="D1115" s="58" t="inlineStr">
        <is>
          <t>Off-premise</t>
        </is>
      </c>
      <c r="E1115" s="53" t="n">
        <v>73</v>
      </c>
      <c r="F1115" s="53" t="n">
        <v>73</v>
      </c>
      <c r="G1115" s="55" t="n">
        <v>475.91</v>
      </c>
      <c r="H1115" s="55" t="n">
        <v>484.58</v>
      </c>
      <c r="I1115" s="53" t="n">
        <v>41</v>
      </c>
      <c r="J1115" s="53" t="n">
        <v>33</v>
      </c>
      <c r="K1115" s="53" t="n">
        <v>73</v>
      </c>
      <c r="L1115" s="53" t="n">
        <v>73</v>
      </c>
      <c r="M1115" s="33">
        <f>F1115-E1115</f>
        <v/>
      </c>
      <c r="N1115" s="33">
        <f>L1115-K1115</f>
        <v/>
      </c>
    </row>
    <row r="1116">
      <c r="A1116" s="58" t="inlineStr">
        <is>
          <t>170073 Kings Liquor</t>
        </is>
      </c>
      <c r="B1116" s="58" t="inlineStr">
        <is>
          <t>Hudson</t>
        </is>
      </c>
      <c r="C1116" s="58" t="inlineStr">
        <is>
          <t>Dylan Rubino</t>
        </is>
      </c>
      <c r="D1116" s="58" t="inlineStr">
        <is>
          <t>Off-premise</t>
        </is>
      </c>
      <c r="E1116" s="53" t="n">
        <v>9</v>
      </c>
      <c r="F1116" s="53" t="n">
        <v>9</v>
      </c>
      <c r="G1116" s="55" t="n">
        <v>71.53</v>
      </c>
      <c r="H1116" s="55" t="n">
        <v>71.53</v>
      </c>
      <c r="I1116" s="53" t="n">
        <v>33</v>
      </c>
      <c r="J1116" s="53" t="n">
        <v>3</v>
      </c>
      <c r="K1116" s="53" t="n">
        <v>9</v>
      </c>
      <c r="L1116" s="53" t="n">
        <v>9</v>
      </c>
      <c r="M1116" s="33">
        <f>F1116-E1116</f>
        <v/>
      </c>
      <c r="N1116" s="33">
        <f>L1116-K1116</f>
        <v/>
      </c>
    </row>
    <row r="1117">
      <c r="A1117" s="58" t="inlineStr">
        <is>
          <t>170074 Webster Liquors</t>
        </is>
      </c>
      <c r="B1117" s="58" t="inlineStr">
        <is>
          <t>Hudson</t>
        </is>
      </c>
      <c r="C1117" s="58" t="inlineStr">
        <is>
          <t>Dylan Rubino</t>
        </is>
      </c>
      <c r="D1117" s="58" t="inlineStr">
        <is>
          <t>Off-premise</t>
        </is>
      </c>
      <c r="E1117" s="53" t="n">
        <v>10</v>
      </c>
      <c r="F1117" s="53" t="n">
        <v>10</v>
      </c>
      <c r="G1117" s="55" t="n">
        <v>89.2</v>
      </c>
      <c r="H1117" s="55" t="n">
        <v>70.13</v>
      </c>
      <c r="I1117" s="53" t="n">
        <v>36</v>
      </c>
      <c r="J1117" s="53" t="n">
        <v>9</v>
      </c>
      <c r="K1117" s="53" t="n">
        <v>10</v>
      </c>
      <c r="L1117" s="53" t="n">
        <v>10</v>
      </c>
      <c r="M1117" s="33">
        <f>F1117-E1117</f>
        <v/>
      </c>
      <c r="N1117" s="33">
        <f>L1117-K1117</f>
        <v/>
      </c>
    </row>
    <row r="1118">
      <c r="A1118" s="58" t="inlineStr">
        <is>
          <t>170094 Palace Drugs (P)</t>
        </is>
      </c>
      <c r="B1118" s="58" t="inlineStr">
        <is>
          <t>Hudson</t>
        </is>
      </c>
      <c r="C1118" s="58" t="inlineStr">
        <is>
          <t>Dylan Rubino</t>
        </is>
      </c>
      <c r="D1118" s="58" t="inlineStr">
        <is>
          <t>Off-premise</t>
        </is>
      </c>
      <c r="E1118" s="53" t="n">
        <v>34</v>
      </c>
      <c r="F1118" s="53" t="n">
        <v>34</v>
      </c>
      <c r="G1118" s="55" t="n">
        <v>207.03</v>
      </c>
      <c r="H1118" s="55" t="n">
        <v>207.03</v>
      </c>
      <c r="I1118" s="53" t="n">
        <v>73</v>
      </c>
      <c r="J1118" s="53" t="n">
        <v>85</v>
      </c>
      <c r="K1118" s="53" t="n">
        <v>34</v>
      </c>
      <c r="L1118" s="53" t="n">
        <v>34</v>
      </c>
      <c r="M1118" s="33">
        <f>F1118-E1118</f>
        <v/>
      </c>
      <c r="N1118" s="33">
        <f>L1118-K1118</f>
        <v/>
      </c>
    </row>
    <row r="1119">
      <c r="A1119" s="58" t="inlineStr">
        <is>
          <t>170096 Union City Liquors</t>
        </is>
      </c>
      <c r="B1119" s="58" t="inlineStr">
        <is>
          <t>Hudson</t>
        </is>
      </c>
      <c r="C1119" s="58" t="inlineStr">
        <is>
          <t>Dylan Rubino</t>
        </is>
      </c>
      <c r="D1119" s="58" t="inlineStr">
        <is>
          <t>Off-premise</t>
        </is>
      </c>
      <c r="E1119" s="53" t="n">
        <v>18</v>
      </c>
      <c r="F1119" s="53" t="n">
        <v>18</v>
      </c>
      <c r="G1119" s="55" t="n">
        <v>143.05</v>
      </c>
      <c r="H1119" s="55" t="n">
        <v>143.05</v>
      </c>
      <c r="I1119" s="53" t="n">
        <v>53</v>
      </c>
      <c r="J1119" s="53" t="n">
        <v>54</v>
      </c>
      <c r="K1119" s="53" t="n">
        <v>18</v>
      </c>
      <c r="L1119" s="53" t="n">
        <v>18</v>
      </c>
      <c r="M1119" s="33">
        <f>F1119-E1119</f>
        <v/>
      </c>
      <c r="N1119" s="33">
        <f>L1119-K1119</f>
        <v/>
      </c>
    </row>
    <row r="1120">
      <c r="A1120" s="58" t="inlineStr">
        <is>
          <t>170102 L&amp;T Liquors</t>
        </is>
      </c>
      <c r="B1120" s="58" t="inlineStr">
        <is>
          <t>Hudson</t>
        </is>
      </c>
      <c r="C1120" s="58" t="inlineStr">
        <is>
          <t>Dylan Rubino</t>
        </is>
      </c>
      <c r="D1120" s="58" t="inlineStr">
        <is>
          <t>Off-premise</t>
        </is>
      </c>
      <c r="E1120" s="53" t="n">
        <v>9</v>
      </c>
      <c r="F1120" s="53" t="n">
        <v>9</v>
      </c>
      <c r="G1120" s="55" t="n">
        <v>71.53</v>
      </c>
      <c r="H1120" s="55" t="n">
        <v>71.53</v>
      </c>
      <c r="I1120" s="53" t="n">
        <v>23</v>
      </c>
      <c r="J1120" s="53" t="n">
        <v>22</v>
      </c>
      <c r="K1120" s="53" t="n">
        <v>9</v>
      </c>
      <c r="L1120" s="53" t="n">
        <v>9</v>
      </c>
      <c r="M1120" s="33">
        <f>F1120-E1120</f>
        <v/>
      </c>
      <c r="N1120" s="33">
        <f>L1120-K1120</f>
        <v/>
      </c>
    </row>
    <row r="1121">
      <c r="A1121" s="58" t="inlineStr">
        <is>
          <t>170103 Heaven's Liquor &amp; Deli</t>
        </is>
      </c>
      <c r="B1121" s="58" t="inlineStr">
        <is>
          <t>Hudson</t>
        </is>
      </c>
      <c r="C1121" s="58" t="inlineStr">
        <is>
          <t>Dylan Rubino</t>
        </is>
      </c>
      <c r="D1121" s="58" t="inlineStr">
        <is>
          <t>Off-premise</t>
        </is>
      </c>
      <c r="E1121" s="53" t="n">
        <v>18</v>
      </c>
      <c r="F1121" s="53" t="n">
        <v>18</v>
      </c>
      <c r="G1121" s="55" t="n">
        <v>143.05</v>
      </c>
      <c r="H1121" s="55" t="n">
        <v>143.05</v>
      </c>
      <c r="I1121" s="53" t="n">
        <v>83</v>
      </c>
      <c r="J1121" s="53" t="n">
        <v>93</v>
      </c>
      <c r="K1121" s="53" t="n">
        <v>18</v>
      </c>
      <c r="L1121" s="53" t="n">
        <v>18</v>
      </c>
      <c r="M1121" s="33">
        <f>F1121-E1121</f>
        <v/>
      </c>
      <c r="N1121" s="33">
        <f>L1121-K1121</f>
        <v/>
      </c>
    </row>
    <row r="1122">
      <c r="A1122" s="58" t="inlineStr">
        <is>
          <t>170190 Belmont Wine &amp; Liquors</t>
        </is>
      </c>
      <c r="B1122" s="58" t="inlineStr">
        <is>
          <t>Hudson</t>
        </is>
      </c>
      <c r="C1122" s="58" t="inlineStr">
        <is>
          <t>Dylan Rubino</t>
        </is>
      </c>
      <c r="D1122" s="58" t="inlineStr">
        <is>
          <t>Off-premise</t>
        </is>
      </c>
      <c r="E1122" s="53" t="n">
        <v>18</v>
      </c>
      <c r="F1122" s="53" t="n">
        <v>18</v>
      </c>
      <c r="G1122" s="55" t="n">
        <v>143.05</v>
      </c>
      <c r="H1122" s="55" t="n">
        <v>143.05</v>
      </c>
      <c r="I1122" s="53" t="n">
        <v>179</v>
      </c>
      <c r="J1122" s="53" t="n">
        <v>159</v>
      </c>
      <c r="K1122" s="53" t="n">
        <v>18</v>
      </c>
      <c r="L1122" s="53" t="n">
        <v>18</v>
      </c>
      <c r="M1122" s="33">
        <f>F1122-E1122</f>
        <v/>
      </c>
      <c r="N1122" s="33">
        <f>L1122-K1122</f>
        <v/>
      </c>
    </row>
    <row r="1123">
      <c r="A1123" s="58" t="inlineStr">
        <is>
          <t>170211 Pavan Liquors (P)</t>
        </is>
      </c>
      <c r="B1123" s="58" t="inlineStr">
        <is>
          <t>Hudson</t>
        </is>
      </c>
      <c r="C1123" s="58" t="inlineStr">
        <is>
          <t>Dylan Rubino</t>
        </is>
      </c>
      <c r="D1123" s="58" t="inlineStr">
        <is>
          <t>Off-premise</t>
        </is>
      </c>
      <c r="E1123" s="53" t="n">
        <v>24</v>
      </c>
      <c r="F1123" s="53" t="n">
        <v>24</v>
      </c>
      <c r="G1123" s="55" t="n">
        <v>158.05</v>
      </c>
      <c r="H1123" s="55" t="n">
        <v>154.58</v>
      </c>
      <c r="I1123" s="53" t="n">
        <v>144</v>
      </c>
      <c r="J1123" s="53" t="n">
        <v>43</v>
      </c>
      <c r="K1123" s="53" t="n">
        <v>24</v>
      </c>
      <c r="L1123" s="53" t="n">
        <v>24</v>
      </c>
      <c r="M1123" s="33">
        <f>F1123-E1123</f>
        <v/>
      </c>
      <c r="N1123" s="33">
        <f>L1123-K1123</f>
        <v/>
      </c>
    </row>
    <row r="1124">
      <c r="A1124" s="58" t="inlineStr">
        <is>
          <t>170250 American Liquor</t>
        </is>
      </c>
      <c r="B1124" s="58" t="inlineStr">
        <is>
          <t>Hudson</t>
        </is>
      </c>
      <c r="C1124" s="58" t="inlineStr">
        <is>
          <t>Dylan Rubino</t>
        </is>
      </c>
      <c r="D1124" s="58" t="inlineStr">
        <is>
          <t>Off-premise</t>
        </is>
      </c>
      <c r="E1124" s="53" t="n">
        <v>10</v>
      </c>
      <c r="F1124" s="53" t="n">
        <v>10</v>
      </c>
      <c r="G1124" s="55" t="n">
        <v>69.2</v>
      </c>
      <c r="H1124" s="55" t="n">
        <v>69.2</v>
      </c>
      <c r="I1124" s="53" t="n">
        <v>30</v>
      </c>
      <c r="J1124" s="53" t="n">
        <v>69</v>
      </c>
      <c r="K1124" s="53" t="n">
        <v>10</v>
      </c>
      <c r="L1124" s="53" t="n">
        <v>10</v>
      </c>
      <c r="M1124" s="33">
        <f>F1124-E1124</f>
        <v/>
      </c>
      <c r="N1124" s="33">
        <f>L1124-K1124</f>
        <v/>
      </c>
    </row>
    <row r="1125">
      <c r="A1125" s="58" t="inlineStr">
        <is>
          <t>172050 Bar Sagua</t>
        </is>
      </c>
      <c r="B1125" s="58" t="inlineStr">
        <is>
          <t>Hudson</t>
        </is>
      </c>
      <c r="C1125" s="58" t="inlineStr">
        <is>
          <t>Dylan Rubino</t>
        </is>
      </c>
      <c r="D1125" s="58" t="inlineStr">
        <is>
          <t>On-premise</t>
        </is>
      </c>
      <c r="E1125" s="53" t="n">
        <v>9</v>
      </c>
      <c r="F1125" s="53" t="n">
        <v>9</v>
      </c>
      <c r="G1125" s="55" t="n">
        <v>71.53</v>
      </c>
      <c r="H1125" s="55" t="n">
        <v>71.53</v>
      </c>
      <c r="I1125" s="53" t="n">
        <v>15</v>
      </c>
      <c r="J1125" s="53" t="n">
        <v>37</v>
      </c>
      <c r="K1125" s="53" t="n">
        <v>9</v>
      </c>
      <c r="L1125" s="53" t="n">
        <v>9</v>
      </c>
      <c r="M1125" s="33">
        <f>F1125-E1125</f>
        <v/>
      </c>
      <c r="N1125" s="33">
        <f>L1125-K1125</f>
        <v/>
      </c>
    </row>
    <row r="1126">
      <c r="A1126" s="58" t="inlineStr">
        <is>
          <t>173077 Podewitz Liquor &amp; Deli</t>
        </is>
      </c>
      <c r="B1126" s="58" t="inlineStr">
        <is>
          <t>Hudson</t>
        </is>
      </c>
      <c r="C1126" s="58" t="inlineStr">
        <is>
          <t>Dylan Rubino</t>
        </is>
      </c>
      <c r="D1126" s="58" t="inlineStr">
        <is>
          <t>Off-premise</t>
        </is>
      </c>
      <c r="E1126" s="53" t="n">
        <v>10</v>
      </c>
      <c r="F1126" s="53" t="n">
        <v>10</v>
      </c>
      <c r="G1126" s="55" t="n">
        <v>78.7</v>
      </c>
      <c r="H1126" s="55" t="n">
        <v>71.56</v>
      </c>
      <c r="I1126" s="53" t="n">
        <v>15</v>
      </c>
      <c r="J1126" s="53" t="n">
        <v>11</v>
      </c>
      <c r="K1126" s="53" t="n">
        <v>10</v>
      </c>
      <c r="L1126" s="53" t="n">
        <v>10</v>
      </c>
      <c r="M1126" s="33">
        <f>F1126-E1126</f>
        <v/>
      </c>
      <c r="N1126" s="33">
        <f>L1126-K1126</f>
        <v/>
      </c>
    </row>
    <row r="1127">
      <c r="A1127" s="58" t="inlineStr">
        <is>
          <t>178013 Hudson Blue</t>
        </is>
      </c>
      <c r="B1127" s="58" t="inlineStr">
        <is>
          <t>Hudson</t>
        </is>
      </c>
      <c r="C1127" s="58" t="inlineStr">
        <is>
          <t>Dylan Rubino</t>
        </is>
      </c>
      <c r="D1127" s="58" t="inlineStr">
        <is>
          <t>On-premise</t>
        </is>
      </c>
      <c r="E1127" s="53" t="n">
        <v>10</v>
      </c>
      <c r="F1127" s="53" t="n">
        <v>10</v>
      </c>
      <c r="G1127" s="55" t="n">
        <v>79.09999999999999</v>
      </c>
      <c r="H1127" s="55" t="n">
        <v>71.59999999999999</v>
      </c>
      <c r="I1127" s="53" t="n">
        <v>0</v>
      </c>
      <c r="J1127" s="53" t="n">
        <v>0</v>
      </c>
      <c r="K1127" s="53" t="n">
        <v>10</v>
      </c>
      <c r="L1127" s="53" t="n">
        <v>10</v>
      </c>
      <c r="M1127" s="33">
        <f>F1127-E1127</f>
        <v/>
      </c>
      <c r="N1127" s="33">
        <f>L1127-K1127</f>
        <v/>
      </c>
    </row>
    <row r="1128">
      <c r="A1128" s="58" t="inlineStr">
        <is>
          <t>178100 Broadway Wine &amp; Liquor</t>
        </is>
      </c>
      <c r="B1128" s="58" t="inlineStr">
        <is>
          <t>Hudson</t>
        </is>
      </c>
      <c r="C1128" s="58" t="inlineStr">
        <is>
          <t>Dylan Rubino</t>
        </is>
      </c>
      <c r="D1128" s="58" t="inlineStr">
        <is>
          <t>Off-premise</t>
        </is>
      </c>
      <c r="E1128" s="53" t="n">
        <v>18</v>
      </c>
      <c r="F1128" s="53" t="n">
        <v>18</v>
      </c>
      <c r="G1128" s="55" t="n">
        <v>143.05</v>
      </c>
      <c r="H1128" s="55" t="n">
        <v>143.05</v>
      </c>
      <c r="I1128" s="53" t="n">
        <v>10</v>
      </c>
      <c r="J1128" s="53" t="n">
        <v>12</v>
      </c>
      <c r="K1128" s="53" t="n">
        <v>18</v>
      </c>
      <c r="L1128" s="53" t="n">
        <v>18</v>
      </c>
      <c r="M1128" s="33">
        <f>F1128-E1128</f>
        <v/>
      </c>
      <c r="N1128" s="33">
        <f>L1128-K1128</f>
        <v/>
      </c>
    </row>
    <row r="1129">
      <c r="A1129" s="58" t="inlineStr">
        <is>
          <t>178101 Sals Deli</t>
        </is>
      </c>
      <c r="B1129" s="58" t="inlineStr">
        <is>
          <t>Hudson</t>
        </is>
      </c>
      <c r="C1129" s="58" t="inlineStr">
        <is>
          <t>Dylan Rubino</t>
        </is>
      </c>
      <c r="D1129" s="58" t="inlineStr">
        <is>
          <t>Off-premise</t>
        </is>
      </c>
      <c r="E1129" s="53" t="n">
        <v>18</v>
      </c>
      <c r="F1129" s="53" t="n">
        <v>18</v>
      </c>
      <c r="G1129" s="55" t="n">
        <v>143.05</v>
      </c>
      <c r="H1129" s="55" t="n">
        <v>143.05</v>
      </c>
      <c r="I1129" s="53" t="n">
        <v>139</v>
      </c>
      <c r="J1129" s="53" t="n">
        <v>78</v>
      </c>
      <c r="K1129" s="53" t="n">
        <v>18</v>
      </c>
      <c r="L1129" s="53" t="n">
        <v>18</v>
      </c>
      <c r="M1129" s="33">
        <f>F1129-E1129</f>
        <v/>
      </c>
      <c r="N1129" s="33">
        <f>L1129-K1129</f>
        <v/>
      </c>
    </row>
    <row r="1130">
      <c r="A1130" s="58" t="inlineStr">
        <is>
          <t>150173 Bloomfield Buyrite</t>
        </is>
      </c>
      <c r="B1130" s="58" t="inlineStr">
        <is>
          <t>Essex</t>
        </is>
      </c>
      <c r="C1130" s="58" t="inlineStr">
        <is>
          <t>Hakan Sadik</t>
        </is>
      </c>
      <c r="D1130" s="58" t="inlineStr">
        <is>
          <t>Off-premise</t>
        </is>
      </c>
      <c r="E1130" s="53" t="n">
        <v>25</v>
      </c>
      <c r="F1130" s="53" t="n">
        <v>25</v>
      </c>
      <c r="G1130" s="55" t="n">
        <v>158.08</v>
      </c>
      <c r="H1130" s="55" t="n">
        <v>149.4</v>
      </c>
      <c r="I1130" s="53" t="n">
        <v>433</v>
      </c>
      <c r="J1130" s="53" t="n">
        <v>414</v>
      </c>
      <c r="K1130" s="53" t="n">
        <v>25</v>
      </c>
      <c r="L1130" s="53" t="n">
        <v>25</v>
      </c>
      <c r="M1130" s="33">
        <f>F1130-E1130</f>
        <v/>
      </c>
      <c r="N1130" s="33">
        <f>L1130-K1130</f>
        <v/>
      </c>
    </row>
    <row r="1131">
      <c r="A1131" s="58" t="inlineStr">
        <is>
          <t>150214 Three Corners Liquor/Bar</t>
        </is>
      </c>
      <c r="B1131" s="58" t="inlineStr">
        <is>
          <t>Essex</t>
        </is>
      </c>
      <c r="C1131" s="58" t="inlineStr">
        <is>
          <t>Hakan Sadik</t>
        </is>
      </c>
      <c r="D1131" s="58" t="inlineStr">
        <is>
          <t>Off-premise</t>
        </is>
      </c>
      <c r="E1131" s="53" t="n">
        <v>5</v>
      </c>
      <c r="F1131" s="53" t="n">
        <v>5</v>
      </c>
      <c r="G1131" s="55" t="n">
        <v>42.01</v>
      </c>
      <c r="H1131" s="55" t="n">
        <v>42.01</v>
      </c>
      <c r="I1131" s="53" t="n">
        <v>239</v>
      </c>
      <c r="J1131" s="53" t="n">
        <v>191</v>
      </c>
      <c r="K1131" s="53" t="n">
        <v>5</v>
      </c>
      <c r="L1131" s="53" t="n">
        <v>5</v>
      </c>
      <c r="M1131" s="33">
        <f>F1131-E1131</f>
        <v/>
      </c>
      <c r="N1131" s="33">
        <f>L1131-K1131</f>
        <v/>
      </c>
    </row>
    <row r="1132">
      <c r="A1132" s="58" t="inlineStr">
        <is>
          <t>150218 Lyons Discount</t>
        </is>
      </c>
      <c r="B1132" s="58" t="inlineStr">
        <is>
          <t>Essex</t>
        </is>
      </c>
      <c r="C1132" s="58" t="inlineStr">
        <is>
          <t>Hakan Sadik</t>
        </is>
      </c>
      <c r="D1132" s="58" t="inlineStr">
        <is>
          <t>Off-premise</t>
        </is>
      </c>
      <c r="E1132" s="53" t="n">
        <v>1</v>
      </c>
      <c r="F1132" s="53" t="n">
        <v>1</v>
      </c>
      <c r="G1132" s="55" t="n">
        <v>12.4</v>
      </c>
      <c r="H1132" s="55" t="n">
        <v>12.4</v>
      </c>
      <c r="I1132" s="53" t="n">
        <v>178</v>
      </c>
      <c r="J1132" s="53" t="n">
        <v>153</v>
      </c>
      <c r="K1132" s="53" t="n">
        <v>1</v>
      </c>
      <c r="L1132" s="53" t="n">
        <v>1</v>
      </c>
      <c r="M1132" s="33">
        <f>F1132-E1132</f>
        <v/>
      </c>
      <c r="N1132" s="33">
        <f>L1132-K1132</f>
        <v/>
      </c>
    </row>
    <row r="1133">
      <c r="A1133" s="58" t="inlineStr">
        <is>
          <t>150667 Jason Liquors</t>
        </is>
      </c>
      <c r="B1133" s="58" t="inlineStr">
        <is>
          <t>Essex</t>
        </is>
      </c>
      <c r="C1133" s="58" t="inlineStr">
        <is>
          <t>Hakan Sadik</t>
        </is>
      </c>
      <c r="D1133" s="58" t="inlineStr">
        <is>
          <t>Off-premise</t>
        </is>
      </c>
      <c r="E1133" s="53" t="n">
        <v>9</v>
      </c>
      <c r="F1133" s="53" t="n">
        <v>9</v>
      </c>
      <c r="G1133" s="55" t="n">
        <v>71.53</v>
      </c>
      <c r="H1133" s="55" t="n">
        <v>71.53</v>
      </c>
      <c r="I1133" s="53" t="n">
        <v>68</v>
      </c>
      <c r="J1133" s="53" t="n">
        <v>41</v>
      </c>
      <c r="K1133" s="53" t="n">
        <v>9</v>
      </c>
      <c r="L1133" s="53" t="n">
        <v>9</v>
      </c>
      <c r="M1133" s="33">
        <f>F1133-E1133</f>
        <v/>
      </c>
      <c r="N1133" s="33">
        <f>L1133-K1133</f>
        <v/>
      </c>
    </row>
    <row r="1134">
      <c r="A1134" s="58" t="inlineStr">
        <is>
          <t>150668 Chancellor Irvington</t>
        </is>
      </c>
      <c r="B1134" s="58" t="inlineStr">
        <is>
          <t>Essex</t>
        </is>
      </c>
      <c r="C1134" s="58" t="inlineStr">
        <is>
          <t>Hakan Sadik</t>
        </is>
      </c>
      <c r="D1134" s="58" t="inlineStr">
        <is>
          <t>Off-premise</t>
        </is>
      </c>
      <c r="E1134" s="53" t="n">
        <v>9</v>
      </c>
      <c r="F1134" s="53" t="n">
        <v>9</v>
      </c>
      <c r="G1134" s="55" t="n">
        <v>84.03</v>
      </c>
      <c r="H1134" s="55" t="n">
        <v>71.53</v>
      </c>
      <c r="I1134" s="53" t="n">
        <v>545</v>
      </c>
      <c r="J1134" s="53" t="n">
        <v>282</v>
      </c>
      <c r="K1134" s="53" t="n">
        <v>9</v>
      </c>
      <c r="L1134" s="53" t="n">
        <v>9</v>
      </c>
      <c r="M1134" s="33">
        <f>F1134-E1134</f>
        <v/>
      </c>
      <c r="N1134" s="33">
        <f>L1134-K1134</f>
        <v/>
      </c>
    </row>
    <row r="1135">
      <c r="A1135" s="58" t="inlineStr">
        <is>
          <t>152010 Royal Wine Iv</t>
        </is>
      </c>
      <c r="B1135" s="58" t="inlineStr">
        <is>
          <t>Essex</t>
        </is>
      </c>
      <c r="C1135" s="58" t="inlineStr">
        <is>
          <t>Hakan Sadik</t>
        </is>
      </c>
      <c r="D1135" s="58" t="inlineStr">
        <is>
          <t>Off-premise</t>
        </is>
      </c>
      <c r="E1135" s="53" t="n">
        <v>9</v>
      </c>
      <c r="F1135" s="53" t="n">
        <v>9</v>
      </c>
      <c r="G1135" s="55" t="n">
        <v>71.53</v>
      </c>
      <c r="H1135" s="55" t="n">
        <v>71.53</v>
      </c>
      <c r="I1135" s="53" t="n">
        <v>291</v>
      </c>
      <c r="J1135" s="53" t="n">
        <v>218</v>
      </c>
      <c r="K1135" s="53" t="n">
        <v>9</v>
      </c>
      <c r="L1135" s="53" t="n">
        <v>9</v>
      </c>
      <c r="M1135" s="33">
        <f>F1135-E1135</f>
        <v/>
      </c>
      <c r="N1135" s="33">
        <f>L1135-K1135</f>
        <v/>
      </c>
    </row>
    <row r="1136">
      <c r="A1136" s="58" t="inlineStr">
        <is>
          <t>152018 Kimka Liquors</t>
        </is>
      </c>
      <c r="B1136" s="58" t="inlineStr">
        <is>
          <t>Essex</t>
        </is>
      </c>
      <c r="C1136" s="58" t="inlineStr">
        <is>
          <t>Hakan Sadik</t>
        </is>
      </c>
      <c r="D1136" s="58" t="inlineStr">
        <is>
          <t>Off-premise</t>
        </is>
      </c>
      <c r="E1136" s="53" t="n">
        <v>9</v>
      </c>
      <c r="F1136" s="53" t="n">
        <v>9</v>
      </c>
      <c r="G1136" s="55" t="n">
        <v>71.53</v>
      </c>
      <c r="H1136" s="55" t="n">
        <v>71.53</v>
      </c>
      <c r="I1136" s="53" t="n">
        <v>110</v>
      </c>
      <c r="J1136" s="53" t="n">
        <v>82</v>
      </c>
      <c r="K1136" s="53" t="n">
        <v>9</v>
      </c>
      <c r="L1136" s="53" t="n">
        <v>9</v>
      </c>
      <c r="M1136" s="33">
        <f>F1136-E1136</f>
        <v/>
      </c>
      <c r="N1136" s="33">
        <f>L1136-K1136</f>
        <v/>
      </c>
    </row>
    <row r="1137">
      <c r="A1137" s="58" t="inlineStr">
        <is>
          <t>171119 Wine Dads Hoboken</t>
        </is>
      </c>
      <c r="B1137" s="58" t="inlineStr">
        <is>
          <t>Hudson</t>
        </is>
      </c>
      <c r="C1137" s="58" t="inlineStr">
        <is>
          <t>Jaime Colonna</t>
        </is>
      </c>
      <c r="D1137" s="58" t="inlineStr">
        <is>
          <t>Off-premise</t>
        </is>
      </c>
      <c r="E1137" s="53" t="n">
        <v>15</v>
      </c>
      <c r="F1137" s="53" t="n">
        <v>15</v>
      </c>
      <c r="G1137" s="55" t="n">
        <v>128.61</v>
      </c>
      <c r="H1137" s="55" t="n">
        <v>114.86</v>
      </c>
      <c r="I1137" s="53" t="n">
        <v>189</v>
      </c>
      <c r="J1137" s="53" t="n">
        <v>131</v>
      </c>
      <c r="K1137" s="53" t="n">
        <v>15</v>
      </c>
      <c r="L1137" s="53" t="n">
        <v>15</v>
      </c>
      <c r="M1137" s="33">
        <f>F1137-E1137</f>
        <v/>
      </c>
      <c r="N1137" s="33">
        <f>L1137-K1137</f>
        <v/>
      </c>
    </row>
    <row r="1138">
      <c r="A1138" s="58" t="inlineStr">
        <is>
          <t>173039 The Brass Rail Restaurant</t>
        </is>
      </c>
      <c r="B1138" s="58" t="inlineStr">
        <is>
          <t>Hudson</t>
        </is>
      </c>
      <c r="C1138" s="58" t="inlineStr">
        <is>
          <t>Jaime Colonna</t>
        </is>
      </c>
      <c r="D1138" s="58" t="inlineStr">
        <is>
          <t>On-premise</t>
        </is>
      </c>
      <c r="E1138" s="53" t="n">
        <v>7</v>
      </c>
      <c r="F1138" s="53" t="n">
        <v>7</v>
      </c>
      <c r="G1138" s="55" t="n">
        <v>39.25</v>
      </c>
      <c r="H1138" s="55" t="n">
        <v>42.25</v>
      </c>
      <c r="I1138" s="53" t="n">
        <v>105</v>
      </c>
      <c r="J1138" s="53" t="n">
        <v>72</v>
      </c>
      <c r="K1138" s="53" t="n">
        <v>7</v>
      </c>
      <c r="L1138" s="53" t="n">
        <v>7</v>
      </c>
      <c r="M1138" s="33">
        <f>F1138-E1138</f>
        <v/>
      </c>
      <c r="N1138" s="33">
        <f>L1138-K1138</f>
        <v/>
      </c>
    </row>
    <row r="1139">
      <c r="A1139" s="58" t="inlineStr">
        <is>
          <t>173056 Garden Wine &amp; Liq (P)</t>
        </is>
      </c>
      <c r="B1139" s="58" t="inlineStr">
        <is>
          <t>Hudson</t>
        </is>
      </c>
      <c r="C1139" s="58" t="inlineStr">
        <is>
          <t>Jaime Colonna</t>
        </is>
      </c>
      <c r="D1139" s="58" t="inlineStr">
        <is>
          <t>Off-premise</t>
        </is>
      </c>
      <c r="E1139" s="53" t="n">
        <v>5</v>
      </c>
      <c r="F1139" s="53" t="n">
        <v>5</v>
      </c>
      <c r="G1139" s="55" t="n">
        <v>43.3</v>
      </c>
      <c r="H1139" s="55" t="n">
        <v>43.3</v>
      </c>
      <c r="I1139" s="53" t="n">
        <v>33</v>
      </c>
      <c r="J1139" s="53" t="n">
        <v>37</v>
      </c>
      <c r="K1139" s="53" t="n">
        <v>5</v>
      </c>
      <c r="L1139" s="53" t="n">
        <v>5</v>
      </c>
      <c r="M1139" s="33">
        <f>F1139-E1139</f>
        <v/>
      </c>
      <c r="N1139" s="33">
        <f>L1139-K1139</f>
        <v/>
      </c>
    </row>
    <row r="1140">
      <c r="A1140" s="58" t="inlineStr">
        <is>
          <t>49001 Don Coqui</t>
        </is>
      </c>
      <c r="B1140" s="58" t="inlineStr">
        <is>
          <t>Bergen</t>
        </is>
      </c>
      <c r="C1140" s="58" t="inlineStr">
        <is>
          <t>Jaime Colonna</t>
        </is>
      </c>
      <c r="D1140" s="58" t="inlineStr">
        <is>
          <t>On-premise</t>
        </is>
      </c>
      <c r="E1140" s="53" t="n">
        <v>270</v>
      </c>
      <c r="F1140" s="53" t="n">
        <v>345</v>
      </c>
      <c r="G1140" s="55" t="n">
        <v>2757.69</v>
      </c>
      <c r="H1140" s="55" t="n">
        <v>3259.01</v>
      </c>
      <c r="I1140" s="53" t="n">
        <v>7</v>
      </c>
      <c r="J1140" s="53" t="n">
        <v>0</v>
      </c>
      <c r="K1140" s="53" t="n">
        <v>0</v>
      </c>
      <c r="L1140" s="53" t="n">
        <v>0</v>
      </c>
      <c r="M1140" s="33">
        <f>F1140-E1140</f>
        <v/>
      </c>
      <c r="N1140" s="33">
        <f>L1140-K1140</f>
        <v/>
      </c>
    </row>
    <row r="1141">
      <c r="A1141" s="58" t="inlineStr">
        <is>
          <t>38046 La Fortaleza (Lodi)</t>
        </is>
      </c>
      <c r="B1141" s="58" t="inlineStr">
        <is>
          <t>Bergen</t>
        </is>
      </c>
      <c r="C1141" s="58" t="inlineStr">
        <is>
          <t>Javier Melo</t>
        </is>
      </c>
      <c r="D1141" s="58" t="inlineStr">
        <is>
          <t>On-premise</t>
        </is>
      </c>
      <c r="E1141" s="53" t="n">
        <v>185</v>
      </c>
      <c r="F1141" s="53" t="n">
        <v>164</v>
      </c>
      <c r="G1141" s="55" t="n">
        <v>1830.53</v>
      </c>
      <c r="H1141" s="55" t="n">
        <v>1550.58</v>
      </c>
      <c r="I1141" s="53" t="n">
        <v>22</v>
      </c>
      <c r="J1141" s="53" t="n">
        <v>24</v>
      </c>
      <c r="K1141" s="53" t="n">
        <v>18</v>
      </c>
      <c r="L1141" s="53" t="n">
        <v>18</v>
      </c>
      <c r="M1141" s="33">
        <f>F1141-E1141</f>
        <v/>
      </c>
      <c r="N1141" s="33">
        <f>L1141-K1141</f>
        <v/>
      </c>
    </row>
    <row r="1142">
      <c r="A1142" s="58" t="inlineStr">
        <is>
          <t>27039 Venus Bar &amp; Restaurant</t>
        </is>
      </c>
      <c r="B1142" s="58" t="inlineStr">
        <is>
          <t>Passaic</t>
        </is>
      </c>
      <c r="C1142" s="58" t="inlineStr">
        <is>
          <t>Javier Melo</t>
        </is>
      </c>
      <c r="D1142" s="58" t="inlineStr">
        <is>
          <t>On-premise</t>
        </is>
      </c>
      <c r="E1142" s="53" t="n">
        <v>143</v>
      </c>
      <c r="F1142" s="53" t="n">
        <v>169</v>
      </c>
      <c r="G1142" s="55" t="n">
        <v>1203.51</v>
      </c>
      <c r="H1142" s="55" t="n">
        <v>1418.93</v>
      </c>
      <c r="I1142" s="53" t="n">
        <v>27</v>
      </c>
      <c r="J1142" s="53" t="n">
        <v>30</v>
      </c>
      <c r="K1142" s="53" t="n">
        <v>37</v>
      </c>
      <c r="L1142" s="53" t="n">
        <v>37</v>
      </c>
      <c r="M1142" s="33">
        <f>F1142-E1142</f>
        <v/>
      </c>
      <c r="N1142" s="33">
        <f>L1142-K1142</f>
        <v/>
      </c>
    </row>
    <row r="1143">
      <c r="A1143" s="58" t="inlineStr">
        <is>
          <t>27044 Clary's Restaurant &amp; Bar</t>
        </is>
      </c>
      <c r="B1143" s="58" t="inlineStr">
        <is>
          <t>Passaic</t>
        </is>
      </c>
      <c r="C1143" s="58" t="inlineStr">
        <is>
          <t>Javier Melo</t>
        </is>
      </c>
      <c r="D1143" s="58" t="inlineStr">
        <is>
          <t>On-premise</t>
        </is>
      </c>
      <c r="E1143" s="53" t="n">
        <v>128</v>
      </c>
      <c r="F1143" s="53" t="n">
        <v>245</v>
      </c>
      <c r="G1143" s="55" t="n">
        <v>990.48</v>
      </c>
      <c r="H1143" s="55" t="n">
        <v>1963.05</v>
      </c>
      <c r="I1143" s="53" t="n">
        <v>5</v>
      </c>
      <c r="J1143" s="53" t="n">
        <v>0</v>
      </c>
      <c r="K1143" s="53" t="n">
        <v>20</v>
      </c>
      <c r="L1143" s="53" t="n">
        <v>20</v>
      </c>
      <c r="M1143" s="33">
        <f>F1143-E1143</f>
        <v/>
      </c>
      <c r="N1143" s="33">
        <f>L1143-K1143</f>
        <v/>
      </c>
    </row>
    <row r="1144">
      <c r="A1144" s="58" t="inlineStr">
        <is>
          <t>24042 Made in Miami Bar Bistro</t>
        </is>
      </c>
      <c r="B1144" s="58" t="inlineStr">
        <is>
          <t>Passaic</t>
        </is>
      </c>
      <c r="C1144" s="58" t="inlineStr">
        <is>
          <t>Javier Melo</t>
        </is>
      </c>
      <c r="D1144" s="58" t="inlineStr">
        <is>
          <t>On-premise</t>
        </is>
      </c>
      <c r="E1144" s="53" t="n">
        <v>18</v>
      </c>
      <c r="F1144" s="53" t="n">
        <v>34</v>
      </c>
      <c r="G1144" s="55" t="n">
        <v>188.26</v>
      </c>
      <c r="H1144" s="55" t="n">
        <v>355.93</v>
      </c>
      <c r="I1144" s="53" t="n">
        <v>1</v>
      </c>
      <c r="J1144" s="53" t="n">
        <v>8</v>
      </c>
      <c r="K1144" s="53" t="n">
        <v>0</v>
      </c>
      <c r="L1144" s="53" t="n">
        <v>0</v>
      </c>
      <c r="M1144" s="33">
        <f>F1144-E1144</f>
        <v/>
      </c>
      <c r="N1144" s="33">
        <f>L1144-K1144</f>
        <v/>
      </c>
    </row>
    <row r="1145">
      <c r="A1145" s="58" t="inlineStr">
        <is>
          <t>15085 Reign</t>
        </is>
      </c>
      <c r="B1145" s="58" t="inlineStr">
        <is>
          <t>Passaic</t>
        </is>
      </c>
      <c r="C1145" s="58" t="inlineStr">
        <is>
          <t>Javier Melo</t>
        </is>
      </c>
      <c r="D1145" s="58" t="inlineStr">
        <is>
          <t>On-premise</t>
        </is>
      </c>
      <c r="E1145" s="53" t="n">
        <v>88</v>
      </c>
      <c r="F1145" s="53" t="n">
        <v>117</v>
      </c>
      <c r="G1145" s="55" t="n">
        <v>548.05</v>
      </c>
      <c r="H1145" s="55" t="n">
        <v>563.9</v>
      </c>
      <c r="I1145" s="53" t="n">
        <v>0</v>
      </c>
      <c r="J1145" s="53" t="n">
        <v>0</v>
      </c>
      <c r="K1145" s="53" t="n">
        <v>0</v>
      </c>
      <c r="L1145" s="53" t="n">
        <v>0</v>
      </c>
      <c r="M1145" s="33">
        <f>F1145-E1145</f>
        <v/>
      </c>
      <c r="N1145" s="33">
        <f>L1145-K1145</f>
        <v/>
      </c>
    </row>
    <row r="1146">
      <c r="A1146" s="58" t="inlineStr">
        <is>
          <t>26020 El Alamo Bar</t>
        </is>
      </c>
      <c r="B1146" s="58" t="inlineStr">
        <is>
          <t>Passaic</t>
        </is>
      </c>
      <c r="C1146" s="58" t="inlineStr">
        <is>
          <t>Javier Melo</t>
        </is>
      </c>
      <c r="D1146" s="58" t="inlineStr">
        <is>
          <t>Unmatched</t>
        </is>
      </c>
      <c r="E1146" s="53" t="n">
        <v>709</v>
      </c>
      <c r="F1146" s="53" t="n">
        <v>401</v>
      </c>
      <c r="G1146" s="55" t="n">
        <v>4717.88</v>
      </c>
      <c r="H1146" s="55" t="n">
        <v>2891.83</v>
      </c>
      <c r="I1146" s="53" t="n">
        <v>0</v>
      </c>
      <c r="J1146" s="53" t="n">
        <v>0</v>
      </c>
      <c r="K1146" s="53" t="n">
        <v>0</v>
      </c>
      <c r="L1146" s="53" t="n">
        <v>0</v>
      </c>
      <c r="M1146" s="33">
        <f>F1146-E1146</f>
        <v/>
      </c>
      <c r="N1146" s="33">
        <f>L1146-K1146</f>
        <v/>
      </c>
    </row>
    <row r="1147">
      <c r="A1147" s="58" t="inlineStr">
        <is>
          <t>27018 Cantina Bar</t>
        </is>
      </c>
      <c r="B1147" s="58" t="inlineStr">
        <is>
          <t>Passaic</t>
        </is>
      </c>
      <c r="C1147" s="58" t="inlineStr">
        <is>
          <t>Javier Melo</t>
        </is>
      </c>
      <c r="D1147" s="58" t="inlineStr">
        <is>
          <t>On-premise</t>
        </is>
      </c>
      <c r="E1147" s="53" t="n">
        <v>149</v>
      </c>
      <c r="F1147" s="53" t="n">
        <v>120</v>
      </c>
      <c r="G1147" s="55" t="n">
        <v>1022.05</v>
      </c>
      <c r="H1147" s="55" t="n">
        <v>996.47</v>
      </c>
      <c r="I1147" s="53" t="n">
        <v>0</v>
      </c>
      <c r="J1147" s="53" t="n">
        <v>0</v>
      </c>
      <c r="K1147" s="53" t="n">
        <v>0</v>
      </c>
      <c r="L1147" s="53" t="n">
        <v>0</v>
      </c>
      <c r="M1147" s="33">
        <f>F1147-E1147</f>
        <v/>
      </c>
      <c r="N1147" s="33">
        <f>L1147-K1147</f>
        <v/>
      </c>
    </row>
    <row r="1148">
      <c r="A1148" s="58" t="inlineStr">
        <is>
          <t>27119 El Chever (P)</t>
        </is>
      </c>
      <c r="B1148" s="58" t="inlineStr">
        <is>
          <t>Passaic</t>
        </is>
      </c>
      <c r="C1148" s="58" t="inlineStr">
        <is>
          <t>Javier Melo</t>
        </is>
      </c>
      <c r="D1148" s="58" t="inlineStr">
        <is>
          <t>On-premise</t>
        </is>
      </c>
      <c r="E1148" s="53" t="n">
        <v>24</v>
      </c>
      <c r="F1148" s="53" t="n">
        <v>13</v>
      </c>
      <c r="G1148" s="55" t="n">
        <v>231.7</v>
      </c>
      <c r="H1148" s="55" t="n">
        <v>126.67</v>
      </c>
      <c r="I1148" s="53" t="n">
        <v>2</v>
      </c>
      <c r="J1148" s="53" t="n">
        <v>0</v>
      </c>
      <c r="K1148" s="53" t="n">
        <v>0</v>
      </c>
      <c r="L1148" s="53" t="n">
        <v>0</v>
      </c>
      <c r="M1148" s="33">
        <f>F1148-E1148</f>
        <v/>
      </c>
      <c r="N1148" s="33">
        <f>L1148-K1148</f>
        <v/>
      </c>
    </row>
    <row r="1149">
      <c r="A1149" s="58" t="inlineStr">
        <is>
          <t>27009 La Rancherita</t>
        </is>
      </c>
      <c r="B1149" s="58" t="inlineStr">
        <is>
          <t>Passaic</t>
        </is>
      </c>
      <c r="C1149" s="58" t="inlineStr">
        <is>
          <t>Javier Melo</t>
        </is>
      </c>
      <c r="D1149" s="58" t="inlineStr">
        <is>
          <t>On-premise</t>
        </is>
      </c>
      <c r="E1149" s="53" t="n">
        <v>115</v>
      </c>
      <c r="F1149" s="53" t="n">
        <v>279</v>
      </c>
      <c r="G1149" s="55" t="n">
        <v>845.8499999999999</v>
      </c>
      <c r="H1149" s="55" t="n">
        <v>2130.02</v>
      </c>
      <c r="I1149" s="53" t="n">
        <v>0</v>
      </c>
      <c r="J1149" s="53" t="n">
        <v>0</v>
      </c>
      <c r="K1149" s="53" t="n">
        <v>0</v>
      </c>
      <c r="L1149" s="53" t="n">
        <v>0</v>
      </c>
      <c r="M1149" s="33">
        <f>F1149-E1149</f>
        <v/>
      </c>
      <c r="N1149" s="33">
        <f>L1149-K1149</f>
        <v/>
      </c>
    </row>
    <row r="1150">
      <c r="A1150" s="58" t="inlineStr">
        <is>
          <t>27095 Club Sq (A)</t>
        </is>
      </c>
      <c r="B1150" s="58" t="inlineStr">
        <is>
          <t>Passaic</t>
        </is>
      </c>
      <c r="C1150" s="58" t="inlineStr">
        <is>
          <t>Javier Melo</t>
        </is>
      </c>
      <c r="D1150" s="58" t="inlineStr">
        <is>
          <t>On-premise</t>
        </is>
      </c>
      <c r="E1150" s="53" t="n">
        <v>1075</v>
      </c>
      <c r="F1150" s="53" t="n">
        <v>1148</v>
      </c>
      <c r="G1150" s="55" t="n">
        <v>7710.1</v>
      </c>
      <c r="H1150" s="55" t="n">
        <v>8120.66</v>
      </c>
      <c r="I1150" s="53" t="n">
        <v>31</v>
      </c>
      <c r="J1150" s="53" t="n">
        <v>34</v>
      </c>
      <c r="K1150" s="53" t="n">
        <v>0</v>
      </c>
      <c r="L1150" s="53" t="n">
        <v>0</v>
      </c>
      <c r="M1150" s="33">
        <f>F1150-E1150</f>
        <v/>
      </c>
      <c r="N1150" s="33">
        <f>L1150-K1150</f>
        <v/>
      </c>
    </row>
    <row r="1151">
      <c r="A1151" s="58" t="inlineStr">
        <is>
          <t>26013 Tiny Tijuana</t>
        </is>
      </c>
      <c r="B1151" s="58" t="inlineStr">
        <is>
          <t>Passaic</t>
        </is>
      </c>
      <c r="C1151" s="58" t="inlineStr">
        <is>
          <t>Jim Heaney</t>
        </is>
      </c>
      <c r="D1151" s="58" t="inlineStr">
        <is>
          <t>Unmatched</t>
        </is>
      </c>
      <c r="E1151" s="53" t="n">
        <v>10</v>
      </c>
      <c r="F1151" s="53" t="n">
        <v>0</v>
      </c>
      <c r="G1151" s="55" t="n">
        <v>98.61</v>
      </c>
      <c r="H1151" s="55" t="n">
        <v>0</v>
      </c>
      <c r="I1151" s="53" t="n">
        <v>0</v>
      </c>
      <c r="J1151" s="53" t="n">
        <v>0</v>
      </c>
      <c r="K1151" s="53" t="n">
        <v>0</v>
      </c>
      <c r="L1151" s="53" t="n">
        <v>0</v>
      </c>
      <c r="M1151" s="33">
        <f>F1151-E1151</f>
        <v/>
      </c>
      <c r="N1151" s="33">
        <f>L1151-K1151</f>
        <v/>
      </c>
    </row>
    <row r="1152">
      <c r="A1152" s="58" t="inlineStr">
        <is>
          <t>190006 Main St Wines &amp; Liq</t>
        </is>
      </c>
      <c r="B1152" s="58" t="inlineStr">
        <is>
          <t>Morris</t>
        </is>
      </c>
      <c r="C1152" s="58" t="inlineStr">
        <is>
          <t>John O'Donoghue</t>
        </is>
      </c>
      <c r="D1152" s="58" t="inlineStr">
        <is>
          <t>Unmatched</t>
        </is>
      </c>
      <c r="E1152" s="53" t="n">
        <v>10</v>
      </c>
      <c r="F1152" s="53" t="n">
        <v>10</v>
      </c>
      <c r="G1152" s="55" t="n">
        <v>71.56</v>
      </c>
      <c r="H1152" s="55" t="n">
        <v>85.31</v>
      </c>
      <c r="I1152" s="53" t="n">
        <v>156</v>
      </c>
      <c r="J1152" s="53" t="n">
        <v>84</v>
      </c>
      <c r="K1152" s="53" t="n">
        <v>10</v>
      </c>
      <c r="L1152" s="53" t="n">
        <v>10</v>
      </c>
      <c r="M1152" s="33">
        <f>F1152-E1152</f>
        <v/>
      </c>
      <c r="N1152" s="33">
        <f>L1152-K1152</f>
        <v/>
      </c>
    </row>
    <row r="1153">
      <c r="A1153" s="58" t="inlineStr">
        <is>
          <t>190228 Midtown Wine Merchant(A)</t>
        </is>
      </c>
      <c r="B1153" s="58" t="inlineStr">
        <is>
          <t>Morris</t>
        </is>
      </c>
      <c r="C1153" s="58" t="inlineStr">
        <is>
          <t>John O'Donoghue</t>
        </is>
      </c>
      <c r="D1153" s="58" t="inlineStr">
        <is>
          <t>Unmatched</t>
        </is>
      </c>
      <c r="E1153" s="53" t="n">
        <v>10</v>
      </c>
      <c r="F1153" s="53" t="n">
        <v>10</v>
      </c>
      <c r="G1153" s="55" t="n">
        <v>71.58</v>
      </c>
      <c r="H1153" s="55" t="n">
        <v>71.58</v>
      </c>
      <c r="I1153" s="53" t="n">
        <v>38</v>
      </c>
      <c r="J1153" s="53" t="n">
        <v>91</v>
      </c>
      <c r="K1153" s="53" t="n">
        <v>10</v>
      </c>
      <c r="L1153" s="53" t="n">
        <v>10</v>
      </c>
      <c r="M1153" s="33">
        <f>F1153-E1153</f>
        <v/>
      </c>
      <c r="N1153" s="33">
        <f>L1153-K1153</f>
        <v/>
      </c>
    </row>
    <row r="1154">
      <c r="A1154" s="58" t="inlineStr">
        <is>
          <t>190618 Sogo</t>
        </is>
      </c>
      <c r="B1154" s="58" t="inlineStr">
        <is>
          <t>Morris</t>
        </is>
      </c>
      <c r="C1154" s="58" t="inlineStr">
        <is>
          <t>John O'Donoghue</t>
        </is>
      </c>
      <c r="D1154" s="58" t="inlineStr">
        <is>
          <t>Unmatched</t>
        </is>
      </c>
      <c r="E1154" s="53" t="n">
        <v>36</v>
      </c>
      <c r="F1154" s="53" t="n">
        <v>36</v>
      </c>
      <c r="G1154" s="55" t="n">
        <v>289.4</v>
      </c>
      <c r="H1154" s="55" t="n">
        <v>295.38</v>
      </c>
      <c r="I1154" s="53" t="n">
        <v>26</v>
      </c>
      <c r="J1154" s="53" t="n">
        <v>21</v>
      </c>
      <c r="K1154" s="53" t="n">
        <v>36</v>
      </c>
      <c r="L1154" s="53" t="n">
        <v>36</v>
      </c>
      <c r="M1154" s="33">
        <f>F1154-E1154</f>
        <v/>
      </c>
      <c r="N1154" s="33">
        <f>L1154-K1154</f>
        <v/>
      </c>
    </row>
    <row r="1155">
      <c r="A1155" s="58" t="inlineStr">
        <is>
          <t>192081 Madison Wine Cellar</t>
        </is>
      </c>
      <c r="B1155" s="58" t="inlineStr">
        <is>
          <t>Morris</t>
        </is>
      </c>
      <c r="C1155" s="58" t="inlineStr">
        <is>
          <t>John O'Donoghue</t>
        </is>
      </c>
      <c r="D1155" s="58" t="inlineStr">
        <is>
          <t>Unmatched</t>
        </is>
      </c>
      <c r="E1155" s="53" t="n">
        <v>5</v>
      </c>
      <c r="F1155" s="53" t="n">
        <v>5</v>
      </c>
      <c r="G1155" s="55" t="n">
        <v>42.79</v>
      </c>
      <c r="H1155" s="55" t="n">
        <v>43.05</v>
      </c>
      <c r="I1155" s="53" t="n">
        <v>11</v>
      </c>
      <c r="J1155" s="53" t="n">
        <v>6</v>
      </c>
      <c r="K1155" s="53" t="n">
        <v>5</v>
      </c>
      <c r="L1155" s="53" t="n">
        <v>5</v>
      </c>
      <c r="M1155" s="33">
        <f>F1155-E1155</f>
        <v/>
      </c>
      <c r="N1155" s="33">
        <f>L1155-K1155</f>
        <v/>
      </c>
    </row>
    <row r="1156">
      <c r="A1156" s="58" t="inlineStr">
        <is>
          <t>61001 Haworth Fine Wine/Spirits</t>
        </is>
      </c>
      <c r="B1156" s="58" t="inlineStr">
        <is>
          <t>Bergen</t>
        </is>
      </c>
      <c r="C1156" s="58" t="inlineStr">
        <is>
          <t>John O'Donoghue</t>
        </is>
      </c>
      <c r="D1156" s="58" t="inlineStr">
        <is>
          <t>Off-premise</t>
        </is>
      </c>
      <c r="E1156" s="53" t="n">
        <v>105</v>
      </c>
      <c r="F1156" s="53" t="n">
        <v>100</v>
      </c>
      <c r="G1156" s="55" t="n">
        <v>879.08</v>
      </c>
      <c r="H1156" s="55" t="n">
        <v>965.9</v>
      </c>
      <c r="I1156" s="53" t="n">
        <v>24</v>
      </c>
      <c r="J1156" s="53" t="n">
        <v>13</v>
      </c>
      <c r="K1156" s="53" t="n">
        <v>0</v>
      </c>
      <c r="L1156" s="53" t="n">
        <v>0</v>
      </c>
      <c r="M1156" s="33">
        <f>F1156-E1156</f>
        <v/>
      </c>
      <c r="N1156" s="33">
        <f>L1156-K1156</f>
        <v/>
      </c>
    </row>
    <row r="1157">
      <c r="A1157" s="58" t="inlineStr">
        <is>
          <t>32033 Pulse Gentleman's Club</t>
        </is>
      </c>
      <c r="B1157" s="58" t="inlineStr">
        <is>
          <t>Bergen</t>
        </is>
      </c>
      <c r="C1157" s="58" t="inlineStr">
        <is>
          <t>John O'Donoghue</t>
        </is>
      </c>
      <c r="D1157" s="58" t="inlineStr">
        <is>
          <t>Unmatched</t>
        </is>
      </c>
      <c r="E1157" s="53" t="n">
        <v>0</v>
      </c>
      <c r="F1157" s="53" t="n">
        <v>20</v>
      </c>
      <c r="G1157" s="55" t="n">
        <v>0</v>
      </c>
      <c r="H1157" s="55" t="n">
        <v>207.54</v>
      </c>
      <c r="I1157" s="53" t="n">
        <v>0</v>
      </c>
      <c r="J1157" s="53" t="n">
        <v>0</v>
      </c>
      <c r="K1157" s="53" t="n">
        <v>0</v>
      </c>
      <c r="L1157" s="53" t="n">
        <v>0</v>
      </c>
      <c r="M1157" s="33">
        <f>F1157-E1157</f>
        <v/>
      </c>
      <c r="N1157" s="33">
        <f>L1157-K1157</f>
        <v/>
      </c>
    </row>
    <row r="1158">
      <c r="A1158" s="58" t="inlineStr">
        <is>
          <t>33003 Segovia</t>
        </is>
      </c>
      <c r="B1158" s="58" t="inlineStr">
        <is>
          <t>Bergen</t>
        </is>
      </c>
      <c r="C1158" s="58" t="inlineStr">
        <is>
          <t>Matt Powierski</t>
        </is>
      </c>
      <c r="D1158" s="58" t="inlineStr">
        <is>
          <t>On-premise</t>
        </is>
      </c>
      <c r="E1158" s="53" t="n">
        <v>44</v>
      </c>
      <c r="F1158" s="53" t="n">
        <v>34</v>
      </c>
      <c r="G1158" s="55" t="n">
        <v>448.1299999999999</v>
      </c>
      <c r="H1158" s="55" t="n">
        <v>360.15</v>
      </c>
      <c r="I1158" s="53" t="n">
        <v>0</v>
      </c>
      <c r="J1158" s="53" t="n">
        <v>1</v>
      </c>
      <c r="K1158" s="53" t="n">
        <v>2</v>
      </c>
      <c r="L1158" s="53" t="n">
        <v>2</v>
      </c>
      <c r="M1158" s="33">
        <f>F1158-E1158</f>
        <v/>
      </c>
      <c r="N1158" s="33">
        <f>L1158-K1158</f>
        <v/>
      </c>
    </row>
    <row r="1159">
      <c r="A1159" s="58" t="inlineStr">
        <is>
          <t>33001 El Tango Argentina Grill</t>
        </is>
      </c>
      <c r="B1159" s="58" t="inlineStr">
        <is>
          <t>Bergen</t>
        </is>
      </c>
      <c r="C1159" s="58" t="inlineStr">
        <is>
          <t>Matt Powierski</t>
        </is>
      </c>
      <c r="D1159" s="58" t="inlineStr">
        <is>
          <t>Unmatched</t>
        </is>
      </c>
      <c r="E1159" s="53" t="n">
        <v>20</v>
      </c>
      <c r="F1159" s="53" t="n">
        <v>0</v>
      </c>
      <c r="G1159" s="55" t="n">
        <v>199.1</v>
      </c>
      <c r="H1159" s="55" t="n">
        <v>0</v>
      </c>
      <c r="I1159" s="53" t="n">
        <v>2</v>
      </c>
      <c r="J1159" s="53" t="n">
        <v>0</v>
      </c>
      <c r="K1159" s="53" t="n">
        <v>0</v>
      </c>
      <c r="L1159" s="53" t="n">
        <v>0</v>
      </c>
      <c r="M1159" s="33">
        <f>F1159-E1159</f>
        <v/>
      </c>
      <c r="N1159" s="33">
        <f>L1159-K1159</f>
        <v/>
      </c>
    </row>
    <row r="1160">
      <c r="A1160" s="58" t="inlineStr">
        <is>
          <t>37075 Deja Vu (Z)</t>
        </is>
      </c>
      <c r="B1160" s="58" t="inlineStr">
        <is>
          <t>Bergen</t>
        </is>
      </c>
      <c r="C1160" s="58" t="inlineStr">
        <is>
          <t>Matt Powierski</t>
        </is>
      </c>
      <c r="D1160" s="58" t="inlineStr">
        <is>
          <t>On-premise</t>
        </is>
      </c>
      <c r="E1160" s="53" t="n">
        <v>66</v>
      </c>
      <c r="F1160" s="53" t="n">
        <v>25</v>
      </c>
      <c r="G1160" s="55" t="n">
        <v>642.1</v>
      </c>
      <c r="H1160" s="55" t="n">
        <v>242.55</v>
      </c>
      <c r="I1160" s="53" t="n">
        <v>0</v>
      </c>
      <c r="J1160" s="53" t="n">
        <v>0</v>
      </c>
      <c r="K1160" s="53" t="n">
        <v>0</v>
      </c>
      <c r="L1160" s="53" t="n">
        <v>0</v>
      </c>
      <c r="M1160" s="33">
        <f>F1160-E1160</f>
        <v/>
      </c>
      <c r="N1160" s="33">
        <f>L1160-K1160</f>
        <v/>
      </c>
    </row>
    <row r="1161">
      <c r="A1161" s="58" t="inlineStr">
        <is>
          <t>37026 Michele (Z) Rest,</t>
        </is>
      </c>
      <c r="B1161" s="58" t="inlineStr">
        <is>
          <t>Bergen</t>
        </is>
      </c>
      <c r="C1161" s="58" t="inlineStr">
        <is>
          <t>Matt Powierski</t>
        </is>
      </c>
      <c r="D1161" s="58" t="inlineStr">
        <is>
          <t>On-premise</t>
        </is>
      </c>
      <c r="E1161" s="53" t="n">
        <v>69</v>
      </c>
      <c r="F1161" s="53" t="n">
        <v>69</v>
      </c>
      <c r="G1161" s="55" t="n">
        <v>203.7</v>
      </c>
      <c r="H1161" s="55" t="n">
        <v>248.7</v>
      </c>
      <c r="I1161" s="53" t="n">
        <v>0</v>
      </c>
      <c r="J1161" s="53" t="n">
        <v>0</v>
      </c>
      <c r="K1161" s="53" t="n">
        <v>0</v>
      </c>
      <c r="L1161" s="53" t="n">
        <v>0</v>
      </c>
      <c r="M1161" s="33">
        <f>F1161-E1161</f>
        <v/>
      </c>
      <c r="N1161" s="33">
        <f>L1161-K1161</f>
        <v/>
      </c>
    </row>
    <row r="1162">
      <c r="A1162" s="58" t="inlineStr">
        <is>
          <t>37050 Royal Manor</t>
        </is>
      </c>
      <c r="B1162" s="58" t="inlineStr">
        <is>
          <t>Bergen</t>
        </is>
      </c>
      <c r="C1162" s="58" t="inlineStr">
        <is>
          <t>Matt Powierski</t>
        </is>
      </c>
      <c r="D1162" s="58" t="inlineStr">
        <is>
          <t>On-premise</t>
        </is>
      </c>
      <c r="E1162" s="53" t="n">
        <v>45</v>
      </c>
      <c r="F1162" s="53" t="n">
        <v>21</v>
      </c>
      <c r="G1162" s="55" t="n">
        <v>354.15</v>
      </c>
      <c r="H1162" s="55" t="n">
        <v>192.68</v>
      </c>
      <c r="I1162" s="53" t="n">
        <v>0</v>
      </c>
      <c r="J1162" s="53" t="n">
        <v>5</v>
      </c>
      <c r="K1162" s="53" t="n">
        <v>0</v>
      </c>
      <c r="L1162" s="53" t="n">
        <v>0</v>
      </c>
      <c r="M1162" s="33">
        <f>F1162-E1162</f>
        <v/>
      </c>
      <c r="N1162" s="33">
        <f>L1162-K1162</f>
        <v/>
      </c>
    </row>
    <row r="1163">
      <c r="A1163" s="58" t="inlineStr">
        <is>
          <t>37027 Piast Meats &amp; Prov.</t>
        </is>
      </c>
      <c r="B1163" s="58" t="inlineStr">
        <is>
          <t>Bergen</t>
        </is>
      </c>
      <c r="C1163" s="58" t="inlineStr">
        <is>
          <t>Matt Powierski</t>
        </is>
      </c>
      <c r="D1163" s="58" t="inlineStr">
        <is>
          <t>Off-premise</t>
        </is>
      </c>
      <c r="E1163" s="53" t="n">
        <v>8</v>
      </c>
      <c r="F1163" s="53" t="n">
        <v>5</v>
      </c>
      <c r="G1163" s="55" t="n">
        <v>85.91</v>
      </c>
      <c r="H1163" s="55" t="n">
        <v>54.35</v>
      </c>
      <c r="I1163" s="53" t="n">
        <v>282</v>
      </c>
      <c r="J1163" s="53" t="n">
        <v>358</v>
      </c>
      <c r="K1163" s="53" t="n">
        <v>0</v>
      </c>
      <c r="L1163" s="53" t="n">
        <v>0</v>
      </c>
      <c r="M1163" s="33">
        <f>F1163-E1163</f>
        <v/>
      </c>
      <c r="N1163" s="33">
        <f>L1163-K1163</f>
        <v/>
      </c>
    </row>
    <row r="1164">
      <c r="A1164" s="58" t="inlineStr">
        <is>
          <t>77011 Asu Mare Peru Restobar</t>
        </is>
      </c>
      <c r="B1164" s="58" t="inlineStr">
        <is>
          <t>Bergen</t>
        </is>
      </c>
      <c r="C1164" s="58" t="inlineStr">
        <is>
          <t>Matt Powierski</t>
        </is>
      </c>
      <c r="D1164" s="58" t="inlineStr">
        <is>
          <t>On-premise</t>
        </is>
      </c>
      <c r="E1164" s="53" t="n">
        <v>0</v>
      </c>
      <c r="F1164" s="53" t="n">
        <v>55</v>
      </c>
      <c r="G1164" s="55" t="n">
        <v>0</v>
      </c>
      <c r="H1164" s="55" t="n">
        <v>552.3499999999999</v>
      </c>
      <c r="I1164" s="53" t="n">
        <v>0</v>
      </c>
      <c r="J1164" s="53" t="n">
        <v>28</v>
      </c>
      <c r="K1164" s="53" t="n">
        <v>0</v>
      </c>
      <c r="L1164" s="53" t="n">
        <v>0</v>
      </c>
      <c r="M1164" s="33">
        <f>F1164-E1164</f>
        <v/>
      </c>
      <c r="N1164" s="33">
        <f>L1164-K1164</f>
        <v/>
      </c>
    </row>
    <row r="1165">
      <c r="A1165" s="58" t="inlineStr">
        <is>
          <t>150001 Verona Wine Cellar</t>
        </is>
      </c>
      <c r="B1165" s="58" t="inlineStr">
        <is>
          <t>Essex</t>
        </is>
      </c>
      <c r="C1165" s="58" t="inlineStr">
        <is>
          <t>Michael Harboy</t>
        </is>
      </c>
      <c r="D1165" s="58" t="inlineStr">
        <is>
          <t>Off-premise</t>
        </is>
      </c>
      <c r="E1165" s="53" t="n">
        <v>10</v>
      </c>
      <c r="F1165" s="53" t="n">
        <v>10</v>
      </c>
      <c r="G1165" s="55" t="n">
        <v>86.59999999999999</v>
      </c>
      <c r="H1165" s="55" t="n">
        <v>86.59999999999999</v>
      </c>
      <c r="I1165" s="53" t="n">
        <v>497</v>
      </c>
      <c r="J1165" s="53" t="n">
        <v>501</v>
      </c>
      <c r="K1165" s="53" t="n">
        <v>10</v>
      </c>
      <c r="L1165" s="53" t="n">
        <v>10</v>
      </c>
      <c r="M1165" s="33">
        <f>F1165-E1165</f>
        <v/>
      </c>
      <c r="N1165" s="33">
        <f>L1165-K1165</f>
        <v/>
      </c>
    </row>
    <row r="1166">
      <c r="A1166" s="58" t="inlineStr">
        <is>
          <t>150004 Merit (P)</t>
        </is>
      </c>
      <c r="B1166" s="58" t="inlineStr">
        <is>
          <t>Essex</t>
        </is>
      </c>
      <c r="C1166" s="58" t="inlineStr">
        <is>
          <t>Michael Harboy</t>
        </is>
      </c>
      <c r="D1166" s="58" t="inlineStr">
        <is>
          <t>Off-premise</t>
        </is>
      </c>
      <c r="E1166" s="53" t="n">
        <v>18</v>
      </c>
      <c r="F1166" s="53" t="n">
        <v>18</v>
      </c>
      <c r="G1166" s="55" t="n">
        <v>168.05</v>
      </c>
      <c r="H1166" s="55" t="n">
        <v>168.05</v>
      </c>
      <c r="I1166" s="53" t="n">
        <v>228</v>
      </c>
      <c r="J1166" s="53" t="n">
        <v>263</v>
      </c>
      <c r="K1166" s="53" t="n">
        <v>18</v>
      </c>
      <c r="L1166" s="53" t="n">
        <v>18</v>
      </c>
      <c r="M1166" s="33">
        <f>F1166-E1166</f>
        <v/>
      </c>
      <c r="N1166" s="33">
        <f>L1166-K1166</f>
        <v/>
      </c>
    </row>
    <row r="1167">
      <c r="A1167" s="58" t="inlineStr">
        <is>
          <t>150501 Nikko Hibachi Steakhouse</t>
        </is>
      </c>
      <c r="B1167" s="58" t="inlineStr">
        <is>
          <t>Essex</t>
        </is>
      </c>
      <c r="C1167" s="58" t="inlineStr">
        <is>
          <t>Michael Harboy</t>
        </is>
      </c>
      <c r="D1167" s="58" t="inlineStr">
        <is>
          <t>On-premise</t>
        </is>
      </c>
      <c r="E1167" s="53" t="n">
        <v>34</v>
      </c>
      <c r="F1167" s="53" t="n">
        <v>34</v>
      </c>
      <c r="G1167" s="55" t="n">
        <v>199.25</v>
      </c>
      <c r="H1167" s="55" t="n">
        <v>199.25</v>
      </c>
      <c r="I1167" s="53" t="n">
        <v>40</v>
      </c>
      <c r="J1167" s="53" t="n">
        <v>40</v>
      </c>
      <c r="K1167" s="53" t="n">
        <v>34</v>
      </c>
      <c r="L1167" s="53" t="n">
        <v>34</v>
      </c>
      <c r="M1167" s="33">
        <f>F1167-E1167</f>
        <v/>
      </c>
      <c r="N1167" s="33">
        <f>L1167-K1167</f>
        <v/>
      </c>
    </row>
    <row r="1168">
      <c r="A1168" s="58" t="inlineStr">
        <is>
          <t>83008 Glen Rock Ac Clb(P)</t>
        </is>
      </c>
      <c r="B1168" s="58" t="inlineStr">
        <is>
          <t>Bergen</t>
        </is>
      </c>
      <c r="C1168" s="58" t="inlineStr">
        <is>
          <t>Mike Ast</t>
        </is>
      </c>
      <c r="D1168" s="58" t="inlineStr">
        <is>
          <t>On-premise</t>
        </is>
      </c>
      <c r="E1168" s="53" t="n">
        <v>215</v>
      </c>
      <c r="F1168" s="53" t="n">
        <v>177</v>
      </c>
      <c r="G1168" s="55" t="n">
        <v>1649.92</v>
      </c>
      <c r="H1168" s="55" t="n">
        <v>1326.47</v>
      </c>
      <c r="I1168" s="53" t="n">
        <v>30</v>
      </c>
      <c r="J1168" s="53" t="n">
        <v>31</v>
      </c>
      <c r="K1168" s="53" t="n">
        <v>27</v>
      </c>
      <c r="L1168" s="53" t="n">
        <v>27</v>
      </c>
      <c r="M1168" s="33">
        <f>F1168-E1168</f>
        <v/>
      </c>
      <c r="N1168" s="33">
        <f>L1168-K1168</f>
        <v/>
      </c>
    </row>
    <row r="1169">
      <c r="A1169" s="58" t="inlineStr">
        <is>
          <t>94001 Long Hill Liquors (A)</t>
        </is>
      </c>
      <c r="B1169" s="58" t="inlineStr">
        <is>
          <t>Bergen</t>
        </is>
      </c>
      <c r="C1169" s="58" t="inlineStr">
        <is>
          <t>Mike Ast</t>
        </is>
      </c>
      <c r="D1169" s="58" t="inlineStr">
        <is>
          <t>Off-premise</t>
        </is>
      </c>
      <c r="E1169" s="53" t="n">
        <v>5245</v>
      </c>
      <c r="F1169" s="53" t="n">
        <v>4851</v>
      </c>
      <c r="G1169" s="55" t="n">
        <v>33150.11000000001</v>
      </c>
      <c r="H1169" s="55" t="n">
        <v>31402.04</v>
      </c>
      <c r="I1169" s="53" t="n">
        <v>2635</v>
      </c>
      <c r="J1169" s="53" t="n">
        <v>2489</v>
      </c>
      <c r="K1169" s="53" t="n">
        <v>765</v>
      </c>
      <c r="L1169" s="53" t="n">
        <v>765</v>
      </c>
      <c r="M1169" s="33">
        <f>F1169-E1169</f>
        <v/>
      </c>
      <c r="N1169" s="33">
        <f>L1169-K1169</f>
        <v/>
      </c>
    </row>
    <row r="1170">
      <c r="A1170" s="58" t="inlineStr">
        <is>
          <t>18002 Cinco De Mayo</t>
        </is>
      </c>
      <c r="B1170" s="58" t="inlineStr">
        <is>
          <t>Passaic</t>
        </is>
      </c>
      <c r="C1170" s="58" t="inlineStr">
        <is>
          <t>Mike Ast</t>
        </is>
      </c>
      <c r="D1170" s="58" t="inlineStr">
        <is>
          <t>On-premise</t>
        </is>
      </c>
      <c r="E1170" s="53" t="n">
        <v>6</v>
      </c>
      <c r="F1170" s="53" t="n">
        <v>8</v>
      </c>
      <c r="G1170" s="55" t="n">
        <v>68.20999999999999</v>
      </c>
      <c r="H1170" s="55" t="n">
        <v>92.84999999999999</v>
      </c>
      <c r="I1170" s="53" t="n">
        <v>4</v>
      </c>
      <c r="J1170" s="53" t="n">
        <v>5</v>
      </c>
      <c r="K1170" s="53" t="n">
        <v>0</v>
      </c>
      <c r="L1170" s="53" t="n">
        <v>0</v>
      </c>
      <c r="M1170" s="33">
        <f>F1170-E1170</f>
        <v/>
      </c>
      <c r="N1170" s="33">
        <f>L1170-K1170</f>
        <v/>
      </c>
    </row>
    <row r="1171">
      <c r="A1171" s="58" t="inlineStr">
        <is>
          <t>38025 Rebar (Z)</t>
        </is>
      </c>
      <c r="B1171" s="58" t="inlineStr">
        <is>
          <t>Bergen</t>
        </is>
      </c>
      <c r="C1171" s="58" t="inlineStr">
        <is>
          <t>Nick Melissari</t>
        </is>
      </c>
      <c r="D1171" s="58" t="inlineStr">
        <is>
          <t>On-premise</t>
        </is>
      </c>
      <c r="E1171" s="53" t="n">
        <v>180</v>
      </c>
      <c r="F1171" s="53" t="n">
        <v>124</v>
      </c>
      <c r="G1171" s="55" t="n">
        <v>1610.27</v>
      </c>
      <c r="H1171" s="55" t="n">
        <v>1077.9</v>
      </c>
      <c r="I1171" s="53" t="n">
        <v>82</v>
      </c>
      <c r="J1171" s="53" t="n">
        <v>44</v>
      </c>
      <c r="K1171" s="53" t="n">
        <v>11</v>
      </c>
      <c r="L1171" s="53" t="n">
        <v>11</v>
      </c>
      <c r="M1171" s="33">
        <f>F1171-E1171</f>
        <v/>
      </c>
      <c r="N1171" s="33">
        <f>L1171-K1171</f>
        <v/>
      </c>
    </row>
    <row r="1172">
      <c r="A1172" s="58" t="inlineStr">
        <is>
          <t>79010 Ruth's Chris Steakhouse (Maywood)</t>
        </is>
      </c>
      <c r="B1172" s="58" t="inlineStr">
        <is>
          <t>Bergen</t>
        </is>
      </c>
      <c r="C1172" s="58" t="inlineStr">
        <is>
          <t>Nick Melissari</t>
        </is>
      </c>
      <c r="D1172" s="58" t="inlineStr">
        <is>
          <t>On-premise</t>
        </is>
      </c>
      <c r="E1172" s="53" t="n">
        <v>10</v>
      </c>
      <c r="F1172" s="53" t="n">
        <v>16</v>
      </c>
      <c r="G1172" s="55" t="n">
        <v>106.93</v>
      </c>
      <c r="H1172" s="55" t="n">
        <v>167.26</v>
      </c>
      <c r="I1172" s="53" t="n">
        <v>19</v>
      </c>
      <c r="J1172" s="53" t="n">
        <v>9</v>
      </c>
      <c r="K1172" s="53" t="n">
        <v>2</v>
      </c>
      <c r="L1172" s="53" t="n">
        <v>2</v>
      </c>
      <c r="M1172" s="33">
        <f>F1172-E1172</f>
        <v/>
      </c>
      <c r="N1172" s="33">
        <f>L1172-K1172</f>
        <v/>
      </c>
    </row>
    <row r="1173">
      <c r="A1173" s="58" t="inlineStr">
        <is>
          <t>80013 Bonefish Grill (A) (Paramus)</t>
        </is>
      </c>
      <c r="B1173" s="58" t="inlineStr">
        <is>
          <t>Bergen</t>
        </is>
      </c>
      <c r="C1173" s="58" t="inlineStr">
        <is>
          <t>Nick Melissari</t>
        </is>
      </c>
      <c r="D1173" s="58" t="inlineStr">
        <is>
          <t>On-premise</t>
        </is>
      </c>
      <c r="E1173" s="53" t="n">
        <v>72</v>
      </c>
      <c r="F1173" s="53" t="n">
        <v>47</v>
      </c>
      <c r="G1173" s="55" t="n">
        <v>925.5000000000001</v>
      </c>
      <c r="H1173" s="55" t="n">
        <v>610.89</v>
      </c>
      <c r="I1173" s="53" t="n">
        <v>41</v>
      </c>
      <c r="J1173" s="53" t="n">
        <v>30</v>
      </c>
      <c r="K1173" s="53" t="n">
        <v>3</v>
      </c>
      <c r="L1173" s="53" t="n">
        <v>3</v>
      </c>
      <c r="M1173" s="33">
        <f>F1173-E1173</f>
        <v/>
      </c>
      <c r="N1173" s="33">
        <f>L1173-K1173</f>
        <v/>
      </c>
    </row>
    <row r="1174">
      <c r="A1174" s="58" t="inlineStr">
        <is>
          <t>29028 Angelo's Restaurant</t>
        </is>
      </c>
      <c r="B1174" s="58" t="inlineStr">
        <is>
          <t>Bergen</t>
        </is>
      </c>
      <c r="C1174" s="58" t="inlineStr">
        <is>
          <t>Nick Melissari</t>
        </is>
      </c>
      <c r="D1174" s="58" t="inlineStr">
        <is>
          <t>On-premise</t>
        </is>
      </c>
      <c r="E1174" s="53" t="n">
        <v>9</v>
      </c>
      <c r="F1174" s="53" t="n">
        <v>10</v>
      </c>
      <c r="G1174" s="55" t="n">
        <v>98.27000000000001</v>
      </c>
      <c r="H1174" s="55" t="n">
        <v>101.24</v>
      </c>
      <c r="I1174" s="53" t="n">
        <v>0</v>
      </c>
      <c r="J1174" s="53" t="n">
        <v>0</v>
      </c>
      <c r="K1174" s="53" t="n">
        <v>7</v>
      </c>
      <c r="L1174" s="53" t="n">
        <v>7</v>
      </c>
      <c r="M1174" s="33">
        <f>F1174-E1174</f>
        <v/>
      </c>
      <c r="N1174" s="33">
        <f>L1174-K1174</f>
        <v/>
      </c>
    </row>
    <row r="1175">
      <c r="A1175" s="58" t="inlineStr">
        <is>
          <t>31013 Elia Restaurant</t>
        </is>
      </c>
      <c r="B1175" s="58" t="inlineStr">
        <is>
          <t>Bergen</t>
        </is>
      </c>
      <c r="C1175" s="58" t="inlineStr">
        <is>
          <t>Nick Melissari</t>
        </is>
      </c>
      <c r="D1175" s="58" t="inlineStr">
        <is>
          <t>On-premise</t>
        </is>
      </c>
      <c r="E1175" s="53" t="n">
        <v>67</v>
      </c>
      <c r="F1175" s="53" t="n">
        <v>53</v>
      </c>
      <c r="G1175" s="55" t="n">
        <v>695.39</v>
      </c>
      <c r="H1175" s="55" t="n">
        <v>523.12</v>
      </c>
      <c r="I1175" s="53" t="n">
        <v>21</v>
      </c>
      <c r="J1175" s="53" t="n">
        <v>48</v>
      </c>
      <c r="K1175" s="53" t="n">
        <v>24</v>
      </c>
      <c r="L1175" s="53" t="n">
        <v>24</v>
      </c>
      <c r="M1175" s="33">
        <f>F1175-E1175</f>
        <v/>
      </c>
      <c r="N1175" s="33">
        <f>L1175-K1175</f>
        <v/>
      </c>
    </row>
    <row r="1176">
      <c r="A1176" s="58" t="inlineStr">
        <is>
          <t>29019 Mickey's Bar &amp; Grill (Z)</t>
        </is>
      </c>
      <c r="B1176" s="58" t="inlineStr">
        <is>
          <t>Bergen</t>
        </is>
      </c>
      <c r="C1176" s="58" t="inlineStr">
        <is>
          <t>Nick Melissari</t>
        </is>
      </c>
      <c r="D1176" s="58" t="inlineStr">
        <is>
          <t>On-premise</t>
        </is>
      </c>
      <c r="E1176" s="53" t="n">
        <v>239</v>
      </c>
      <c r="F1176" s="53" t="n">
        <v>263</v>
      </c>
      <c r="G1176" s="55" t="n">
        <v>1979.27</v>
      </c>
      <c r="H1176" s="55" t="n">
        <v>2122.49</v>
      </c>
      <c r="I1176" s="53" t="n">
        <v>24</v>
      </c>
      <c r="J1176" s="53" t="n">
        <v>31</v>
      </c>
      <c r="K1176" s="53" t="n">
        <v>11</v>
      </c>
      <c r="L1176" s="53" t="n">
        <v>11</v>
      </c>
      <c r="M1176" s="33">
        <f>F1176-E1176</f>
        <v/>
      </c>
      <c r="N1176" s="33">
        <f>L1176-K1176</f>
        <v/>
      </c>
    </row>
    <row r="1177">
      <c r="A1177" s="58" t="inlineStr">
        <is>
          <t>80024 Applebee's Paramus</t>
        </is>
      </c>
      <c r="B1177" s="58" t="inlineStr">
        <is>
          <t>Bergen</t>
        </is>
      </c>
      <c r="C1177" s="58" t="inlineStr">
        <is>
          <t>Nick Melissari</t>
        </is>
      </c>
      <c r="D1177" s="58" t="inlineStr">
        <is>
          <t>On-premise</t>
        </is>
      </c>
      <c r="E1177" s="53" t="n">
        <v>231</v>
      </c>
      <c r="F1177" s="53" t="n">
        <v>221</v>
      </c>
      <c r="G1177" s="55" t="n">
        <v>1553.79</v>
      </c>
      <c r="H1177" s="55" t="n">
        <v>1437.24</v>
      </c>
      <c r="I1177" s="53" t="n">
        <v>45</v>
      </c>
      <c r="J1177" s="53" t="n">
        <v>48</v>
      </c>
      <c r="K1177" s="53" t="n">
        <v>15</v>
      </c>
      <c r="L1177" s="53" t="n">
        <v>15</v>
      </c>
      <c r="M1177" s="33">
        <f>F1177-E1177</f>
        <v/>
      </c>
      <c r="N1177" s="33">
        <f>L1177-K1177</f>
        <v/>
      </c>
    </row>
    <row r="1178">
      <c r="A1178" s="58" t="inlineStr">
        <is>
          <t>29030 City Lounge (P)</t>
        </is>
      </c>
      <c r="B1178" s="58" t="inlineStr">
        <is>
          <t>Bergen</t>
        </is>
      </c>
      <c r="C1178" s="58" t="inlineStr">
        <is>
          <t>Nick Melissari</t>
        </is>
      </c>
      <c r="D1178" s="58" t="inlineStr">
        <is>
          <t>On-premise</t>
        </is>
      </c>
      <c r="E1178" s="53" t="n">
        <v>62</v>
      </c>
      <c r="F1178" s="53" t="n">
        <v>83</v>
      </c>
      <c r="G1178" s="55" t="n">
        <v>541.1899999999999</v>
      </c>
      <c r="H1178" s="55" t="n">
        <v>673.58</v>
      </c>
      <c r="I1178" s="53" t="n">
        <v>10</v>
      </c>
      <c r="J1178" s="53" t="n">
        <v>13</v>
      </c>
      <c r="K1178" s="53" t="n">
        <v>1</v>
      </c>
      <c r="L1178" s="53" t="n">
        <v>1</v>
      </c>
      <c r="M1178" s="33">
        <f>F1178-E1178</f>
        <v/>
      </c>
      <c r="N1178" s="33">
        <f>L1178-K1178</f>
        <v/>
      </c>
    </row>
    <row r="1179">
      <c r="A1179" s="58" t="inlineStr">
        <is>
          <t>31023 Applebee's Garfield (A)</t>
        </is>
      </c>
      <c r="B1179" s="58" t="inlineStr">
        <is>
          <t>Bergen</t>
        </is>
      </c>
      <c r="C1179" s="58" t="inlineStr">
        <is>
          <t>Nick Melissari</t>
        </is>
      </c>
      <c r="D1179" s="58" t="inlineStr">
        <is>
          <t>On-premise</t>
        </is>
      </c>
      <c r="E1179" s="53" t="n">
        <v>373</v>
      </c>
      <c r="F1179" s="53" t="n">
        <v>274</v>
      </c>
      <c r="G1179" s="55" t="n">
        <v>2652.05</v>
      </c>
      <c r="H1179" s="55" t="n">
        <v>2041.01</v>
      </c>
      <c r="I1179" s="53" t="n">
        <v>54</v>
      </c>
      <c r="J1179" s="53" t="n">
        <v>49</v>
      </c>
      <c r="K1179" s="53" t="n">
        <v>3</v>
      </c>
      <c r="L1179" s="53" t="n">
        <v>3</v>
      </c>
      <c r="M1179" s="33">
        <f>F1179-E1179</f>
        <v/>
      </c>
      <c r="N1179" s="33">
        <f>L1179-K1179</f>
        <v/>
      </c>
    </row>
    <row r="1180">
      <c r="A1180" s="58" t="inlineStr">
        <is>
          <t>45007 Cantina 46</t>
        </is>
      </c>
      <c r="B1180" s="58" t="inlineStr">
        <is>
          <t>Bergen</t>
        </is>
      </c>
      <c r="C1180" s="58" t="inlineStr">
        <is>
          <t>Nick Melissari</t>
        </is>
      </c>
      <c r="D1180" s="58" t="inlineStr">
        <is>
          <t>Unmatched</t>
        </is>
      </c>
      <c r="E1180" s="53" t="n">
        <v>121</v>
      </c>
      <c r="F1180" s="53" t="n">
        <v>95</v>
      </c>
      <c r="G1180" s="55" t="n">
        <v>1190.02</v>
      </c>
      <c r="H1180" s="55" t="n">
        <v>944.84</v>
      </c>
      <c r="I1180" s="53" t="n">
        <v>20</v>
      </c>
      <c r="J1180" s="53" t="n">
        <v>10</v>
      </c>
      <c r="K1180" s="53" t="n">
        <v>7</v>
      </c>
      <c r="L1180" s="53" t="n">
        <v>7</v>
      </c>
      <c r="M1180" s="33">
        <f>F1180-E1180</f>
        <v/>
      </c>
      <c r="N1180" s="33">
        <f>L1180-K1180</f>
        <v/>
      </c>
    </row>
    <row r="1181">
      <c r="A1181" s="58" t="inlineStr">
        <is>
          <t>96006 Blue Moon Mexican Cafe</t>
        </is>
      </c>
      <c r="B1181" s="58" t="inlineStr">
        <is>
          <t>Bergen</t>
        </is>
      </c>
      <c r="C1181" s="58" t="inlineStr">
        <is>
          <t>Nick Melissari</t>
        </is>
      </c>
      <c r="D1181" s="58" t="inlineStr">
        <is>
          <t>On-premise</t>
        </is>
      </c>
      <c r="E1181" s="53" t="n">
        <v>410</v>
      </c>
      <c r="F1181" s="53" t="n">
        <v>396</v>
      </c>
      <c r="G1181" s="55" t="n">
        <v>3057</v>
      </c>
      <c r="H1181" s="55" t="n">
        <v>3042.53</v>
      </c>
      <c r="I1181" s="53" t="n">
        <v>70</v>
      </c>
      <c r="J1181" s="53" t="n">
        <v>89</v>
      </c>
      <c r="K1181" s="53" t="n">
        <v>15</v>
      </c>
      <c r="L1181" s="53" t="n">
        <v>15</v>
      </c>
      <c r="M1181" s="33">
        <f>F1181-E1181</f>
        <v/>
      </c>
      <c r="N1181" s="33">
        <f>L1181-K1181</f>
        <v/>
      </c>
    </row>
    <row r="1182">
      <c r="A1182" s="58" t="inlineStr">
        <is>
          <t>30026 Simulcast</t>
        </is>
      </c>
      <c r="B1182" s="58" t="inlineStr">
        <is>
          <t>Bergen</t>
        </is>
      </c>
      <c r="C1182" s="58" t="inlineStr">
        <is>
          <t>Nick Melissari</t>
        </is>
      </c>
      <c r="D1182" s="58" t="inlineStr">
        <is>
          <t>On-premise</t>
        </is>
      </c>
      <c r="E1182" s="53" t="n">
        <v>372</v>
      </c>
      <c r="F1182" s="53" t="n">
        <v>400</v>
      </c>
      <c r="G1182" s="55" t="n">
        <v>1571.81</v>
      </c>
      <c r="H1182" s="55" t="n">
        <v>1615.04</v>
      </c>
      <c r="I1182" s="53" t="n">
        <v>52</v>
      </c>
      <c r="J1182" s="53" t="n">
        <v>42</v>
      </c>
      <c r="K1182" s="53" t="n">
        <v>0</v>
      </c>
      <c r="L1182" s="53" t="n">
        <v>0</v>
      </c>
      <c r="M1182" s="33">
        <f>F1182-E1182</f>
        <v/>
      </c>
      <c r="N1182" s="33">
        <f>L1182-K1182</f>
        <v/>
      </c>
    </row>
    <row r="1183">
      <c r="A1183" s="58" t="inlineStr">
        <is>
          <t>31024 Castle Billiards (Z)</t>
        </is>
      </c>
      <c r="B1183" s="58" t="inlineStr">
        <is>
          <t>Bergen</t>
        </is>
      </c>
      <c r="C1183" s="58" t="inlineStr">
        <is>
          <t>Nick Melissari</t>
        </is>
      </c>
      <c r="D1183" s="58" t="inlineStr">
        <is>
          <t>On-premise</t>
        </is>
      </c>
      <c r="E1183" s="53" t="n">
        <v>248</v>
      </c>
      <c r="F1183" s="53" t="n">
        <v>187</v>
      </c>
      <c r="G1183" s="55" t="n">
        <v>1867.6</v>
      </c>
      <c r="H1183" s="55" t="n">
        <v>1568.92</v>
      </c>
      <c r="I1183" s="53" t="n">
        <v>45</v>
      </c>
      <c r="J1183" s="53" t="n">
        <v>10</v>
      </c>
      <c r="K1183" s="53" t="n">
        <v>10</v>
      </c>
      <c r="L1183" s="53" t="n">
        <v>10</v>
      </c>
      <c r="M1183" s="33">
        <f>F1183-E1183</f>
        <v/>
      </c>
      <c r="N1183" s="33">
        <f>L1183-K1183</f>
        <v/>
      </c>
    </row>
    <row r="1184">
      <c r="A1184" s="58" t="inlineStr">
        <is>
          <t>31045 Dream Bar</t>
        </is>
      </c>
      <c r="B1184" s="58" t="inlineStr">
        <is>
          <t>Bergen</t>
        </is>
      </c>
      <c r="C1184" s="58" t="inlineStr">
        <is>
          <t>Nick Melissari</t>
        </is>
      </c>
      <c r="D1184" s="58" t="inlineStr">
        <is>
          <t>On-premise</t>
        </is>
      </c>
      <c r="E1184" s="53" t="n">
        <v>79</v>
      </c>
      <c r="F1184" s="53" t="n">
        <v>44</v>
      </c>
      <c r="G1184" s="55" t="n">
        <v>795.78</v>
      </c>
      <c r="H1184" s="55" t="n">
        <v>292.51</v>
      </c>
      <c r="I1184" s="53" t="n">
        <v>19</v>
      </c>
      <c r="J1184" s="53" t="n">
        <v>18</v>
      </c>
      <c r="K1184" s="53" t="n">
        <v>0</v>
      </c>
      <c r="L1184" s="53" t="n">
        <v>0</v>
      </c>
      <c r="M1184" s="33">
        <f>F1184-E1184</f>
        <v/>
      </c>
      <c r="N1184" s="33">
        <f>L1184-K1184</f>
        <v/>
      </c>
    </row>
    <row r="1185">
      <c r="A1185" s="58" t="inlineStr">
        <is>
          <t>31062 Dream Live Performing Arts Center</t>
        </is>
      </c>
      <c r="B1185" s="58" t="inlineStr">
        <is>
          <t>Bergen</t>
        </is>
      </c>
      <c r="C1185" s="58" t="inlineStr">
        <is>
          <t>Nick Melissari</t>
        </is>
      </c>
      <c r="D1185" s="58" t="inlineStr">
        <is>
          <t>On-premise</t>
        </is>
      </c>
      <c r="E1185" s="53" t="n">
        <v>0</v>
      </c>
      <c r="F1185" s="53" t="n">
        <v>143</v>
      </c>
      <c r="G1185" s="55" t="n">
        <v>0</v>
      </c>
      <c r="H1185" s="55" t="n">
        <v>716.4399999999999</v>
      </c>
      <c r="I1185" s="53" t="n">
        <v>0</v>
      </c>
      <c r="J1185" s="53" t="n">
        <v>30</v>
      </c>
      <c r="K1185" s="53" t="n">
        <v>0</v>
      </c>
      <c r="L1185" s="53" t="n">
        <v>0</v>
      </c>
      <c r="M1185" s="33">
        <f>F1185-E1185</f>
        <v/>
      </c>
      <c r="N1185" s="33">
        <f>L1185-K1185</f>
        <v/>
      </c>
    </row>
    <row r="1186">
      <c r="A1186" s="58" t="inlineStr">
        <is>
          <t>37011 The Firehouse</t>
        </is>
      </c>
      <c r="B1186" s="58" t="inlineStr">
        <is>
          <t>Bergen</t>
        </is>
      </c>
      <c r="C1186" s="58" t="inlineStr">
        <is>
          <t>Nick Melissari</t>
        </is>
      </c>
      <c r="D1186" s="58" t="inlineStr">
        <is>
          <t>On-premise</t>
        </is>
      </c>
      <c r="E1186" s="53" t="n">
        <v>81</v>
      </c>
      <c r="F1186" s="53" t="n">
        <v>136</v>
      </c>
      <c r="G1186" s="55" t="n">
        <v>748.91</v>
      </c>
      <c r="H1186" s="55" t="n">
        <v>1099.05</v>
      </c>
      <c r="I1186" s="53" t="n">
        <v>45</v>
      </c>
      <c r="J1186" s="53" t="n">
        <v>19</v>
      </c>
      <c r="K1186" s="53" t="n">
        <v>0</v>
      </c>
      <c r="L1186" s="53" t="n">
        <v>0</v>
      </c>
      <c r="M1186" s="33">
        <f>F1186-E1186</f>
        <v/>
      </c>
      <c r="N1186" s="33">
        <f>L1186-K1186</f>
        <v/>
      </c>
    </row>
    <row r="1187">
      <c r="A1187" s="58" t="inlineStr">
        <is>
          <t>28016 Inka Flames</t>
        </is>
      </c>
      <c r="B1187" s="58" t="inlineStr">
        <is>
          <t>Bergen</t>
        </is>
      </c>
      <c r="C1187" s="58" t="inlineStr">
        <is>
          <t>Nick Melissari</t>
        </is>
      </c>
      <c r="D1187" s="58" t="inlineStr">
        <is>
          <t>On-premise</t>
        </is>
      </c>
      <c r="E1187" s="53" t="n">
        <v>0</v>
      </c>
      <c r="F1187" s="53" t="n">
        <v>69</v>
      </c>
      <c r="G1187" s="55" t="n">
        <v>0</v>
      </c>
      <c r="H1187" s="55" t="n">
        <v>585.12</v>
      </c>
      <c r="I1187" s="53" t="n">
        <v>0</v>
      </c>
      <c r="J1187" s="53" t="n">
        <v>6</v>
      </c>
      <c r="K1187" s="53" t="n">
        <v>0</v>
      </c>
      <c r="L1187" s="53" t="n">
        <v>0</v>
      </c>
      <c r="M1187" s="33">
        <f>F1187-E1187</f>
        <v/>
      </c>
      <c r="N1187" s="33">
        <f>L1187-K1187</f>
        <v/>
      </c>
    </row>
    <row r="1188">
      <c r="A1188" s="58" t="inlineStr">
        <is>
          <t>28021 Brazilian Spices Steakhouse &amp; Pizza</t>
        </is>
      </c>
      <c r="B1188" s="58" t="inlineStr">
        <is>
          <t>Bergen</t>
        </is>
      </c>
      <c r="C1188" s="58" t="inlineStr">
        <is>
          <t>Nick Melissari</t>
        </is>
      </c>
      <c r="D1188" s="58" t="inlineStr">
        <is>
          <t>Unmatched</t>
        </is>
      </c>
      <c r="E1188" s="53" t="n">
        <v>20</v>
      </c>
      <c r="F1188" s="53" t="n">
        <v>11</v>
      </c>
      <c r="G1188" s="55" t="n">
        <v>218.65</v>
      </c>
      <c r="H1188" s="55" t="n">
        <v>109.96</v>
      </c>
      <c r="I1188" s="53" t="n">
        <v>2</v>
      </c>
      <c r="J1188" s="53" t="n">
        <v>5</v>
      </c>
      <c r="K1188" s="53" t="n">
        <v>0</v>
      </c>
      <c r="L1188" s="53" t="n">
        <v>0</v>
      </c>
      <c r="M1188" s="33">
        <f>F1188-E1188</f>
        <v/>
      </c>
      <c r="N1188" s="33">
        <f>L1188-K1188</f>
        <v/>
      </c>
    </row>
    <row r="1189">
      <c r="A1189" s="58" t="inlineStr">
        <is>
          <t>31051 Around The Clock Diner</t>
        </is>
      </c>
      <c r="B1189" s="58" t="inlineStr">
        <is>
          <t>Bergen</t>
        </is>
      </c>
      <c r="C1189" s="58" t="inlineStr">
        <is>
          <t>Nick Melissari</t>
        </is>
      </c>
      <c r="D1189" s="58" t="inlineStr">
        <is>
          <t>On-premise</t>
        </is>
      </c>
      <c r="E1189" s="53" t="n">
        <v>21</v>
      </c>
      <c r="F1189" s="53" t="n">
        <v>24</v>
      </c>
      <c r="G1189" s="55" t="n">
        <v>224.01</v>
      </c>
      <c r="H1189" s="55" t="n">
        <v>260.26</v>
      </c>
      <c r="I1189" s="53" t="n">
        <v>3</v>
      </c>
      <c r="J1189" s="53" t="n">
        <v>1</v>
      </c>
      <c r="K1189" s="53" t="n">
        <v>0</v>
      </c>
      <c r="L1189" s="53" t="n">
        <v>0</v>
      </c>
      <c r="M1189" s="33">
        <f>F1189-E1189</f>
        <v/>
      </c>
      <c r="N1189" s="33">
        <f>L1189-K1189</f>
        <v/>
      </c>
    </row>
    <row r="1190">
      <c r="A1190" s="58" t="inlineStr">
        <is>
          <t>32012 The Local Pub</t>
        </is>
      </c>
      <c r="B1190" s="58" t="inlineStr">
        <is>
          <t>Bergen</t>
        </is>
      </c>
      <c r="C1190" s="58" t="inlineStr">
        <is>
          <t>Nick Melissari</t>
        </is>
      </c>
      <c r="D1190" s="58" t="inlineStr">
        <is>
          <t>On-premise</t>
        </is>
      </c>
      <c r="E1190" s="53" t="n">
        <v>380</v>
      </c>
      <c r="F1190" s="53" t="n">
        <v>353</v>
      </c>
      <c r="G1190" s="55" t="n">
        <v>2985.43</v>
      </c>
      <c r="H1190" s="55" t="n">
        <v>2636.68</v>
      </c>
      <c r="I1190" s="53" t="n">
        <v>80</v>
      </c>
      <c r="J1190" s="53" t="n">
        <v>88</v>
      </c>
      <c r="K1190" s="53" t="n">
        <v>0</v>
      </c>
      <c r="L1190" s="53" t="n">
        <v>0</v>
      </c>
      <c r="M1190" s="33">
        <f>F1190-E1190</f>
        <v/>
      </c>
      <c r="N1190" s="33">
        <f>L1190-K1190</f>
        <v/>
      </c>
    </row>
    <row r="1191">
      <c r="A1191" s="58" t="inlineStr">
        <is>
          <t>37012 Sportsmens (P) Tavern</t>
        </is>
      </c>
      <c r="B1191" s="58" t="inlineStr">
        <is>
          <t>Bergen</t>
        </is>
      </c>
      <c r="C1191" s="58" t="inlineStr">
        <is>
          <t>Nick Melissari</t>
        </is>
      </c>
      <c r="D1191" s="58" t="inlineStr">
        <is>
          <t>On-premise</t>
        </is>
      </c>
      <c r="E1191" s="53" t="n">
        <v>190</v>
      </c>
      <c r="F1191" s="53" t="n">
        <v>140</v>
      </c>
      <c r="G1191" s="55" t="n">
        <v>1431.92</v>
      </c>
      <c r="H1191" s="55" t="n">
        <v>1121.04</v>
      </c>
      <c r="I1191" s="53" t="n">
        <v>50</v>
      </c>
      <c r="J1191" s="53" t="n">
        <v>48</v>
      </c>
      <c r="K1191" s="53" t="n">
        <v>0</v>
      </c>
      <c r="L1191" s="53" t="n">
        <v>0</v>
      </c>
      <c r="M1191" s="33">
        <f>F1191-E1191</f>
        <v/>
      </c>
      <c r="N1191" s="33">
        <f>L1191-K1191</f>
        <v/>
      </c>
    </row>
    <row r="1192">
      <c r="A1192" s="58" t="inlineStr">
        <is>
          <t>49040 Healing Karaoke</t>
        </is>
      </c>
      <c r="B1192" s="58" t="inlineStr">
        <is>
          <t>Bergen</t>
        </is>
      </c>
      <c r="C1192" s="58" t="inlineStr">
        <is>
          <t>Nick Melissari</t>
        </is>
      </c>
      <c r="D1192" s="58" t="inlineStr">
        <is>
          <t>On-premise</t>
        </is>
      </c>
      <c r="E1192" s="53" t="n">
        <v>38</v>
      </c>
      <c r="F1192" s="53" t="n">
        <v>0</v>
      </c>
      <c r="G1192" s="55" t="n">
        <v>242.3</v>
      </c>
      <c r="H1192" s="55" t="n">
        <v>0</v>
      </c>
      <c r="I1192" s="53" t="n">
        <v>0</v>
      </c>
      <c r="J1192" s="53" t="n">
        <v>0</v>
      </c>
      <c r="K1192" s="53" t="n">
        <v>0</v>
      </c>
      <c r="L1192" s="53" t="n">
        <v>0</v>
      </c>
      <c r="M1192" s="33">
        <f>F1192-E1192</f>
        <v/>
      </c>
      <c r="N1192" s="33">
        <f>L1192-K1192</f>
        <v/>
      </c>
    </row>
    <row r="1193">
      <c r="A1193" s="58" t="inlineStr">
        <is>
          <t>94010 Portobello Banquets</t>
        </is>
      </c>
      <c r="B1193" s="58" t="inlineStr">
        <is>
          <t>Bergen</t>
        </is>
      </c>
      <c r="C1193" s="58" t="inlineStr">
        <is>
          <t>Nick Melissari</t>
        </is>
      </c>
      <c r="D1193" s="58" t="inlineStr">
        <is>
          <t>On-premise</t>
        </is>
      </c>
      <c r="E1193" s="53" t="n">
        <v>0</v>
      </c>
      <c r="F1193" s="53" t="n">
        <v>55</v>
      </c>
      <c r="G1193" s="55" t="n">
        <v>0</v>
      </c>
      <c r="H1193" s="55" t="n">
        <v>488.48</v>
      </c>
      <c r="I1193" s="53" t="n">
        <v>0</v>
      </c>
      <c r="J1193" s="53" t="n">
        <v>0</v>
      </c>
      <c r="K1193" s="53" t="n">
        <v>0</v>
      </c>
      <c r="L1193" s="53" t="n">
        <v>0</v>
      </c>
      <c r="M1193" s="33">
        <f>F1193-E1193</f>
        <v/>
      </c>
      <c r="N1193" s="33">
        <f>L1193-K1193</f>
        <v/>
      </c>
    </row>
    <row r="1194">
      <c r="A1194" s="58" t="inlineStr">
        <is>
          <t>31047 Jarana</t>
        </is>
      </c>
      <c r="B1194" s="58" t="inlineStr">
        <is>
          <t>Bergen</t>
        </is>
      </c>
      <c r="C1194" s="58" t="inlineStr">
        <is>
          <t>Nick Melissari</t>
        </is>
      </c>
      <c r="D1194" s="58" t="inlineStr">
        <is>
          <t>On-premise</t>
        </is>
      </c>
      <c r="E1194" s="53" t="n">
        <v>71</v>
      </c>
      <c r="F1194" s="53" t="n">
        <v>105</v>
      </c>
      <c r="G1194" s="55" t="n">
        <v>618.6900000000001</v>
      </c>
      <c r="H1194" s="55" t="n">
        <v>1007.1</v>
      </c>
      <c r="I1194" s="53" t="n">
        <v>44</v>
      </c>
      <c r="J1194" s="53" t="n">
        <v>70</v>
      </c>
      <c r="K1194" s="53" t="n">
        <v>0</v>
      </c>
      <c r="L1194" s="53" t="n">
        <v>0</v>
      </c>
      <c r="M1194" s="33">
        <f>F1194-E1194</f>
        <v/>
      </c>
      <c r="N1194" s="33">
        <f>L1194-K1194</f>
        <v/>
      </c>
    </row>
    <row r="1195">
      <c r="A1195" s="58" t="inlineStr">
        <is>
          <t>32032 HUNKAR RESTAURANT</t>
        </is>
      </c>
      <c r="B1195" s="58" t="inlineStr">
        <is>
          <t>Bergen</t>
        </is>
      </c>
      <c r="C1195" s="58" t="inlineStr">
        <is>
          <t>Nick Melissari</t>
        </is>
      </c>
      <c r="D1195" s="58" t="inlineStr">
        <is>
          <t>Unmatched</t>
        </is>
      </c>
      <c r="E1195" s="53" t="n">
        <v>6</v>
      </c>
      <c r="F1195" s="53" t="n">
        <v>0</v>
      </c>
      <c r="G1195" s="55" t="n">
        <v>70.53999999999999</v>
      </c>
      <c r="H1195" s="55" t="n">
        <v>0</v>
      </c>
      <c r="I1195" s="53" t="n">
        <v>4</v>
      </c>
      <c r="J1195" s="53" t="n">
        <v>0</v>
      </c>
      <c r="K1195" s="53" t="n">
        <v>0</v>
      </c>
      <c r="L1195" s="53" t="n">
        <v>0</v>
      </c>
      <c r="M1195" s="33">
        <f>F1195-E1195</f>
        <v/>
      </c>
      <c r="N1195" s="33">
        <f>L1195-K1195</f>
        <v/>
      </c>
    </row>
    <row r="1196">
      <c r="A1196" s="58" t="inlineStr">
        <is>
          <t>27015 Dona Maria Rest</t>
        </is>
      </c>
      <c r="B1196" s="58" t="inlineStr">
        <is>
          <t>Passaic</t>
        </is>
      </c>
      <c r="C1196" s="58" t="inlineStr">
        <is>
          <t>Pablo Lopez</t>
        </is>
      </c>
      <c r="D1196" s="58" t="inlineStr">
        <is>
          <t>On-premise</t>
        </is>
      </c>
      <c r="E1196" s="53" t="n">
        <v>210</v>
      </c>
      <c r="F1196" s="53" t="n">
        <v>210</v>
      </c>
      <c r="G1196" s="55" t="n">
        <v>1628.5</v>
      </c>
      <c r="H1196" s="55" t="n">
        <v>1649.75</v>
      </c>
      <c r="I1196" s="53" t="n">
        <v>21</v>
      </c>
      <c r="J1196" s="53" t="n">
        <v>11</v>
      </c>
      <c r="K1196" s="53" t="n">
        <v>40</v>
      </c>
      <c r="L1196" s="53" t="n">
        <v>40</v>
      </c>
      <c r="M1196" s="33">
        <f>F1196-E1196</f>
        <v/>
      </c>
      <c r="N1196" s="33">
        <f>L1196-K1196</f>
        <v/>
      </c>
    </row>
    <row r="1197">
      <c r="A1197" s="58" t="inlineStr">
        <is>
          <t>21022 Costa Marina Lounge(A)</t>
        </is>
      </c>
      <c r="B1197" s="58" t="inlineStr">
        <is>
          <t>Passaic</t>
        </is>
      </c>
      <c r="C1197" s="58" t="inlineStr">
        <is>
          <t>Pablo Lopez</t>
        </is>
      </c>
      <c r="D1197" s="58" t="inlineStr">
        <is>
          <t>On-premise</t>
        </is>
      </c>
      <c r="E1197" s="53" t="n">
        <v>61</v>
      </c>
      <c r="F1197" s="53" t="n">
        <v>71</v>
      </c>
      <c r="G1197" s="55" t="n">
        <v>568.96</v>
      </c>
      <c r="H1197" s="55" t="n">
        <v>659.65</v>
      </c>
      <c r="I1197" s="53" t="n">
        <v>15</v>
      </c>
      <c r="J1197" s="53" t="n">
        <v>17</v>
      </c>
      <c r="K1197" s="53" t="n">
        <v>0</v>
      </c>
      <c r="L1197" s="53" t="n">
        <v>0</v>
      </c>
      <c r="M1197" s="33">
        <f>F1197-E1197</f>
        <v/>
      </c>
      <c r="N1197" s="33">
        <f>L1197-K1197</f>
        <v/>
      </c>
    </row>
    <row r="1198">
      <c r="A1198" s="58" t="inlineStr">
        <is>
          <t>24030 El Mexicano Rest (P)</t>
        </is>
      </c>
      <c r="B1198" s="58" t="inlineStr">
        <is>
          <t>Passaic</t>
        </is>
      </c>
      <c r="C1198" s="58" t="inlineStr">
        <is>
          <t>Pablo Lopez</t>
        </is>
      </c>
      <c r="D1198" s="58" t="inlineStr">
        <is>
          <t>On-premise</t>
        </is>
      </c>
      <c r="E1198" s="53" t="n">
        <v>72</v>
      </c>
      <c r="F1198" s="53" t="n">
        <v>38</v>
      </c>
      <c r="G1198" s="55" t="n">
        <v>734.35</v>
      </c>
      <c r="H1198" s="55" t="n">
        <v>389.75</v>
      </c>
      <c r="I1198" s="53" t="n">
        <v>0</v>
      </c>
      <c r="J1198" s="53" t="n">
        <v>1</v>
      </c>
      <c r="K1198" s="53" t="n">
        <v>0</v>
      </c>
      <c r="L1198" s="53" t="n">
        <v>0</v>
      </c>
      <c r="M1198" s="33">
        <f>F1198-E1198</f>
        <v/>
      </c>
      <c r="N1198" s="33">
        <f>L1198-K1198</f>
        <v/>
      </c>
    </row>
    <row r="1199">
      <c r="A1199" s="58" t="inlineStr">
        <is>
          <t>24049 Hornitos Bakery</t>
        </is>
      </c>
      <c r="B1199" s="58" t="inlineStr">
        <is>
          <t>Passaic</t>
        </is>
      </c>
      <c r="C1199" s="58" t="inlineStr">
        <is>
          <t>Pablo Lopez</t>
        </is>
      </c>
      <c r="D1199" s="58" t="inlineStr">
        <is>
          <t>Unmatched</t>
        </is>
      </c>
      <c r="E1199" s="53" t="n">
        <v>8</v>
      </c>
      <c r="F1199" s="53" t="n">
        <v>18</v>
      </c>
      <c r="G1199" s="55" t="n">
        <v>88.95</v>
      </c>
      <c r="H1199" s="55" t="n">
        <v>187.69</v>
      </c>
      <c r="I1199" s="53" t="n">
        <v>5</v>
      </c>
      <c r="J1199" s="53" t="n">
        <v>4</v>
      </c>
      <c r="K1199" s="53" t="n">
        <v>0</v>
      </c>
      <c r="L1199" s="53" t="n">
        <v>0</v>
      </c>
      <c r="M1199" s="33">
        <f>F1199-E1199</f>
        <v/>
      </c>
      <c r="N1199" s="33">
        <f>L1199-K1199</f>
        <v/>
      </c>
    </row>
    <row r="1200">
      <c r="A1200" s="58" t="inlineStr">
        <is>
          <t>27099 Mama Sushi Rest &amp; Lounge</t>
        </is>
      </c>
      <c r="B1200" s="58" t="inlineStr">
        <is>
          <t>Passaic</t>
        </is>
      </c>
      <c r="C1200" s="58" t="inlineStr">
        <is>
          <t>Pablo Lopez</t>
        </is>
      </c>
      <c r="D1200" s="58" t="inlineStr">
        <is>
          <t>On-premise</t>
        </is>
      </c>
      <c r="E1200" s="53" t="n">
        <v>123</v>
      </c>
      <c r="F1200" s="53" t="n">
        <v>26</v>
      </c>
      <c r="G1200" s="55" t="n">
        <v>1244.87</v>
      </c>
      <c r="H1200" s="55" t="n">
        <v>268.89</v>
      </c>
      <c r="I1200" s="53" t="n">
        <v>3</v>
      </c>
      <c r="J1200" s="53" t="n">
        <v>2</v>
      </c>
      <c r="K1200" s="53" t="n">
        <v>0</v>
      </c>
      <c r="L1200" s="53" t="n">
        <v>0</v>
      </c>
      <c r="M1200" s="33">
        <f>F1200-E1200</f>
        <v/>
      </c>
      <c r="N1200" s="33">
        <f>L1200-K1200</f>
        <v/>
      </c>
    </row>
    <row r="1201">
      <c r="A1201" s="58" t="inlineStr">
        <is>
          <t>27142 Lena y Carbon Restaurant &amp; Bar (Passaic)</t>
        </is>
      </c>
      <c r="B1201" s="58" t="inlineStr">
        <is>
          <t>Passaic</t>
        </is>
      </c>
      <c r="C1201" s="58" t="inlineStr">
        <is>
          <t>Pablo Lopez</t>
        </is>
      </c>
      <c r="D1201" s="58" t="inlineStr">
        <is>
          <t>Unmatched</t>
        </is>
      </c>
      <c r="E1201" s="53" t="n">
        <v>106</v>
      </c>
      <c r="F1201" s="53" t="n">
        <v>70</v>
      </c>
      <c r="G1201" s="55" t="n">
        <v>1050.64</v>
      </c>
      <c r="H1201" s="55" t="n">
        <v>740.02</v>
      </c>
      <c r="I1201" s="53" t="n">
        <v>105</v>
      </c>
      <c r="J1201" s="53" t="n">
        <v>103</v>
      </c>
      <c r="K1201" s="53" t="n">
        <v>0</v>
      </c>
      <c r="L1201" s="53" t="n">
        <v>0</v>
      </c>
      <c r="M1201" s="33">
        <f>F1201-E1201</f>
        <v/>
      </c>
      <c r="N1201" s="33">
        <f>L1201-K1201</f>
        <v/>
      </c>
    </row>
    <row r="1202">
      <c r="A1202" s="58" t="inlineStr">
        <is>
          <t>15062 Ragtime Gentlemen's Club</t>
        </is>
      </c>
      <c r="B1202" s="58" t="inlineStr">
        <is>
          <t>Passaic</t>
        </is>
      </c>
      <c r="C1202" s="58" t="inlineStr">
        <is>
          <t>Pablo Lopez</t>
        </is>
      </c>
      <c r="D1202" s="58" t="inlineStr">
        <is>
          <t>On-premise</t>
        </is>
      </c>
      <c r="E1202" s="53" t="n">
        <v>29</v>
      </c>
      <c r="F1202" s="53" t="n">
        <v>23</v>
      </c>
      <c r="G1202" s="55" t="n">
        <v>283.46</v>
      </c>
      <c r="H1202" s="55" t="n">
        <v>217.1</v>
      </c>
      <c r="I1202" s="53" t="n">
        <v>0</v>
      </c>
      <c r="J1202" s="53" t="n">
        <v>0</v>
      </c>
      <c r="K1202" s="53" t="n">
        <v>0</v>
      </c>
      <c r="L1202" s="53" t="n">
        <v>0</v>
      </c>
      <c r="M1202" s="33">
        <f>F1202-E1202</f>
        <v/>
      </c>
      <c r="N1202" s="33">
        <f>L1202-K1202</f>
        <v/>
      </c>
    </row>
    <row r="1203">
      <c r="A1203" s="58" t="inlineStr">
        <is>
          <t>20108 5th Avenue (P) Tavern</t>
        </is>
      </c>
      <c r="B1203" s="58" t="inlineStr">
        <is>
          <t>Passaic</t>
        </is>
      </c>
      <c r="C1203" s="58" t="inlineStr">
        <is>
          <t>Pablo Lopez</t>
        </is>
      </c>
      <c r="D1203" s="58" t="inlineStr">
        <is>
          <t>On-premise</t>
        </is>
      </c>
      <c r="E1203" s="53" t="n">
        <v>82</v>
      </c>
      <c r="F1203" s="53" t="n">
        <v>175</v>
      </c>
      <c r="G1203" s="55" t="n">
        <v>696.3099999999999</v>
      </c>
      <c r="H1203" s="55" t="n">
        <v>1270.68</v>
      </c>
      <c r="I1203" s="53" t="n">
        <v>0</v>
      </c>
      <c r="J1203" s="53" t="n">
        <v>0</v>
      </c>
      <c r="K1203" s="53" t="n">
        <v>0</v>
      </c>
      <c r="L1203" s="53" t="n">
        <v>0</v>
      </c>
      <c r="M1203" s="33">
        <f>F1203-E1203</f>
        <v/>
      </c>
      <c r="N1203" s="33">
        <f>L1203-K1203</f>
        <v/>
      </c>
    </row>
    <row r="1204">
      <c r="A1204" s="58" t="inlineStr">
        <is>
          <t>21042 Marcet Cafe</t>
        </is>
      </c>
      <c r="B1204" s="58" t="inlineStr">
        <is>
          <t>Passaic</t>
        </is>
      </c>
      <c r="C1204" s="58" t="inlineStr">
        <is>
          <t>Pablo Lopez</t>
        </is>
      </c>
      <c r="D1204" s="58" t="inlineStr">
        <is>
          <t>On-premise</t>
        </is>
      </c>
      <c r="E1204" s="53" t="n">
        <v>253</v>
      </c>
      <c r="F1204" s="53" t="n">
        <v>0</v>
      </c>
      <c r="G1204" s="55" t="n">
        <v>2380.71</v>
      </c>
      <c r="H1204" s="55" t="n">
        <v>0</v>
      </c>
      <c r="I1204" s="53" t="n">
        <v>0</v>
      </c>
      <c r="J1204" s="53" t="n">
        <v>0</v>
      </c>
      <c r="K1204" s="53" t="n">
        <v>0</v>
      </c>
      <c r="L1204" s="53" t="n">
        <v>0</v>
      </c>
      <c r="M1204" s="33">
        <f>F1204-E1204</f>
        <v/>
      </c>
      <c r="N1204" s="33">
        <f>L1204-K1204</f>
        <v/>
      </c>
    </row>
    <row r="1205">
      <c r="A1205" s="58" t="inlineStr">
        <is>
          <t>22021 Super Korona (Z) Bar</t>
        </is>
      </c>
      <c r="B1205" s="58" t="inlineStr">
        <is>
          <t>Passaic</t>
        </is>
      </c>
      <c r="C1205" s="58" t="inlineStr">
        <is>
          <t>Pablo Lopez</t>
        </is>
      </c>
      <c r="D1205" s="58" t="inlineStr">
        <is>
          <t>On-premise</t>
        </is>
      </c>
      <c r="E1205" s="53" t="n">
        <v>110</v>
      </c>
      <c r="F1205" s="53" t="n">
        <v>321</v>
      </c>
      <c r="G1205" s="55" t="n">
        <v>807.39</v>
      </c>
      <c r="H1205" s="55" t="n">
        <v>2356.57</v>
      </c>
      <c r="I1205" s="53" t="n">
        <v>0</v>
      </c>
      <c r="J1205" s="53" t="n">
        <v>0</v>
      </c>
      <c r="K1205" s="53" t="n">
        <v>0</v>
      </c>
      <c r="L1205" s="53" t="n">
        <v>0</v>
      </c>
      <c r="M1205" s="33">
        <f>F1205-E1205</f>
        <v/>
      </c>
      <c r="N1205" s="33">
        <f>L1205-K1205</f>
        <v/>
      </c>
    </row>
    <row r="1206">
      <c r="A1206" s="58" t="inlineStr">
        <is>
          <t>22025 Dulce Patria</t>
        </is>
      </c>
      <c r="B1206" s="58" t="inlineStr">
        <is>
          <t>Passaic</t>
        </is>
      </c>
      <c r="C1206" s="58" t="inlineStr">
        <is>
          <t>Pablo Lopez</t>
        </is>
      </c>
      <c r="D1206" s="58" t="inlineStr">
        <is>
          <t>On-premise</t>
        </is>
      </c>
      <c r="E1206" s="53" t="n">
        <v>13</v>
      </c>
      <c r="F1206" s="53" t="n">
        <v>27</v>
      </c>
      <c r="G1206" s="55" t="n">
        <v>145.3</v>
      </c>
      <c r="H1206" s="55" t="n">
        <v>283.53</v>
      </c>
      <c r="I1206" s="53" t="n">
        <v>0</v>
      </c>
      <c r="J1206" s="53" t="n">
        <v>0</v>
      </c>
      <c r="K1206" s="53" t="n">
        <v>0</v>
      </c>
      <c r="L1206" s="53" t="n">
        <v>0</v>
      </c>
      <c r="M1206" s="33">
        <f>F1206-E1206</f>
        <v/>
      </c>
      <c r="N1206" s="33">
        <f>L1206-K1206</f>
        <v/>
      </c>
    </row>
    <row r="1207">
      <c r="A1207" s="58" t="inlineStr">
        <is>
          <t>22036 Tease (P)</t>
        </is>
      </c>
      <c r="B1207" s="58" t="inlineStr">
        <is>
          <t>Passaic</t>
        </is>
      </c>
      <c r="C1207" s="58" t="inlineStr">
        <is>
          <t>Pablo Lopez</t>
        </is>
      </c>
      <c r="D1207" s="58" t="inlineStr">
        <is>
          <t>On-premise</t>
        </is>
      </c>
      <c r="E1207" s="53" t="n">
        <v>23</v>
      </c>
      <c r="F1207" s="53" t="n">
        <v>30</v>
      </c>
      <c r="G1207" s="55" t="n">
        <v>197.91</v>
      </c>
      <c r="H1207" s="55" t="n">
        <v>294.55</v>
      </c>
      <c r="I1207" s="53" t="n">
        <v>4</v>
      </c>
      <c r="J1207" s="53" t="n">
        <v>7</v>
      </c>
      <c r="K1207" s="53" t="n">
        <v>0</v>
      </c>
      <c r="L1207" s="53" t="n">
        <v>0</v>
      </c>
      <c r="M1207" s="33">
        <f>F1207-E1207</f>
        <v/>
      </c>
      <c r="N1207" s="33">
        <f>L1207-K1207</f>
        <v/>
      </c>
    </row>
    <row r="1208">
      <c r="A1208" s="58" t="inlineStr">
        <is>
          <t>22044 Los Cristales (Z)</t>
        </is>
      </c>
      <c r="B1208" s="58" t="inlineStr">
        <is>
          <t>Passaic</t>
        </is>
      </c>
      <c r="C1208" s="58" t="inlineStr">
        <is>
          <t>Pablo Lopez</t>
        </is>
      </c>
      <c r="D1208" s="58" t="inlineStr">
        <is>
          <t>On-premise</t>
        </is>
      </c>
      <c r="E1208" s="53" t="n">
        <v>378</v>
      </c>
      <c r="F1208" s="53" t="n">
        <v>511</v>
      </c>
      <c r="G1208" s="55" t="n">
        <v>2687.01</v>
      </c>
      <c r="H1208" s="55" t="n">
        <v>3603.06</v>
      </c>
      <c r="I1208" s="53" t="n">
        <v>4</v>
      </c>
      <c r="J1208" s="53" t="n">
        <v>0</v>
      </c>
      <c r="K1208" s="53" t="n">
        <v>0</v>
      </c>
      <c r="L1208" s="53" t="n">
        <v>0</v>
      </c>
      <c r="M1208" s="33">
        <f>F1208-E1208</f>
        <v/>
      </c>
      <c r="N1208" s="33">
        <f>L1208-K1208</f>
        <v/>
      </c>
    </row>
    <row r="1209">
      <c r="A1209" s="58" t="inlineStr">
        <is>
          <t>25041 Family Association</t>
        </is>
      </c>
      <c r="B1209" s="58" t="inlineStr">
        <is>
          <t>Passaic</t>
        </is>
      </c>
      <c r="C1209" s="58" t="inlineStr">
        <is>
          <t>Pablo Lopez</t>
        </is>
      </c>
      <c r="D1209" s="58" t="inlineStr">
        <is>
          <t>On-premise</t>
        </is>
      </c>
      <c r="E1209" s="53" t="n">
        <v>62</v>
      </c>
      <c r="F1209" s="53" t="n">
        <v>21</v>
      </c>
      <c r="G1209" s="55" t="n">
        <v>447.04</v>
      </c>
      <c r="H1209" s="55" t="n">
        <v>156.03</v>
      </c>
      <c r="I1209" s="53" t="n">
        <v>0</v>
      </c>
      <c r="J1209" s="53" t="n">
        <v>0</v>
      </c>
      <c r="K1209" s="53" t="n">
        <v>0</v>
      </c>
      <c r="L1209" s="53" t="n">
        <v>0</v>
      </c>
      <c r="M1209" s="33">
        <f>F1209-E1209</f>
        <v/>
      </c>
      <c r="N1209" s="33">
        <f>L1209-K1209</f>
        <v/>
      </c>
    </row>
    <row r="1210">
      <c r="A1210" s="58" t="inlineStr">
        <is>
          <t>25071 Jaimito's Crtside(Z)</t>
        </is>
      </c>
      <c r="B1210" s="58" t="inlineStr">
        <is>
          <t>Passaic</t>
        </is>
      </c>
      <c r="C1210" s="58" t="inlineStr">
        <is>
          <t>Pablo Lopez</t>
        </is>
      </c>
      <c r="D1210" s="58" t="inlineStr">
        <is>
          <t>On-premise</t>
        </is>
      </c>
      <c r="E1210" s="53" t="n">
        <v>75</v>
      </c>
      <c r="F1210" s="53" t="n">
        <v>54</v>
      </c>
      <c r="G1210" s="55" t="n">
        <v>554.85</v>
      </c>
      <c r="H1210" s="55" t="n">
        <v>497.8</v>
      </c>
      <c r="I1210" s="53" t="n">
        <v>0</v>
      </c>
      <c r="J1210" s="53" t="n">
        <v>0</v>
      </c>
      <c r="K1210" s="53" t="n">
        <v>0</v>
      </c>
      <c r="L1210" s="53" t="n">
        <v>0</v>
      </c>
      <c r="M1210" s="33">
        <f>F1210-E1210</f>
        <v/>
      </c>
      <c r="N1210" s="33">
        <f>L1210-K1210</f>
        <v/>
      </c>
    </row>
    <row r="1211">
      <c r="A1211" s="58" t="inlineStr">
        <is>
          <t>27145 LOTUS</t>
        </is>
      </c>
      <c r="B1211" s="58" t="inlineStr">
        <is>
          <t>Passaic</t>
        </is>
      </c>
      <c r="C1211" s="58" t="inlineStr">
        <is>
          <t>Pablo Lopez</t>
        </is>
      </c>
      <c r="D1211" s="58" t="inlineStr">
        <is>
          <t>On-premise</t>
        </is>
      </c>
      <c r="E1211" s="53" t="n">
        <v>123</v>
      </c>
      <c r="F1211" s="53" t="n">
        <v>103</v>
      </c>
      <c r="G1211" s="55" t="n">
        <v>988.61</v>
      </c>
      <c r="H1211" s="55" t="n">
        <v>867.41</v>
      </c>
      <c r="I1211" s="53" t="n">
        <v>60</v>
      </c>
      <c r="J1211" s="53" t="n">
        <v>39</v>
      </c>
      <c r="K1211" s="53" t="n">
        <v>0</v>
      </c>
      <c r="L1211" s="53" t="n">
        <v>0</v>
      </c>
      <c r="M1211" s="33">
        <f>F1211-E1211</f>
        <v/>
      </c>
      <c r="N1211" s="33">
        <f>L1211-K1211</f>
        <v/>
      </c>
    </row>
    <row r="1212">
      <c r="A1212" s="58" t="inlineStr">
        <is>
          <t>20124 Lena y Carbon Broaster</t>
        </is>
      </c>
      <c r="B1212" s="58" t="inlineStr">
        <is>
          <t>Passaic</t>
        </is>
      </c>
      <c r="C1212" s="58" t="inlineStr">
        <is>
          <t>Pablo Lopez</t>
        </is>
      </c>
      <c r="D1212" s="58" t="inlineStr">
        <is>
          <t>Unmatched</t>
        </is>
      </c>
      <c r="E1212" s="53" t="n">
        <v>20</v>
      </c>
      <c r="F1212" s="53" t="n">
        <v>21</v>
      </c>
      <c r="G1212" s="55" t="n">
        <v>209.39</v>
      </c>
      <c r="H1212" s="55" t="n">
        <v>198.26</v>
      </c>
      <c r="I1212" s="53" t="n">
        <v>3</v>
      </c>
      <c r="J1212" s="53" t="n">
        <v>8</v>
      </c>
      <c r="K1212" s="53" t="n">
        <v>0</v>
      </c>
      <c r="L1212" s="53" t="n">
        <v>0</v>
      </c>
      <c r="M1212" s="33">
        <f>F1212-E1212</f>
        <v/>
      </c>
      <c r="N1212" s="33">
        <f>L1212-K1212</f>
        <v/>
      </c>
    </row>
    <row r="1213">
      <c r="A1213" s="58" t="inlineStr">
        <is>
          <t>25073 Aruba Lounge (P)</t>
        </is>
      </c>
      <c r="B1213" s="58" t="inlineStr">
        <is>
          <t>Passaic</t>
        </is>
      </c>
      <c r="C1213" s="58" t="inlineStr">
        <is>
          <t>Pablo Lopez</t>
        </is>
      </c>
      <c r="D1213" s="58" t="inlineStr">
        <is>
          <t>On-premise</t>
        </is>
      </c>
      <c r="E1213" s="53" t="n">
        <v>0</v>
      </c>
      <c r="F1213" s="53" t="n">
        <v>150</v>
      </c>
      <c r="G1213" s="55" t="n">
        <v>0</v>
      </c>
      <c r="H1213" s="55" t="n">
        <v>1462.12</v>
      </c>
      <c r="I1213" s="53" t="n">
        <v>0</v>
      </c>
      <c r="J1213" s="53" t="n">
        <v>5</v>
      </c>
      <c r="K1213" s="53" t="n">
        <v>0</v>
      </c>
      <c r="L1213" s="53" t="n">
        <v>0</v>
      </c>
      <c r="M1213" s="33">
        <f>F1213-E1213</f>
        <v/>
      </c>
      <c r="N1213" s="33">
        <f>L1213-K1213</f>
        <v/>
      </c>
    </row>
    <row r="1214">
      <c r="A1214" s="58" t="inlineStr">
        <is>
          <t>25086 Con Sabor A Peru (A)</t>
        </is>
      </c>
      <c r="B1214" s="58" t="inlineStr">
        <is>
          <t>Passaic</t>
        </is>
      </c>
      <c r="C1214" s="58" t="inlineStr">
        <is>
          <t>Pablo Lopez</t>
        </is>
      </c>
      <c r="D1214" s="58" t="inlineStr">
        <is>
          <t>On-premise</t>
        </is>
      </c>
      <c r="E1214" s="53" t="n">
        <v>15</v>
      </c>
      <c r="F1214" s="53" t="n">
        <v>3</v>
      </c>
      <c r="G1214" s="55" t="n">
        <v>158.61</v>
      </c>
      <c r="H1214" s="55" t="n">
        <v>32.61</v>
      </c>
      <c r="I1214" s="53" t="n">
        <v>15</v>
      </c>
      <c r="J1214" s="53" t="n">
        <v>9</v>
      </c>
      <c r="K1214" s="53" t="n">
        <v>0</v>
      </c>
      <c r="L1214" s="53" t="n">
        <v>0</v>
      </c>
      <c r="M1214" s="33">
        <f>F1214-E1214</f>
        <v/>
      </c>
      <c r="N1214" s="33">
        <f>L1214-K1214</f>
        <v/>
      </c>
    </row>
    <row r="1215">
      <c r="A1215" s="58" t="inlineStr">
        <is>
          <t>27073 Noches De Colombia (Passaic)</t>
        </is>
      </c>
      <c r="B1215" s="58" t="inlineStr">
        <is>
          <t>Passaic</t>
        </is>
      </c>
      <c r="C1215" s="58" t="inlineStr">
        <is>
          <t>Pablo Lopez</t>
        </is>
      </c>
      <c r="D1215" s="58" t="inlineStr">
        <is>
          <t>On-premise</t>
        </is>
      </c>
      <c r="E1215" s="53" t="n">
        <v>118</v>
      </c>
      <c r="F1215" s="53" t="n">
        <v>137</v>
      </c>
      <c r="G1215" s="55" t="n">
        <v>1108.76</v>
      </c>
      <c r="H1215" s="55" t="n">
        <v>1268.74</v>
      </c>
      <c r="I1215" s="53" t="n">
        <v>10</v>
      </c>
      <c r="J1215" s="53" t="n">
        <v>10</v>
      </c>
      <c r="K1215" s="53" t="n">
        <v>0</v>
      </c>
      <c r="L1215" s="53" t="n">
        <v>0</v>
      </c>
      <c r="M1215" s="33">
        <f>F1215-E1215</f>
        <v/>
      </c>
      <c r="N1215" s="33">
        <f>L1215-K1215</f>
        <v/>
      </c>
    </row>
    <row r="1216">
      <c r="A1216" s="58" t="inlineStr">
        <is>
          <t>27100 Buenaaazo</t>
        </is>
      </c>
      <c r="B1216" s="58" t="inlineStr">
        <is>
          <t>Passaic</t>
        </is>
      </c>
      <c r="C1216" s="58" t="inlineStr">
        <is>
          <t>Pablo Lopez</t>
        </is>
      </c>
      <c r="D1216" s="58" t="inlineStr">
        <is>
          <t>Unmatched</t>
        </is>
      </c>
      <c r="E1216" s="53" t="n">
        <v>0</v>
      </c>
      <c r="F1216" s="53" t="n">
        <v>9</v>
      </c>
      <c r="G1216" s="55" t="n">
        <v>0</v>
      </c>
      <c r="H1216" s="55" t="n">
        <v>92.59</v>
      </c>
      <c r="I1216" s="53" t="n">
        <v>0</v>
      </c>
      <c r="J1216" s="53" t="n">
        <v>5</v>
      </c>
      <c r="K1216" s="53" t="n">
        <v>0</v>
      </c>
      <c r="L1216" s="53" t="n">
        <v>0</v>
      </c>
      <c r="M1216" s="33">
        <f>F1216-E1216</f>
        <v/>
      </c>
      <c r="N1216" s="33">
        <f>L1216-K1216</f>
        <v/>
      </c>
    </row>
    <row r="1217">
      <c r="A1217" s="58" t="inlineStr">
        <is>
          <t>70008 Hearth &amp; Tap Co.</t>
        </is>
      </c>
      <c r="B1217" s="58" t="inlineStr">
        <is>
          <t>Bergen</t>
        </is>
      </c>
      <c r="C1217" s="58" t="inlineStr">
        <is>
          <t>Paul Mclaughlin</t>
        </is>
      </c>
      <c r="D1217" s="58" t="inlineStr">
        <is>
          <t>On-premise</t>
        </is>
      </c>
      <c r="E1217" s="53" t="n">
        <v>401</v>
      </c>
      <c r="F1217" s="53" t="n">
        <v>406</v>
      </c>
      <c r="G1217" s="55" t="n">
        <v>3402.48</v>
      </c>
      <c r="H1217" s="55" t="n">
        <v>3487.559999999999</v>
      </c>
      <c r="I1217" s="53" t="n">
        <v>240</v>
      </c>
      <c r="J1217" s="53" t="n">
        <v>209</v>
      </c>
      <c r="K1217" s="53" t="n">
        <v>128</v>
      </c>
      <c r="L1217" s="53" t="n">
        <v>128</v>
      </c>
      <c r="M1217" s="33">
        <f>F1217-E1217</f>
        <v/>
      </c>
      <c r="N1217" s="33">
        <f>L1217-K1217</f>
        <v/>
      </c>
    </row>
    <row r="1218">
      <c r="A1218" s="58" t="inlineStr">
        <is>
          <t>41001 Casual Habana Cafe(Hack)</t>
        </is>
      </c>
      <c r="B1218" s="58" t="inlineStr">
        <is>
          <t>Bergen</t>
        </is>
      </c>
      <c r="C1218" s="58" t="inlineStr">
        <is>
          <t>Paul Mclaughlin</t>
        </is>
      </c>
      <c r="D1218" s="58" t="inlineStr">
        <is>
          <t>On-premise</t>
        </is>
      </c>
      <c r="E1218" s="53" t="n">
        <v>33</v>
      </c>
      <c r="F1218" s="53" t="n">
        <v>60</v>
      </c>
      <c r="G1218" s="55" t="n">
        <v>341.3900000000001</v>
      </c>
      <c r="H1218" s="55" t="n">
        <v>587.49</v>
      </c>
      <c r="I1218" s="53" t="n">
        <v>0</v>
      </c>
      <c r="J1218" s="53" t="n">
        <v>0</v>
      </c>
      <c r="K1218" s="53" t="n">
        <v>7</v>
      </c>
      <c r="L1218" s="53" t="n">
        <v>7</v>
      </c>
      <c r="M1218" s="33">
        <f>F1218-E1218</f>
        <v/>
      </c>
      <c r="N1218" s="33">
        <f>L1218-K1218</f>
        <v/>
      </c>
    </row>
    <row r="1219">
      <c r="A1219" s="58" t="inlineStr">
        <is>
          <t>60014 Pop(xo) Taco</t>
        </is>
      </c>
      <c r="B1219" s="58" t="inlineStr">
        <is>
          <t>Bergen</t>
        </is>
      </c>
      <c r="C1219" s="58" t="inlineStr">
        <is>
          <t>Paul Mclaughlin</t>
        </is>
      </c>
      <c r="D1219" s="58" t="inlineStr">
        <is>
          <t>On-premise</t>
        </is>
      </c>
      <c r="E1219" s="53" t="n">
        <v>22</v>
      </c>
      <c r="F1219" s="53" t="n">
        <v>44</v>
      </c>
      <c r="G1219" s="55" t="n">
        <v>193.3</v>
      </c>
      <c r="H1219" s="55" t="n">
        <v>424.18</v>
      </c>
      <c r="I1219" s="53" t="n">
        <v>0</v>
      </c>
      <c r="J1219" s="53" t="n">
        <v>0</v>
      </c>
      <c r="K1219" s="53" t="n">
        <v>7</v>
      </c>
      <c r="L1219" s="53" t="n">
        <v>7</v>
      </c>
      <c r="M1219" s="33">
        <f>F1219-E1219</f>
        <v/>
      </c>
      <c r="N1219" s="33">
        <f>L1219-K1219</f>
        <v/>
      </c>
    </row>
    <row r="1220">
      <c r="A1220" s="58" t="inlineStr">
        <is>
          <t>71004 Four Leaves</t>
        </is>
      </c>
      <c r="B1220" s="58" t="inlineStr">
        <is>
          <t>Bergen</t>
        </is>
      </c>
      <c r="C1220" s="58" t="inlineStr">
        <is>
          <t>Paul Mclaughlin</t>
        </is>
      </c>
      <c r="D1220" s="58" t="inlineStr">
        <is>
          <t>Unmatched</t>
        </is>
      </c>
      <c r="E1220" s="53" t="n">
        <v>59</v>
      </c>
      <c r="F1220" s="53" t="n">
        <v>55</v>
      </c>
      <c r="G1220" s="55" t="n">
        <v>557.45</v>
      </c>
      <c r="H1220" s="55" t="n">
        <v>523.77</v>
      </c>
      <c r="I1220" s="53" t="n">
        <v>34</v>
      </c>
      <c r="J1220" s="53" t="n">
        <v>19</v>
      </c>
      <c r="K1220" s="53" t="n">
        <v>12</v>
      </c>
      <c r="L1220" s="53" t="n">
        <v>12</v>
      </c>
      <c r="M1220" s="33">
        <f>F1220-E1220</f>
        <v/>
      </c>
      <c r="N1220" s="33">
        <f>L1220-K1220</f>
        <v/>
      </c>
    </row>
    <row r="1221">
      <c r="A1221" s="58" t="inlineStr">
        <is>
          <t>57007 New Bridge Inn(A)</t>
        </is>
      </c>
      <c r="B1221" s="58" t="inlineStr">
        <is>
          <t>Bergen</t>
        </is>
      </c>
      <c r="C1221" s="58" t="inlineStr">
        <is>
          <t>Paul Mclaughlin</t>
        </is>
      </c>
      <c r="D1221" s="58" t="inlineStr">
        <is>
          <t>On-premise</t>
        </is>
      </c>
      <c r="E1221" s="53" t="n">
        <v>164</v>
      </c>
      <c r="F1221" s="53" t="n">
        <v>127</v>
      </c>
      <c r="G1221" s="55" t="n">
        <v>1545.34</v>
      </c>
      <c r="H1221" s="55" t="n">
        <v>1182.6</v>
      </c>
      <c r="I1221" s="53" t="n">
        <v>21</v>
      </c>
      <c r="J1221" s="53" t="n">
        <v>14</v>
      </c>
      <c r="K1221" s="53" t="n">
        <v>18</v>
      </c>
      <c r="L1221" s="53" t="n">
        <v>18</v>
      </c>
      <c r="M1221" s="33">
        <f>F1221-E1221</f>
        <v/>
      </c>
      <c r="N1221" s="33">
        <f>L1221-K1221</f>
        <v/>
      </c>
    </row>
    <row r="1222">
      <c r="A1222" s="58" t="inlineStr">
        <is>
          <t>68003 Aurora Restaurant</t>
        </is>
      </c>
      <c r="B1222" s="58" t="inlineStr">
        <is>
          <t>Bergen</t>
        </is>
      </c>
      <c r="C1222" s="58" t="inlineStr">
        <is>
          <t>Paul Mclaughlin</t>
        </is>
      </c>
      <c r="D1222" s="58" t="inlineStr">
        <is>
          <t>Unmatched</t>
        </is>
      </c>
      <c r="E1222" s="53" t="n">
        <v>78</v>
      </c>
      <c r="F1222" s="53" t="n">
        <v>83</v>
      </c>
      <c r="G1222" s="55" t="n">
        <v>744.4100000000001</v>
      </c>
      <c r="H1222" s="55" t="n">
        <v>795.59</v>
      </c>
      <c r="I1222" s="53" t="n">
        <v>4</v>
      </c>
      <c r="J1222" s="53" t="n">
        <v>4</v>
      </c>
      <c r="K1222" s="53" t="n">
        <v>35</v>
      </c>
      <c r="L1222" s="53" t="n">
        <v>35</v>
      </c>
      <c r="M1222" s="33">
        <f>F1222-E1222</f>
        <v/>
      </c>
      <c r="N1222" s="33">
        <f>L1222-K1222</f>
        <v/>
      </c>
    </row>
    <row r="1223">
      <c r="A1223" s="58" t="inlineStr">
        <is>
          <t>81027 RP Prime Steakhouse</t>
        </is>
      </c>
      <c r="B1223" s="58" t="inlineStr">
        <is>
          <t>Bergen</t>
        </is>
      </c>
      <c r="C1223" s="58" t="inlineStr">
        <is>
          <t>Paul Mclaughlin</t>
        </is>
      </c>
      <c r="D1223" s="58" t="inlineStr">
        <is>
          <t>On-premise</t>
        </is>
      </c>
      <c r="E1223" s="53" t="n">
        <v>35</v>
      </c>
      <c r="F1223" s="53" t="n">
        <v>31</v>
      </c>
      <c r="G1223" s="55" t="n">
        <v>406.69</v>
      </c>
      <c r="H1223" s="55" t="n">
        <v>328.58</v>
      </c>
      <c r="I1223" s="53" t="n">
        <v>6</v>
      </c>
      <c r="J1223" s="53" t="n">
        <v>9</v>
      </c>
      <c r="K1223" s="53" t="n">
        <v>7</v>
      </c>
      <c r="L1223" s="53" t="n">
        <v>7</v>
      </c>
      <c r="M1223" s="33">
        <f>F1223-E1223</f>
        <v/>
      </c>
      <c r="N1223" s="33">
        <f>L1223-K1223</f>
        <v/>
      </c>
    </row>
    <row r="1224">
      <c r="A1224" s="58" t="inlineStr">
        <is>
          <t>52046 Bergen Performing Arts</t>
        </is>
      </c>
      <c r="B1224" s="58" t="inlineStr">
        <is>
          <t>Bergen</t>
        </is>
      </c>
      <c r="C1224" s="58" t="inlineStr">
        <is>
          <t>Paul Mclaughlin</t>
        </is>
      </c>
      <c r="D1224" s="58" t="inlineStr">
        <is>
          <t>On-premise</t>
        </is>
      </c>
      <c r="E1224" s="53" t="n">
        <v>75</v>
      </c>
      <c r="F1224" s="53" t="n">
        <v>70</v>
      </c>
      <c r="G1224" s="55" t="n">
        <v>526.76</v>
      </c>
      <c r="H1224" s="55" t="n">
        <v>497.75</v>
      </c>
      <c r="I1224" s="53" t="n">
        <v>5</v>
      </c>
      <c r="J1224" s="53" t="n">
        <v>0</v>
      </c>
      <c r="K1224" s="53" t="n">
        <v>15</v>
      </c>
      <c r="L1224" s="53" t="n">
        <v>15</v>
      </c>
      <c r="M1224" s="33">
        <f>F1224-E1224</f>
        <v/>
      </c>
      <c r="N1224" s="33">
        <f>L1224-K1224</f>
        <v/>
      </c>
    </row>
    <row r="1225">
      <c r="A1225" s="58" t="inlineStr">
        <is>
          <t>50015 PUB 178</t>
        </is>
      </c>
      <c r="B1225" s="58" t="inlineStr">
        <is>
          <t>Bergen</t>
        </is>
      </c>
      <c r="C1225" s="58" t="inlineStr">
        <is>
          <t>Paul Mclaughlin</t>
        </is>
      </c>
      <c r="D1225" s="58" t="inlineStr">
        <is>
          <t>On-premise</t>
        </is>
      </c>
      <c r="E1225" s="53" t="n">
        <v>160</v>
      </c>
      <c r="F1225" s="53" t="n">
        <v>152</v>
      </c>
      <c r="G1225" s="55" t="n">
        <v>1290.79</v>
      </c>
      <c r="H1225" s="55" t="n">
        <v>1161.13</v>
      </c>
      <c r="I1225" s="53" t="n">
        <v>39</v>
      </c>
      <c r="J1225" s="53" t="n">
        <v>12</v>
      </c>
      <c r="K1225" s="53" t="n">
        <v>3</v>
      </c>
      <c r="L1225" s="53" t="n">
        <v>3</v>
      </c>
      <c r="M1225" s="33">
        <f>F1225-E1225</f>
        <v/>
      </c>
      <c r="N1225" s="33">
        <f>L1225-K1225</f>
        <v/>
      </c>
    </row>
    <row r="1226">
      <c r="A1226" s="58" t="inlineStr">
        <is>
          <t>61002 Haworth Golf Club(A)</t>
        </is>
      </c>
      <c r="B1226" s="58" t="inlineStr">
        <is>
          <t>Bergen</t>
        </is>
      </c>
      <c r="C1226" s="58" t="inlineStr">
        <is>
          <t>Paul Mclaughlin</t>
        </is>
      </c>
      <c r="D1226" s="58" t="inlineStr">
        <is>
          <t>On-premise</t>
        </is>
      </c>
      <c r="E1226" s="53" t="n">
        <v>93</v>
      </c>
      <c r="F1226" s="53" t="n">
        <v>54</v>
      </c>
      <c r="G1226" s="55" t="n">
        <v>594.72</v>
      </c>
      <c r="H1226" s="55" t="n">
        <v>472.9299999999999</v>
      </c>
      <c r="I1226" s="53" t="n">
        <v>2</v>
      </c>
      <c r="J1226" s="53" t="n">
        <v>10</v>
      </c>
      <c r="K1226" s="53" t="n">
        <v>3</v>
      </c>
      <c r="L1226" s="53" t="n">
        <v>3</v>
      </c>
      <c r="M1226" s="33">
        <f>F1226-E1226</f>
        <v/>
      </c>
      <c r="N1226" s="33">
        <f>L1226-K1226</f>
        <v/>
      </c>
    </row>
    <row r="1227">
      <c r="A1227" s="58" t="inlineStr">
        <is>
          <t>68006 Old Tappan Manor (P)</t>
        </is>
      </c>
      <c r="B1227" s="58" t="inlineStr">
        <is>
          <t>Bergen</t>
        </is>
      </c>
      <c r="C1227" s="58" t="inlineStr">
        <is>
          <t>Paul Mclaughlin</t>
        </is>
      </c>
      <c r="D1227" s="58" t="inlineStr">
        <is>
          <t>On-premise</t>
        </is>
      </c>
      <c r="E1227" s="53" t="n">
        <v>65</v>
      </c>
      <c r="F1227" s="53" t="n">
        <v>31</v>
      </c>
      <c r="G1227" s="55" t="n">
        <v>693.3299999999999</v>
      </c>
      <c r="H1227" s="55" t="n">
        <v>332.05</v>
      </c>
      <c r="I1227" s="53" t="n">
        <v>8</v>
      </c>
      <c r="J1227" s="53" t="n">
        <v>0</v>
      </c>
      <c r="K1227" s="53" t="n">
        <v>2</v>
      </c>
      <c r="L1227" s="53" t="n">
        <v>2</v>
      </c>
      <c r="M1227" s="33">
        <f>F1227-E1227</f>
        <v/>
      </c>
      <c r="N1227" s="33">
        <f>L1227-K1227</f>
        <v/>
      </c>
    </row>
    <row r="1228">
      <c r="A1228" s="58" t="inlineStr">
        <is>
          <t>81003 Fair Lawn Lanes (P)</t>
        </is>
      </c>
      <c r="B1228" s="58" t="inlineStr">
        <is>
          <t>Bergen</t>
        </is>
      </c>
      <c r="C1228" s="58" t="inlineStr">
        <is>
          <t>Paul Mclaughlin</t>
        </is>
      </c>
      <c r="D1228" s="58" t="inlineStr">
        <is>
          <t>On-premise</t>
        </is>
      </c>
      <c r="E1228" s="53" t="n">
        <v>200</v>
      </c>
      <c r="F1228" s="53" t="n">
        <v>197</v>
      </c>
      <c r="G1228" s="55" t="n">
        <v>1686.82</v>
      </c>
      <c r="H1228" s="55" t="n">
        <v>1624.47</v>
      </c>
      <c r="I1228" s="53" t="n">
        <v>6</v>
      </c>
      <c r="J1228" s="53" t="n">
        <v>11</v>
      </c>
      <c r="K1228" s="53" t="n">
        <v>42</v>
      </c>
      <c r="L1228" s="53" t="n">
        <v>42</v>
      </c>
      <c r="M1228" s="33">
        <f>F1228-E1228</f>
        <v/>
      </c>
      <c r="N1228" s="33">
        <f>L1228-K1228</f>
        <v/>
      </c>
    </row>
    <row r="1229">
      <c r="A1229" s="58" t="inlineStr">
        <is>
          <t>86006 Seasons Catering (A)</t>
        </is>
      </c>
      <c r="B1229" s="58" t="inlineStr">
        <is>
          <t>Bergen</t>
        </is>
      </c>
      <c r="C1229" s="58" t="inlineStr">
        <is>
          <t>Paul Mclaughlin</t>
        </is>
      </c>
      <c r="D1229" s="58" t="inlineStr">
        <is>
          <t>On-premise</t>
        </is>
      </c>
      <c r="E1229" s="53" t="n">
        <v>122</v>
      </c>
      <c r="F1229" s="53" t="n">
        <v>72</v>
      </c>
      <c r="G1229" s="55" t="n">
        <v>943.8</v>
      </c>
      <c r="H1229" s="55" t="n">
        <v>648.4000000000001</v>
      </c>
      <c r="I1229" s="53" t="n">
        <v>0</v>
      </c>
      <c r="J1229" s="53" t="n">
        <v>0</v>
      </c>
      <c r="K1229" s="53" t="n">
        <v>7</v>
      </c>
      <c r="L1229" s="53" t="n">
        <v>7</v>
      </c>
      <c r="M1229" s="33">
        <f>F1229-E1229</f>
        <v/>
      </c>
      <c r="N1229" s="33">
        <f>L1229-K1229</f>
        <v/>
      </c>
    </row>
    <row r="1230">
      <c r="A1230" s="58" t="inlineStr">
        <is>
          <t>52014 El Tango</t>
        </is>
      </c>
      <c r="B1230" s="58" t="inlineStr">
        <is>
          <t>Bergen</t>
        </is>
      </c>
      <c r="C1230" s="58" t="inlineStr">
        <is>
          <t>Paul Mclaughlin</t>
        </is>
      </c>
      <c r="D1230" s="58" t="inlineStr">
        <is>
          <t>On-premise</t>
        </is>
      </c>
      <c r="E1230" s="53" t="n">
        <v>92</v>
      </c>
      <c r="F1230" s="53" t="n">
        <v>112</v>
      </c>
      <c r="G1230" s="55" t="n">
        <v>838.4200000000001</v>
      </c>
      <c r="H1230" s="55" t="n">
        <v>1115.56</v>
      </c>
      <c r="I1230" s="53" t="n">
        <v>19</v>
      </c>
      <c r="J1230" s="53" t="n">
        <v>34</v>
      </c>
      <c r="K1230" s="53" t="n">
        <v>13</v>
      </c>
      <c r="L1230" s="53" t="n">
        <v>13</v>
      </c>
      <c r="M1230" s="33">
        <f>F1230-E1230</f>
        <v/>
      </c>
      <c r="N1230" s="33">
        <f>L1230-K1230</f>
        <v/>
      </c>
    </row>
    <row r="1231">
      <c r="A1231" s="58" t="inlineStr">
        <is>
          <t>62012 Landmark Closter</t>
        </is>
      </c>
      <c r="B1231" s="58" t="inlineStr">
        <is>
          <t>Bergen</t>
        </is>
      </c>
      <c r="C1231" s="58" t="inlineStr">
        <is>
          <t>Paul Mclaughlin</t>
        </is>
      </c>
      <c r="D1231" s="58" t="inlineStr">
        <is>
          <t>On-premise</t>
        </is>
      </c>
      <c r="E1231" s="53" t="n">
        <v>16</v>
      </c>
      <c r="F1231" s="53" t="n">
        <v>17</v>
      </c>
      <c r="G1231" s="55" t="n">
        <v>159.34</v>
      </c>
      <c r="H1231" s="55" t="n">
        <v>170.95</v>
      </c>
      <c r="I1231" s="53" t="n">
        <v>7</v>
      </c>
      <c r="J1231" s="53" t="n">
        <v>7</v>
      </c>
      <c r="K1231" s="53" t="n">
        <v>1</v>
      </c>
      <c r="L1231" s="53" t="n">
        <v>1</v>
      </c>
      <c r="M1231" s="33">
        <f>F1231-E1231</f>
        <v/>
      </c>
      <c r="N1231" s="33">
        <f>L1231-K1231</f>
        <v/>
      </c>
    </row>
    <row r="1232">
      <c r="A1232" s="58" t="inlineStr">
        <is>
          <t>50006 Cozy Tavern (P)</t>
        </is>
      </c>
      <c r="B1232" s="58" t="inlineStr">
        <is>
          <t>Bergen</t>
        </is>
      </c>
      <c r="C1232" s="58" t="inlineStr">
        <is>
          <t>Paul Mclaughlin</t>
        </is>
      </c>
      <c r="D1232" s="58" t="inlineStr">
        <is>
          <t>On-premise</t>
        </is>
      </c>
      <c r="E1232" s="53" t="n">
        <v>222</v>
      </c>
      <c r="F1232" s="53" t="n">
        <v>167</v>
      </c>
      <c r="G1232" s="55" t="n">
        <v>2046.9</v>
      </c>
      <c r="H1232" s="55" t="n">
        <v>1507.07</v>
      </c>
      <c r="I1232" s="53" t="n">
        <v>23</v>
      </c>
      <c r="J1232" s="53" t="n">
        <v>21</v>
      </c>
      <c r="K1232" s="53" t="n">
        <v>0</v>
      </c>
      <c r="L1232" s="53" t="n">
        <v>0</v>
      </c>
      <c r="M1232" s="33">
        <f>F1232-E1232</f>
        <v/>
      </c>
      <c r="N1232" s="33">
        <f>L1232-K1232</f>
        <v/>
      </c>
    </row>
    <row r="1233">
      <c r="A1233" s="58" t="inlineStr">
        <is>
          <t>69011 Green Point Restaurant</t>
        </is>
      </c>
      <c r="B1233" s="58" t="inlineStr">
        <is>
          <t>Bergen</t>
        </is>
      </c>
      <c r="C1233" s="58" t="inlineStr">
        <is>
          <t>Paul Mclaughlin</t>
        </is>
      </c>
      <c r="D1233" s="58" t="inlineStr">
        <is>
          <t>On-premise</t>
        </is>
      </c>
      <c r="E1233" s="53" t="n">
        <v>82</v>
      </c>
      <c r="F1233" s="53" t="n">
        <v>53</v>
      </c>
      <c r="G1233" s="55" t="n">
        <v>670.88</v>
      </c>
      <c r="H1233" s="55" t="n">
        <v>468.15</v>
      </c>
      <c r="I1233" s="53" t="n">
        <v>14</v>
      </c>
      <c r="J1233" s="53" t="n">
        <v>15</v>
      </c>
      <c r="K1233" s="53" t="n">
        <v>0</v>
      </c>
      <c r="L1233" s="53" t="n">
        <v>0</v>
      </c>
      <c r="M1233" s="33">
        <f>F1233-E1233</f>
        <v/>
      </c>
      <c r="N1233" s="33">
        <f>L1233-K1233</f>
        <v/>
      </c>
    </row>
    <row r="1234">
      <c r="A1234" s="58" t="inlineStr">
        <is>
          <t>81015 Fair Lawn Athletic Club</t>
        </is>
      </c>
      <c r="B1234" s="58" t="inlineStr">
        <is>
          <t>Bergen</t>
        </is>
      </c>
      <c r="C1234" s="58" t="inlineStr">
        <is>
          <t>Paul Mclaughlin</t>
        </is>
      </c>
      <c r="D1234" s="58" t="inlineStr">
        <is>
          <t>On-premise</t>
        </is>
      </c>
      <c r="E1234" s="53" t="n">
        <v>154</v>
      </c>
      <c r="F1234" s="53" t="n">
        <v>100</v>
      </c>
      <c r="G1234" s="55" t="n">
        <v>1018.93</v>
      </c>
      <c r="H1234" s="55" t="n">
        <v>680.54</v>
      </c>
      <c r="I1234" s="53" t="n">
        <v>36</v>
      </c>
      <c r="J1234" s="53" t="n">
        <v>57</v>
      </c>
      <c r="K1234" s="53" t="n">
        <v>0</v>
      </c>
      <c r="L1234" s="53" t="n">
        <v>0</v>
      </c>
      <c r="M1234" s="33">
        <f>F1234-E1234</f>
        <v/>
      </c>
      <c r="N1234" s="33">
        <f>L1234-K1234</f>
        <v/>
      </c>
    </row>
    <row r="1235">
      <c r="A1235" s="58" t="inlineStr">
        <is>
          <t>29051 Medieval Times</t>
        </is>
      </c>
      <c r="B1235" s="58" t="inlineStr">
        <is>
          <t>Bergen</t>
        </is>
      </c>
      <c r="C1235" s="58" t="inlineStr">
        <is>
          <t>Paul Mclaughlin</t>
        </is>
      </c>
      <c r="D1235" s="58" t="inlineStr">
        <is>
          <t>On-premise</t>
        </is>
      </c>
      <c r="E1235" s="53" t="n">
        <v>875</v>
      </c>
      <c r="F1235" s="53" t="n">
        <v>1089</v>
      </c>
      <c r="G1235" s="55" t="n">
        <v>4803.940000000001</v>
      </c>
      <c r="H1235" s="55" t="n">
        <v>6062.57</v>
      </c>
      <c r="I1235" s="53" t="n">
        <v>365</v>
      </c>
      <c r="J1235" s="53" t="n">
        <v>448</v>
      </c>
      <c r="K1235" s="53" t="n">
        <v>0</v>
      </c>
      <c r="L1235" s="53" t="n">
        <v>0</v>
      </c>
      <c r="M1235" s="33">
        <f>F1235-E1235</f>
        <v/>
      </c>
      <c r="N1235" s="33">
        <f>L1235-K1235</f>
        <v/>
      </c>
    </row>
    <row r="1236">
      <c r="A1236" s="58" t="inlineStr">
        <is>
          <t>51010 Elsa Lareina Del Chicharo</t>
        </is>
      </c>
      <c r="B1236" s="58" t="inlineStr">
        <is>
          <t>Bergen</t>
        </is>
      </c>
      <c r="C1236" s="58" t="inlineStr">
        <is>
          <t>Paul Mclaughlin</t>
        </is>
      </c>
      <c r="D1236" s="58" t="inlineStr">
        <is>
          <t>Unmatched</t>
        </is>
      </c>
      <c r="E1236" s="53" t="n">
        <v>63</v>
      </c>
      <c r="F1236" s="53" t="n">
        <v>0</v>
      </c>
      <c r="G1236" s="55" t="n">
        <v>546.37</v>
      </c>
      <c r="H1236" s="55" t="n">
        <v>0</v>
      </c>
      <c r="I1236" s="53" t="n">
        <v>12</v>
      </c>
      <c r="J1236" s="53" t="n">
        <v>0</v>
      </c>
      <c r="K1236" s="53" t="n">
        <v>0</v>
      </c>
      <c r="L1236" s="53" t="n">
        <v>0</v>
      </c>
      <c r="M1236" s="33">
        <f>F1236-E1236</f>
        <v/>
      </c>
      <c r="N1236" s="33">
        <f>L1236-K1236</f>
        <v/>
      </c>
    </row>
    <row r="1237">
      <c r="A1237" s="58" t="inlineStr">
        <is>
          <t>81021 Land &amp; Sea</t>
        </is>
      </c>
      <c r="B1237" s="58" t="inlineStr">
        <is>
          <t>Bergen</t>
        </is>
      </c>
      <c r="C1237" s="58" t="inlineStr">
        <is>
          <t>Paul Mclaughlin</t>
        </is>
      </c>
      <c r="D1237" s="58" t="inlineStr">
        <is>
          <t>Unmatched</t>
        </is>
      </c>
      <c r="E1237" s="53" t="n">
        <v>12</v>
      </c>
      <c r="F1237" s="53" t="n">
        <v>0</v>
      </c>
      <c r="G1237" s="55" t="n">
        <v>125.33</v>
      </c>
      <c r="H1237" s="55" t="n">
        <v>0</v>
      </c>
      <c r="I1237" s="53" t="n">
        <v>2</v>
      </c>
      <c r="J1237" s="53" t="n">
        <v>0</v>
      </c>
      <c r="K1237" s="53" t="n">
        <v>0</v>
      </c>
      <c r="L1237" s="53" t="n">
        <v>0</v>
      </c>
      <c r="M1237" s="33">
        <f>F1237-E1237</f>
        <v/>
      </c>
      <c r="N1237" s="33">
        <f>L1237-K1237</f>
        <v/>
      </c>
    </row>
    <row r="1238">
      <c r="A1238" s="58" t="inlineStr">
        <is>
          <t>56006 Lula's Latin Cuisine</t>
        </is>
      </c>
      <c r="B1238" s="58" t="inlineStr">
        <is>
          <t>Bergen</t>
        </is>
      </c>
      <c r="C1238" s="58" t="inlineStr">
        <is>
          <t>Paul Mclaughlin</t>
        </is>
      </c>
      <c r="D1238" s="58" t="inlineStr">
        <is>
          <t>On-premise</t>
        </is>
      </c>
      <c r="E1238" s="53" t="n">
        <v>9</v>
      </c>
      <c r="F1238" s="53" t="n">
        <v>0</v>
      </c>
      <c r="G1238" s="55" t="n">
        <v>83.82000000000001</v>
      </c>
      <c r="H1238" s="55" t="n">
        <v>0</v>
      </c>
      <c r="I1238" s="53" t="n">
        <v>4</v>
      </c>
      <c r="J1238" s="53" t="n">
        <v>0</v>
      </c>
      <c r="K1238" s="53" t="n">
        <v>0</v>
      </c>
      <c r="L1238" s="53" t="n">
        <v>0</v>
      </c>
      <c r="M1238" s="33">
        <f>F1238-E1238</f>
        <v/>
      </c>
      <c r="N1238" s="33">
        <f>L1238-K1238</f>
        <v/>
      </c>
    </row>
    <row r="1239">
      <c r="A1239" s="58" t="inlineStr">
        <is>
          <t>191301 Lake Hopatcong Yacht Club</t>
        </is>
      </c>
      <c r="B1239" s="58" t="inlineStr">
        <is>
          <t>Morris</t>
        </is>
      </c>
      <c r="C1239" s="58" t="inlineStr">
        <is>
          <t>Robin Feldman</t>
        </is>
      </c>
      <c r="D1239" s="58" t="inlineStr">
        <is>
          <t>On-premise</t>
        </is>
      </c>
      <c r="E1239" s="53" t="n">
        <v>61</v>
      </c>
      <c r="F1239" s="53" t="n">
        <v>45</v>
      </c>
      <c r="G1239" s="55" t="n">
        <v>415.6800000000001</v>
      </c>
      <c r="H1239" s="55" t="n">
        <v>346.77</v>
      </c>
      <c r="I1239" s="53" t="n">
        <v>26</v>
      </c>
      <c r="J1239" s="53" t="n">
        <v>25</v>
      </c>
      <c r="K1239" s="53" t="n">
        <v>2</v>
      </c>
      <c r="L1239" s="53" t="n">
        <v>2</v>
      </c>
      <c r="M1239" s="33">
        <f>F1239-E1239</f>
        <v/>
      </c>
      <c r="N1239" s="33">
        <f>L1239-K1239</f>
        <v/>
      </c>
    </row>
    <row r="1240">
      <c r="A1240" s="58" t="inlineStr">
        <is>
          <t>12046 Packanack Lake Comm Asso</t>
        </is>
      </c>
      <c r="B1240" s="58" t="inlineStr">
        <is>
          <t>Passaic</t>
        </is>
      </c>
      <c r="C1240" s="58" t="inlineStr">
        <is>
          <t>Robin Feldman</t>
        </is>
      </c>
      <c r="D1240" s="58" t="inlineStr">
        <is>
          <t>On-premise</t>
        </is>
      </c>
      <c r="E1240" s="53" t="n">
        <v>84</v>
      </c>
      <c r="F1240" s="53" t="n">
        <v>70</v>
      </c>
      <c r="G1240" s="55" t="n">
        <v>553.39</v>
      </c>
      <c r="H1240" s="55" t="n">
        <v>415.14</v>
      </c>
      <c r="I1240" s="53" t="n">
        <v>0</v>
      </c>
      <c r="J1240" s="53" t="n">
        <v>7</v>
      </c>
      <c r="K1240" s="53" t="n">
        <v>7</v>
      </c>
      <c r="L1240" s="53" t="n">
        <v>7</v>
      </c>
      <c r="M1240" s="33">
        <f>F1240-E1240</f>
        <v/>
      </c>
      <c r="N1240" s="33">
        <f>L1240-K1240</f>
        <v/>
      </c>
    </row>
    <row r="1241">
      <c r="A1241" s="58" t="inlineStr">
        <is>
          <t>190919 Amer Lgn Of Wharton 91</t>
        </is>
      </c>
      <c r="B1241" s="58" t="inlineStr">
        <is>
          <t>Morris</t>
        </is>
      </c>
      <c r="C1241" s="58" t="inlineStr">
        <is>
          <t>Robin Feldman</t>
        </is>
      </c>
      <c r="D1241" s="58" t="inlineStr">
        <is>
          <t>On-premise</t>
        </is>
      </c>
      <c r="E1241" s="53" t="n">
        <v>60</v>
      </c>
      <c r="F1241" s="53" t="n">
        <v>89</v>
      </c>
      <c r="G1241" s="55" t="n">
        <v>508.86</v>
      </c>
      <c r="H1241" s="55" t="n">
        <v>766.66</v>
      </c>
      <c r="I1241" s="53" t="n">
        <v>0</v>
      </c>
      <c r="J1241" s="53" t="n">
        <v>9</v>
      </c>
      <c r="K1241" s="53" t="n">
        <v>34</v>
      </c>
      <c r="L1241" s="53" t="n">
        <v>34</v>
      </c>
      <c r="M1241" s="33">
        <f>F1241-E1241</f>
        <v/>
      </c>
      <c r="N1241" s="33">
        <f>L1241-K1241</f>
        <v/>
      </c>
    </row>
    <row r="1242">
      <c r="A1242" s="58" t="inlineStr">
        <is>
          <t>230934 Wallkill Golf Club</t>
        </is>
      </c>
      <c r="B1242" s="58" t="inlineStr">
        <is>
          <t>Sussex</t>
        </is>
      </c>
      <c r="C1242" s="58" t="inlineStr">
        <is>
          <t>Robin Feldman</t>
        </is>
      </c>
      <c r="D1242" s="58" t="inlineStr">
        <is>
          <t>On-premise</t>
        </is>
      </c>
      <c r="E1242" s="53" t="n">
        <v>126</v>
      </c>
      <c r="F1242" s="53" t="n">
        <v>127</v>
      </c>
      <c r="G1242" s="55" t="n">
        <v>874.8</v>
      </c>
      <c r="H1242" s="55" t="n">
        <v>769.51</v>
      </c>
      <c r="I1242" s="53" t="n">
        <v>0</v>
      </c>
      <c r="J1242" s="53" t="n">
        <v>6</v>
      </c>
      <c r="K1242" s="53" t="n">
        <v>4</v>
      </c>
      <c r="L1242" s="53" t="n">
        <v>4</v>
      </c>
      <c r="M1242" s="33">
        <f>F1242-E1242</f>
        <v/>
      </c>
      <c r="N1242" s="33">
        <f>L1242-K1242</f>
        <v/>
      </c>
    </row>
    <row r="1243">
      <c r="A1243" s="58" t="inlineStr">
        <is>
          <t>12067 Hilton Garden Inn wayne</t>
        </is>
      </c>
      <c r="B1243" s="58" t="inlineStr">
        <is>
          <t>Passaic</t>
        </is>
      </c>
      <c r="C1243" s="58" t="inlineStr">
        <is>
          <t>Robin Feldman</t>
        </is>
      </c>
      <c r="D1243" s="58" t="inlineStr">
        <is>
          <t>On-premise</t>
        </is>
      </c>
      <c r="E1243" s="53" t="n">
        <v>36</v>
      </c>
      <c r="F1243" s="53" t="n">
        <v>36</v>
      </c>
      <c r="G1243" s="55" t="n">
        <v>318.84</v>
      </c>
      <c r="H1243" s="55" t="n">
        <v>320.18</v>
      </c>
      <c r="I1243" s="53" t="n">
        <v>18</v>
      </c>
      <c r="J1243" s="53" t="n">
        <v>21</v>
      </c>
      <c r="K1243" s="53" t="n">
        <v>1</v>
      </c>
      <c r="L1243" s="53" t="n">
        <v>1</v>
      </c>
      <c r="M1243" s="33">
        <f>F1243-E1243</f>
        <v/>
      </c>
      <c r="N1243" s="33">
        <f>L1243-K1243</f>
        <v/>
      </c>
    </row>
    <row r="1244">
      <c r="A1244" s="58" t="inlineStr">
        <is>
          <t>84021 Upper Ridgewood Tennis(A)</t>
        </is>
      </c>
      <c r="B1244" s="58" t="inlineStr">
        <is>
          <t>Bergen</t>
        </is>
      </c>
      <c r="C1244" s="58" t="inlineStr">
        <is>
          <t>Robin Feldman</t>
        </is>
      </c>
      <c r="D1244" s="58" t="inlineStr">
        <is>
          <t>On-premise</t>
        </is>
      </c>
      <c r="E1244" s="53" t="n">
        <v>16</v>
      </c>
      <c r="F1244" s="53" t="n">
        <v>14</v>
      </c>
      <c r="G1244" s="55" t="n">
        <v>156.05</v>
      </c>
      <c r="H1244" s="55" t="n">
        <v>135.31</v>
      </c>
      <c r="I1244" s="53" t="n">
        <v>6</v>
      </c>
      <c r="J1244" s="53" t="n">
        <v>6</v>
      </c>
      <c r="K1244" s="53" t="n">
        <v>5</v>
      </c>
      <c r="L1244" s="53" t="n">
        <v>5</v>
      </c>
      <c r="M1244" s="33">
        <f>F1244-E1244</f>
        <v/>
      </c>
      <c r="N1244" s="33">
        <f>L1244-K1244</f>
        <v/>
      </c>
    </row>
    <row r="1245">
      <c r="A1245" s="58" t="inlineStr">
        <is>
          <t>25018 Tick-Tock Diner (A)</t>
        </is>
      </c>
      <c r="B1245" s="58" t="inlineStr">
        <is>
          <t>Passaic</t>
        </is>
      </c>
      <c r="C1245" s="58" t="inlineStr">
        <is>
          <t>Robin Feldman</t>
        </is>
      </c>
      <c r="D1245" s="58" t="inlineStr">
        <is>
          <t>On-premise</t>
        </is>
      </c>
      <c r="E1245" s="53" t="n">
        <v>18</v>
      </c>
      <c r="F1245" s="53" t="n">
        <v>9</v>
      </c>
      <c r="G1245" s="55" t="n">
        <v>196.94</v>
      </c>
      <c r="H1245" s="55" t="n">
        <v>103.71</v>
      </c>
      <c r="I1245" s="53" t="n">
        <v>7</v>
      </c>
      <c r="J1245" s="53" t="n">
        <v>1</v>
      </c>
      <c r="K1245" s="53" t="n">
        <v>2</v>
      </c>
      <c r="L1245" s="53" t="n">
        <v>2</v>
      </c>
      <c r="M1245" s="33">
        <f>F1245-E1245</f>
        <v/>
      </c>
      <c r="N1245" s="33">
        <f>L1245-K1245</f>
        <v/>
      </c>
    </row>
    <row r="1246">
      <c r="A1246" s="58" t="inlineStr">
        <is>
          <t>94011 Elks Post 2167</t>
        </is>
      </c>
      <c r="B1246" s="58" t="inlineStr">
        <is>
          <t>Bergen</t>
        </is>
      </c>
      <c r="C1246" s="58" t="inlineStr">
        <is>
          <t>Robin Feldman</t>
        </is>
      </c>
      <c r="D1246" s="58" t="inlineStr">
        <is>
          <t>On-premise</t>
        </is>
      </c>
      <c r="E1246" s="53" t="n">
        <v>27</v>
      </c>
      <c r="F1246" s="53" t="n">
        <v>26</v>
      </c>
      <c r="G1246" s="55" t="n">
        <v>261.93</v>
      </c>
      <c r="H1246" s="55" t="n">
        <v>238.99</v>
      </c>
      <c r="I1246" s="53" t="n">
        <v>12</v>
      </c>
      <c r="J1246" s="53" t="n">
        <v>15</v>
      </c>
      <c r="K1246" s="53" t="n">
        <v>3</v>
      </c>
      <c r="L1246" s="53" t="n">
        <v>3</v>
      </c>
      <c r="M1246" s="33">
        <f>F1246-E1246</f>
        <v/>
      </c>
      <c r="N1246" s="33">
        <f>L1246-K1246</f>
        <v/>
      </c>
    </row>
    <row r="1247">
      <c r="A1247" s="58" t="inlineStr">
        <is>
          <t>8013 Vfw 2906 Pompt. Lks.(Z)</t>
        </is>
      </c>
      <c r="B1247" s="58" t="inlineStr">
        <is>
          <t>Passaic</t>
        </is>
      </c>
      <c r="C1247" s="58" t="inlineStr">
        <is>
          <t>Robin Feldman</t>
        </is>
      </c>
      <c r="D1247" s="58" t="inlineStr">
        <is>
          <t>On-premise</t>
        </is>
      </c>
      <c r="E1247" s="53" t="n">
        <v>98</v>
      </c>
      <c r="F1247" s="53" t="n">
        <v>48</v>
      </c>
      <c r="G1247" s="55" t="n">
        <v>736.61</v>
      </c>
      <c r="H1247" s="55" t="n">
        <v>463.71</v>
      </c>
      <c r="I1247" s="53" t="n">
        <v>35</v>
      </c>
      <c r="J1247" s="53" t="n">
        <v>21</v>
      </c>
      <c r="K1247" s="53" t="n">
        <v>2</v>
      </c>
      <c r="L1247" s="53" t="n">
        <v>2</v>
      </c>
      <c r="M1247" s="33">
        <f>F1247-E1247</f>
        <v/>
      </c>
      <c r="N1247" s="33">
        <f>L1247-K1247</f>
        <v/>
      </c>
    </row>
    <row r="1248">
      <c r="A1248" s="58" t="inlineStr">
        <is>
          <t>74014 American Lgn (Z) (Westwood)</t>
        </is>
      </c>
      <c r="B1248" s="58" t="inlineStr">
        <is>
          <t>Bergen</t>
        </is>
      </c>
      <c r="C1248" s="58" t="inlineStr">
        <is>
          <t>Robin Feldman</t>
        </is>
      </c>
      <c r="D1248" s="58" t="inlineStr">
        <is>
          <t>On-premise</t>
        </is>
      </c>
      <c r="E1248" s="53" t="n">
        <v>91</v>
      </c>
      <c r="F1248" s="53" t="n">
        <v>87</v>
      </c>
      <c r="G1248" s="55" t="n">
        <v>695.85</v>
      </c>
      <c r="H1248" s="55" t="n">
        <v>665.76</v>
      </c>
      <c r="I1248" s="53" t="n">
        <v>1</v>
      </c>
      <c r="J1248" s="53" t="n">
        <v>17</v>
      </c>
      <c r="K1248" s="53" t="n">
        <v>4</v>
      </c>
      <c r="L1248" s="53" t="n">
        <v>4</v>
      </c>
      <c r="M1248" s="33">
        <f>F1248-E1248</f>
        <v/>
      </c>
      <c r="N1248" s="33">
        <f>L1248-K1248</f>
        <v/>
      </c>
    </row>
    <row r="1249">
      <c r="A1249" s="58" t="inlineStr">
        <is>
          <t>4011 Bloomingdale Fire Dept</t>
        </is>
      </c>
      <c r="B1249" s="58" t="inlineStr">
        <is>
          <t>Passaic</t>
        </is>
      </c>
      <c r="C1249" s="58" t="inlineStr">
        <is>
          <t>Robin Feldman</t>
        </is>
      </c>
      <c r="D1249" s="58" t="inlineStr">
        <is>
          <t>On-premise</t>
        </is>
      </c>
      <c r="E1249" s="53" t="n">
        <v>5</v>
      </c>
      <c r="F1249" s="53" t="n">
        <v>44</v>
      </c>
      <c r="G1249" s="55" t="n">
        <v>34.6</v>
      </c>
      <c r="H1249" s="55" t="n">
        <v>288.09</v>
      </c>
      <c r="I1249" s="53" t="n">
        <v>5</v>
      </c>
      <c r="J1249" s="53" t="n">
        <v>24</v>
      </c>
      <c r="K1249" s="53" t="n">
        <v>0</v>
      </c>
      <c r="L1249" s="53" t="n">
        <v>0</v>
      </c>
      <c r="M1249" s="33">
        <f>F1249-E1249</f>
        <v/>
      </c>
      <c r="N1249" s="33">
        <f>L1249-K1249</f>
        <v/>
      </c>
    </row>
    <row r="1250">
      <c r="A1250" s="58" t="inlineStr">
        <is>
          <t>230910 American Lgn Franklin</t>
        </is>
      </c>
      <c r="B1250" s="58" t="inlineStr">
        <is>
          <t>Sussex</t>
        </is>
      </c>
      <c r="C1250" s="58" t="inlineStr">
        <is>
          <t>Robin Feldman</t>
        </is>
      </c>
      <c r="D1250" s="58" t="inlineStr">
        <is>
          <t>On-premise</t>
        </is>
      </c>
      <c r="E1250" s="53" t="n">
        <v>32</v>
      </c>
      <c r="F1250" s="53" t="n">
        <v>47</v>
      </c>
      <c r="G1250" s="55" t="n">
        <v>256.11</v>
      </c>
      <c r="H1250" s="55" t="n">
        <v>340.36</v>
      </c>
      <c r="I1250" s="53" t="n">
        <v>5</v>
      </c>
      <c r="J1250" s="53" t="n">
        <v>1</v>
      </c>
      <c r="K1250" s="53" t="n">
        <v>5</v>
      </c>
      <c r="L1250" s="53" t="n">
        <v>5</v>
      </c>
      <c r="M1250" s="33">
        <f>F1250-E1250</f>
        <v/>
      </c>
      <c r="N1250" s="33">
        <f>L1250-K1250</f>
        <v/>
      </c>
    </row>
    <row r="1251">
      <c r="A1251" s="58" t="inlineStr">
        <is>
          <t>13014 Park West Diner</t>
        </is>
      </c>
      <c r="B1251" s="58" t="inlineStr">
        <is>
          <t>Passaic</t>
        </is>
      </c>
      <c r="C1251" s="58" t="inlineStr">
        <is>
          <t>Robin Feldman</t>
        </is>
      </c>
      <c r="D1251" s="58" t="inlineStr">
        <is>
          <t>Unmatched</t>
        </is>
      </c>
      <c r="E1251" s="53" t="n">
        <v>0</v>
      </c>
      <c r="F1251" s="53" t="n">
        <v>12</v>
      </c>
      <c r="G1251" s="55" t="n">
        <v>0</v>
      </c>
      <c r="H1251" s="55" t="n">
        <v>123.35</v>
      </c>
      <c r="I1251" s="53" t="n">
        <v>0</v>
      </c>
      <c r="J1251" s="53" t="n">
        <v>0</v>
      </c>
      <c r="K1251" s="53" t="n">
        <v>0</v>
      </c>
      <c r="L1251" s="53" t="n">
        <v>0</v>
      </c>
      <c r="M1251" s="33">
        <f>F1251-E1251</f>
        <v/>
      </c>
      <c r="N1251" s="33">
        <f>L1251-K1251</f>
        <v/>
      </c>
    </row>
    <row r="1252">
      <c r="A1252" s="58" t="inlineStr">
        <is>
          <t>191202 Casa Bianca (P)</t>
        </is>
      </c>
      <c r="B1252" s="58" t="inlineStr">
        <is>
          <t>Morris</t>
        </is>
      </c>
      <c r="C1252" s="58" t="inlineStr">
        <is>
          <t>Robin Feldman</t>
        </is>
      </c>
      <c r="D1252" s="58" t="inlineStr">
        <is>
          <t>On-premise</t>
        </is>
      </c>
      <c r="E1252" s="53" t="n">
        <v>60</v>
      </c>
      <c r="F1252" s="53" t="n">
        <v>22</v>
      </c>
      <c r="G1252" s="55" t="n">
        <v>541.52</v>
      </c>
      <c r="H1252" s="55" t="n">
        <v>204.15</v>
      </c>
      <c r="I1252" s="53" t="n">
        <v>0</v>
      </c>
      <c r="J1252" s="53" t="n">
        <v>0</v>
      </c>
      <c r="K1252" s="53" t="n">
        <v>0</v>
      </c>
      <c r="L1252" s="53" t="n">
        <v>0</v>
      </c>
      <c r="M1252" s="33">
        <f>F1252-E1252</f>
        <v/>
      </c>
      <c r="N1252" s="33">
        <f>L1252-K1252</f>
        <v/>
      </c>
    </row>
    <row r="1253">
      <c r="A1253" s="58" t="inlineStr">
        <is>
          <t>23009 Mountainside (A)</t>
        </is>
      </c>
      <c r="B1253" s="58" t="inlineStr">
        <is>
          <t>Passaic</t>
        </is>
      </c>
      <c r="C1253" s="58" t="inlineStr">
        <is>
          <t>Robin Feldman</t>
        </is>
      </c>
      <c r="D1253" s="58" t="inlineStr">
        <is>
          <t>Unmatched</t>
        </is>
      </c>
      <c r="E1253" s="53" t="n">
        <v>49</v>
      </c>
      <c r="F1253" s="53" t="n">
        <v>0</v>
      </c>
      <c r="G1253" s="55" t="n">
        <v>450.34</v>
      </c>
      <c r="H1253" s="55" t="n">
        <v>0</v>
      </c>
      <c r="I1253" s="53" t="n">
        <v>0</v>
      </c>
      <c r="J1253" s="53" t="n">
        <v>0</v>
      </c>
      <c r="K1253" s="53" t="n">
        <v>0</v>
      </c>
      <c r="L1253" s="53" t="n">
        <v>0</v>
      </c>
      <c r="M1253" s="33">
        <f>F1253-E1253</f>
        <v/>
      </c>
      <c r="N1253" s="33">
        <f>L1253-K1253</f>
        <v/>
      </c>
    </row>
    <row r="1254">
      <c r="A1254" s="58" t="inlineStr">
        <is>
          <t>230404 American Lgn #86 Newton</t>
        </is>
      </c>
      <c r="B1254" s="58" t="inlineStr">
        <is>
          <t>Sussex</t>
        </is>
      </c>
      <c r="C1254" s="58" t="inlineStr">
        <is>
          <t>Robin Feldman</t>
        </is>
      </c>
      <c r="D1254" s="58" t="inlineStr">
        <is>
          <t>On-premise</t>
        </is>
      </c>
      <c r="E1254" s="53" t="n">
        <v>67</v>
      </c>
      <c r="F1254" s="53" t="n">
        <v>91</v>
      </c>
      <c r="G1254" s="55" t="n">
        <v>569.73</v>
      </c>
      <c r="H1254" s="55" t="n">
        <v>765.14</v>
      </c>
      <c r="I1254" s="53" t="n">
        <v>0</v>
      </c>
      <c r="J1254" s="53" t="n">
        <v>4</v>
      </c>
      <c r="K1254" s="53" t="n">
        <v>0</v>
      </c>
      <c r="L1254" s="53" t="n">
        <v>0</v>
      </c>
      <c r="M1254" s="33">
        <f>F1254-E1254</f>
        <v/>
      </c>
      <c r="N1254" s="33">
        <f>L1254-K1254</f>
        <v/>
      </c>
    </row>
    <row r="1255">
      <c r="A1255" s="58" t="inlineStr">
        <is>
          <t>230417 Hampton (P) Diner</t>
        </is>
      </c>
      <c r="B1255" s="58" t="inlineStr">
        <is>
          <t>Sussex</t>
        </is>
      </c>
      <c r="C1255" s="58" t="inlineStr">
        <is>
          <t>Robin Feldman</t>
        </is>
      </c>
      <c r="D1255" s="58" t="inlineStr">
        <is>
          <t>On-premise</t>
        </is>
      </c>
      <c r="E1255" s="53" t="n">
        <v>28</v>
      </c>
      <c r="F1255" s="53" t="n">
        <v>43</v>
      </c>
      <c r="G1255" s="55" t="n">
        <v>264.04</v>
      </c>
      <c r="H1255" s="55" t="n">
        <v>395.3000000000001</v>
      </c>
      <c r="I1255" s="53" t="n">
        <v>2</v>
      </c>
      <c r="J1255" s="53" t="n">
        <v>0</v>
      </c>
      <c r="K1255" s="53" t="n">
        <v>0</v>
      </c>
      <c r="L1255" s="53" t="n">
        <v>0</v>
      </c>
      <c r="M1255" s="33">
        <f>F1255-E1255</f>
        <v/>
      </c>
      <c r="N1255" s="33">
        <f>L1255-K1255</f>
        <v/>
      </c>
    </row>
    <row r="1256">
      <c r="A1256" s="58" t="inlineStr">
        <is>
          <t>231005 Ogdensburg Fire Dept</t>
        </is>
      </c>
      <c r="B1256" s="58" t="inlineStr">
        <is>
          <t>Sussex</t>
        </is>
      </c>
      <c r="C1256" s="58" t="inlineStr">
        <is>
          <t>Robin Feldman</t>
        </is>
      </c>
      <c r="D1256" s="58" t="inlineStr">
        <is>
          <t>On-premise</t>
        </is>
      </c>
      <c r="E1256" s="53" t="n">
        <v>0</v>
      </c>
      <c r="F1256" s="53" t="n">
        <v>0</v>
      </c>
      <c r="G1256" s="55" t="n">
        <v>0</v>
      </c>
      <c r="H1256" s="55" t="n">
        <v>0</v>
      </c>
      <c r="I1256" s="53" t="n">
        <v>0</v>
      </c>
      <c r="J1256" s="53" t="n">
        <v>0</v>
      </c>
      <c r="K1256" s="53" t="n">
        <v>0</v>
      </c>
      <c r="L1256" s="53" t="n">
        <v>0</v>
      </c>
      <c r="M1256" s="33">
        <f>F1256-E1256</f>
        <v/>
      </c>
      <c r="N1256" s="33">
        <f>L1256-K1256</f>
        <v/>
      </c>
    </row>
    <row r="1257">
      <c r="A1257" s="58" t="inlineStr">
        <is>
          <t>29018 Pietro's Trattoria</t>
        </is>
      </c>
      <c r="B1257" s="58" t="inlineStr">
        <is>
          <t>Bergen</t>
        </is>
      </c>
      <c r="C1257" s="58" t="inlineStr">
        <is>
          <t>Robin Feldman</t>
        </is>
      </c>
      <c r="D1257" s="58" t="inlineStr">
        <is>
          <t>On-premise</t>
        </is>
      </c>
      <c r="E1257" s="53" t="n">
        <v>10</v>
      </c>
      <c r="F1257" s="53" t="n">
        <v>10</v>
      </c>
      <c r="G1257" s="55" t="n">
        <v>98.91</v>
      </c>
      <c r="H1257" s="55" t="n">
        <v>115.35</v>
      </c>
      <c r="I1257" s="53" t="n">
        <v>4</v>
      </c>
      <c r="J1257" s="53" t="n">
        <v>0</v>
      </c>
      <c r="K1257" s="53" t="n">
        <v>0</v>
      </c>
      <c r="L1257" s="53" t="n">
        <v>0</v>
      </c>
      <c r="M1257" s="33">
        <f>F1257-E1257</f>
        <v/>
      </c>
      <c r="N1257" s="33">
        <f>L1257-K1257</f>
        <v/>
      </c>
    </row>
    <row r="1258">
      <c r="A1258" s="58" t="inlineStr">
        <is>
          <t>29043 Am Vets Post 20</t>
        </is>
      </c>
      <c r="B1258" s="58" t="inlineStr">
        <is>
          <t>Bergen</t>
        </is>
      </c>
      <c r="C1258" s="58" t="inlineStr">
        <is>
          <t>Robin Feldman</t>
        </is>
      </c>
      <c r="D1258" s="58" t="inlineStr">
        <is>
          <t>On-premise</t>
        </is>
      </c>
      <c r="E1258" s="53" t="n">
        <v>14</v>
      </c>
      <c r="F1258" s="53" t="n">
        <v>0</v>
      </c>
      <c r="G1258" s="55" t="n">
        <v>120.9</v>
      </c>
      <c r="H1258" s="55" t="n">
        <v>0</v>
      </c>
      <c r="I1258" s="53" t="n">
        <v>-1</v>
      </c>
      <c r="J1258" s="53" t="n">
        <v>0</v>
      </c>
      <c r="K1258" s="53" t="n">
        <v>0</v>
      </c>
      <c r="L1258" s="53" t="n">
        <v>0</v>
      </c>
      <c r="M1258" s="33">
        <f>F1258-E1258</f>
        <v/>
      </c>
      <c r="N1258" s="33">
        <f>L1258-K1258</f>
        <v/>
      </c>
    </row>
    <row r="1259">
      <c r="A1259" s="58" t="inlineStr">
        <is>
          <t>42007 Vfw 809 (P)</t>
        </is>
      </c>
      <c r="B1259" s="58" t="inlineStr">
        <is>
          <t>Bergen</t>
        </is>
      </c>
      <c r="C1259" s="58" t="inlineStr">
        <is>
          <t>Robin Feldman</t>
        </is>
      </c>
      <c r="D1259" s="58" t="inlineStr">
        <is>
          <t>On-premise</t>
        </is>
      </c>
      <c r="E1259" s="53" t="n">
        <v>24</v>
      </c>
      <c r="F1259" s="53" t="n">
        <v>16</v>
      </c>
      <c r="G1259" s="55" t="n">
        <v>258.91</v>
      </c>
      <c r="H1259" s="55" t="n">
        <v>130.81</v>
      </c>
      <c r="I1259" s="53" t="n">
        <v>1</v>
      </c>
      <c r="J1259" s="53" t="n">
        <v>2</v>
      </c>
      <c r="K1259" s="53" t="n">
        <v>0</v>
      </c>
      <c r="L1259" s="53" t="n">
        <v>0</v>
      </c>
      <c r="M1259" s="33">
        <f>F1259-E1259</f>
        <v/>
      </c>
      <c r="N1259" s="33">
        <f>L1259-K1259</f>
        <v/>
      </c>
    </row>
    <row r="1260">
      <c r="A1260" s="58" t="inlineStr">
        <is>
          <t>74019 K Of C Westwood</t>
        </is>
      </c>
      <c r="B1260" s="58" t="inlineStr">
        <is>
          <t>Bergen</t>
        </is>
      </c>
      <c r="C1260" s="58" t="inlineStr">
        <is>
          <t>Robin Feldman</t>
        </is>
      </c>
      <c r="D1260" s="58" t="inlineStr">
        <is>
          <t>On-premise</t>
        </is>
      </c>
      <c r="E1260" s="53" t="n">
        <v>0</v>
      </c>
      <c r="F1260" s="53" t="n">
        <v>1</v>
      </c>
      <c r="G1260" s="55" t="n">
        <v>0</v>
      </c>
      <c r="H1260" s="55" t="n">
        <v>11.34</v>
      </c>
      <c r="I1260" s="53" t="n">
        <v>0</v>
      </c>
      <c r="J1260" s="53" t="n">
        <v>9</v>
      </c>
      <c r="K1260" s="53" t="n">
        <v>0</v>
      </c>
      <c r="L1260" s="53" t="n">
        <v>0</v>
      </c>
      <c r="M1260" s="33">
        <f>F1260-E1260</f>
        <v/>
      </c>
      <c r="N1260" s="33">
        <f>L1260-K1260</f>
        <v/>
      </c>
    </row>
    <row r="1261">
      <c r="A1261" s="58" t="inlineStr">
        <is>
          <t>13007 American Lgn 108 (Z) Little Falls</t>
        </is>
      </c>
      <c r="B1261" s="58" t="inlineStr">
        <is>
          <t>Passaic</t>
        </is>
      </c>
      <c r="C1261" s="58" t="inlineStr">
        <is>
          <t>Robin Feldman</t>
        </is>
      </c>
      <c r="D1261" s="58" t="inlineStr">
        <is>
          <t>On-premise</t>
        </is>
      </c>
      <c r="E1261" s="53" t="n">
        <v>51</v>
      </c>
      <c r="F1261" s="53" t="n">
        <v>32</v>
      </c>
      <c r="G1261" s="55" t="n">
        <v>525.25</v>
      </c>
      <c r="H1261" s="55" t="n">
        <v>352.67</v>
      </c>
      <c r="I1261" s="53" t="n">
        <v>14</v>
      </c>
      <c r="J1261" s="53" t="n">
        <v>8</v>
      </c>
      <c r="K1261" s="53" t="n">
        <v>0</v>
      </c>
      <c r="L1261" s="53" t="n">
        <v>0</v>
      </c>
      <c r="M1261" s="33">
        <f>F1261-E1261</f>
        <v/>
      </c>
      <c r="N1261" s="33">
        <f>L1261-K1261</f>
        <v/>
      </c>
    </row>
    <row r="1262">
      <c r="A1262" s="58" t="inlineStr">
        <is>
          <t>15079 American Lgn Totowa</t>
        </is>
      </c>
      <c r="B1262" s="58" t="inlineStr">
        <is>
          <t>Passaic</t>
        </is>
      </c>
      <c r="C1262" s="58" t="inlineStr">
        <is>
          <t>Robin Feldman</t>
        </is>
      </c>
      <c r="D1262" s="58" t="inlineStr">
        <is>
          <t>On-premise</t>
        </is>
      </c>
      <c r="E1262" s="53" t="n">
        <v>161</v>
      </c>
      <c r="F1262" s="53" t="n">
        <v>142</v>
      </c>
      <c r="G1262" s="55" t="n">
        <v>1103.27</v>
      </c>
      <c r="H1262" s="55" t="n">
        <v>867.3100000000001</v>
      </c>
      <c r="I1262" s="53" t="n">
        <v>7</v>
      </c>
      <c r="J1262" s="53" t="n">
        <v>6</v>
      </c>
      <c r="K1262" s="53" t="n">
        <v>0</v>
      </c>
      <c r="L1262" s="53" t="n">
        <v>0</v>
      </c>
      <c r="M1262" s="33">
        <f>F1262-E1262</f>
        <v/>
      </c>
      <c r="N1262" s="33">
        <f>L1262-K1262</f>
        <v/>
      </c>
    </row>
    <row r="1263">
      <c r="A1263" s="58" t="inlineStr">
        <is>
          <t>17015 Haledon Fire Dept(A)</t>
        </is>
      </c>
      <c r="B1263" s="58" t="inlineStr">
        <is>
          <t>Passaic</t>
        </is>
      </c>
      <c r="C1263" s="58" t="inlineStr">
        <is>
          <t>Robin Feldman</t>
        </is>
      </c>
      <c r="D1263" s="58" t="inlineStr">
        <is>
          <t>On-premise</t>
        </is>
      </c>
      <c r="E1263" s="53" t="n">
        <v>20</v>
      </c>
      <c r="F1263" s="53" t="n">
        <v>42</v>
      </c>
      <c r="G1263" s="55" t="n">
        <v>171.07</v>
      </c>
      <c r="H1263" s="55" t="n">
        <v>262.06</v>
      </c>
      <c r="I1263" s="53" t="n">
        <v>0</v>
      </c>
      <c r="J1263" s="53" t="n">
        <v>0</v>
      </c>
      <c r="K1263" s="53" t="n">
        <v>0</v>
      </c>
      <c r="L1263" s="53" t="n">
        <v>0</v>
      </c>
      <c r="M1263" s="33">
        <f>F1263-E1263</f>
        <v/>
      </c>
      <c r="N1263" s="33">
        <f>L1263-K1263</f>
        <v/>
      </c>
    </row>
    <row r="1264">
      <c r="A1264" s="58" t="inlineStr">
        <is>
          <t>17017 Veterans Club (Z)</t>
        </is>
      </c>
      <c r="B1264" s="58" t="inlineStr">
        <is>
          <t>Passaic</t>
        </is>
      </c>
      <c r="C1264" s="58" t="inlineStr">
        <is>
          <t>Robin Feldman</t>
        </is>
      </c>
      <c r="D1264" s="58" t="inlineStr">
        <is>
          <t>On-premise</t>
        </is>
      </c>
      <c r="E1264" s="53" t="n">
        <v>25</v>
      </c>
      <c r="F1264" s="53" t="n">
        <v>25</v>
      </c>
      <c r="G1264" s="55" t="n">
        <v>160.23</v>
      </c>
      <c r="H1264" s="55" t="n">
        <v>139.48</v>
      </c>
      <c r="I1264" s="53" t="n">
        <v>30</v>
      </c>
      <c r="J1264" s="53" t="n">
        <v>37</v>
      </c>
      <c r="K1264" s="53" t="n">
        <v>0</v>
      </c>
      <c r="L1264" s="53" t="n">
        <v>0</v>
      </c>
      <c r="M1264" s="33">
        <f>F1264-E1264</f>
        <v/>
      </c>
      <c r="N1264" s="33">
        <f>L1264-K1264</f>
        <v/>
      </c>
    </row>
    <row r="1265">
      <c r="A1265" s="58" t="inlineStr">
        <is>
          <t>190717 Luzzi's (Z)</t>
        </is>
      </c>
      <c r="B1265" s="58" t="inlineStr">
        <is>
          <t>Morris</t>
        </is>
      </c>
      <c r="C1265" s="58" t="inlineStr">
        <is>
          <t>Robin Feldman</t>
        </is>
      </c>
      <c r="D1265" s="58" t="inlineStr">
        <is>
          <t>On-premise</t>
        </is>
      </c>
      <c r="E1265" s="53" t="n">
        <v>13</v>
      </c>
      <c r="F1265" s="53" t="n">
        <v>10</v>
      </c>
      <c r="G1265" s="55" t="n">
        <v>85.33999999999999</v>
      </c>
      <c r="H1265" s="55" t="n">
        <v>67.76000000000001</v>
      </c>
      <c r="I1265" s="53" t="n">
        <v>0</v>
      </c>
      <c r="J1265" s="53" t="n">
        <v>0</v>
      </c>
      <c r="K1265" s="53" t="n">
        <v>0</v>
      </c>
      <c r="L1265" s="53" t="n">
        <v>0</v>
      </c>
      <c r="M1265" s="33">
        <f>F1265-E1265</f>
        <v/>
      </c>
      <c r="N1265" s="33">
        <f>L1265-K1265</f>
        <v/>
      </c>
    </row>
    <row r="1266">
      <c r="A1266" s="58" t="inlineStr">
        <is>
          <t>230303 Crossed Keys Inn</t>
        </is>
      </c>
      <c r="B1266" s="58" t="inlineStr">
        <is>
          <t>Sussex</t>
        </is>
      </c>
      <c r="C1266" s="58" t="inlineStr">
        <is>
          <t>Robin Feldman</t>
        </is>
      </c>
      <c r="D1266" s="58" t="inlineStr">
        <is>
          <t>On-premise</t>
        </is>
      </c>
      <c r="E1266" s="53" t="n">
        <v>141</v>
      </c>
      <c r="F1266" s="53" t="n">
        <v>129</v>
      </c>
      <c r="G1266" s="55" t="n">
        <v>978.15</v>
      </c>
      <c r="H1266" s="55" t="n">
        <v>965.03</v>
      </c>
      <c r="I1266" s="53" t="n">
        <v>15</v>
      </c>
      <c r="J1266" s="53" t="n">
        <v>17</v>
      </c>
      <c r="K1266" s="53" t="n">
        <v>0</v>
      </c>
      <c r="L1266" s="53" t="n">
        <v>0</v>
      </c>
      <c r="M1266" s="33">
        <f>F1266-E1266</f>
        <v/>
      </c>
      <c r="N1266" s="33">
        <f>L1266-K1266</f>
        <v/>
      </c>
    </row>
    <row r="1267">
      <c r="A1267" s="58" t="inlineStr">
        <is>
          <t>231306 American Lgn 213 Sussex</t>
        </is>
      </c>
      <c r="B1267" s="58" t="inlineStr">
        <is>
          <t>Sussex</t>
        </is>
      </c>
      <c r="C1267" s="58" t="inlineStr">
        <is>
          <t>Robin Feldman</t>
        </is>
      </c>
      <c r="D1267" s="58" t="inlineStr">
        <is>
          <t>On-premise</t>
        </is>
      </c>
      <c r="E1267" s="53" t="n">
        <v>12</v>
      </c>
      <c r="F1267" s="53" t="n">
        <v>12</v>
      </c>
      <c r="G1267" s="55" t="n">
        <v>88.06999999999999</v>
      </c>
      <c r="H1267" s="55" t="n">
        <v>94.82000000000001</v>
      </c>
      <c r="I1267" s="53" t="n">
        <v>0</v>
      </c>
      <c r="J1267" s="53" t="n">
        <v>2</v>
      </c>
      <c r="K1267" s="53" t="n">
        <v>0</v>
      </c>
      <c r="L1267" s="53" t="n">
        <v>0</v>
      </c>
      <c r="M1267" s="33">
        <f>F1267-E1267</f>
        <v/>
      </c>
      <c r="N1267" s="33">
        <f>L1267-K1267</f>
        <v/>
      </c>
    </row>
    <row r="1268">
      <c r="A1268" s="58" t="inlineStr">
        <is>
          <t>24043 Valley Regency</t>
        </is>
      </c>
      <c r="B1268" s="58" t="inlineStr">
        <is>
          <t>Passaic</t>
        </is>
      </c>
      <c r="C1268" s="58" t="inlineStr">
        <is>
          <t>Robin Feldman</t>
        </is>
      </c>
      <c r="D1268" s="58" t="inlineStr">
        <is>
          <t>On-premise</t>
        </is>
      </c>
      <c r="E1268" s="53" t="n">
        <v>88</v>
      </c>
      <c r="F1268" s="53" t="n">
        <v>118</v>
      </c>
      <c r="G1268" s="55" t="n">
        <v>580.05</v>
      </c>
      <c r="H1268" s="55" t="n">
        <v>814.4399999999999</v>
      </c>
      <c r="I1268" s="53" t="n">
        <v>6</v>
      </c>
      <c r="J1268" s="53" t="n">
        <v>8</v>
      </c>
      <c r="K1268" s="53" t="n">
        <v>0</v>
      </c>
      <c r="L1268" s="53" t="n">
        <v>0</v>
      </c>
      <c r="M1268" s="33">
        <f>F1268-E1268</f>
        <v/>
      </c>
      <c r="N1268" s="33">
        <f>L1268-K1268</f>
        <v/>
      </c>
    </row>
    <row r="1269">
      <c r="A1269" s="58" t="inlineStr">
        <is>
          <t>28026 Elks Post 1992 (Z)</t>
        </is>
      </c>
      <c r="B1269" s="58" t="inlineStr">
        <is>
          <t>Bergen</t>
        </is>
      </c>
      <c r="C1269" s="58" t="inlineStr">
        <is>
          <t>Robin Feldman</t>
        </is>
      </c>
      <c r="D1269" s="58" t="inlineStr">
        <is>
          <t>On-premise</t>
        </is>
      </c>
      <c r="E1269" s="53" t="n">
        <v>119</v>
      </c>
      <c r="F1269" s="53" t="n">
        <v>137</v>
      </c>
      <c r="G1269" s="55" t="n">
        <v>846.3</v>
      </c>
      <c r="H1269" s="55" t="n">
        <v>959.2399999999999</v>
      </c>
      <c r="I1269" s="53" t="n">
        <v>1</v>
      </c>
      <c r="J1269" s="53" t="n">
        <v>6</v>
      </c>
      <c r="K1269" s="53" t="n">
        <v>0</v>
      </c>
      <c r="L1269" s="53" t="n">
        <v>0</v>
      </c>
      <c r="M1269" s="33">
        <f>F1269-E1269</f>
        <v/>
      </c>
      <c r="N1269" s="33">
        <f>L1269-K1269</f>
        <v/>
      </c>
    </row>
    <row r="1270">
      <c r="A1270" s="58" t="inlineStr">
        <is>
          <t>29039 Lee's Hawaiian (P)</t>
        </is>
      </c>
      <c r="B1270" s="58" t="inlineStr">
        <is>
          <t>Bergen</t>
        </is>
      </c>
      <c r="C1270" s="58" t="inlineStr">
        <is>
          <t>Robin Feldman</t>
        </is>
      </c>
      <c r="D1270" s="58" t="inlineStr">
        <is>
          <t>On-premise</t>
        </is>
      </c>
      <c r="E1270" s="53" t="n">
        <v>9</v>
      </c>
      <c r="F1270" s="53" t="n">
        <v>23</v>
      </c>
      <c r="G1270" s="55" t="n">
        <v>90.92</v>
      </c>
      <c r="H1270" s="55" t="n">
        <v>246.89</v>
      </c>
      <c r="I1270" s="53" t="n">
        <v>4</v>
      </c>
      <c r="J1270" s="53" t="n">
        <v>19</v>
      </c>
      <c r="K1270" s="53" t="n">
        <v>0</v>
      </c>
      <c r="L1270" s="53" t="n">
        <v>0</v>
      </c>
      <c r="M1270" s="33">
        <f>F1270-E1270</f>
        <v/>
      </c>
      <c r="N1270" s="33">
        <f>L1270-K1270</f>
        <v/>
      </c>
    </row>
    <row r="1271">
      <c r="A1271" s="58" t="inlineStr">
        <is>
          <t>29041 Masonic (A) Club</t>
        </is>
      </c>
      <c r="B1271" s="58" t="inlineStr">
        <is>
          <t>Bergen</t>
        </is>
      </c>
      <c r="C1271" s="58" t="inlineStr">
        <is>
          <t>Robin Feldman</t>
        </is>
      </c>
      <c r="D1271" s="58" t="inlineStr">
        <is>
          <t>On-premise</t>
        </is>
      </c>
      <c r="E1271" s="53" t="n">
        <v>66</v>
      </c>
      <c r="F1271" s="53" t="n">
        <v>42</v>
      </c>
      <c r="G1271" s="55" t="n">
        <v>608.8100000000001</v>
      </c>
      <c r="H1271" s="55" t="n">
        <v>376.97</v>
      </c>
      <c r="I1271" s="53" t="n">
        <v>8</v>
      </c>
      <c r="J1271" s="53" t="n">
        <v>11</v>
      </c>
      <c r="K1271" s="53" t="n">
        <v>0</v>
      </c>
      <c r="L1271" s="53" t="n">
        <v>0</v>
      </c>
      <c r="M1271" s="33">
        <f>F1271-E1271</f>
        <v/>
      </c>
      <c r="N1271" s="33">
        <f>L1271-K1271</f>
        <v/>
      </c>
    </row>
    <row r="1272">
      <c r="A1272" s="58" t="inlineStr">
        <is>
          <t>29052 Polish American Club</t>
        </is>
      </c>
      <c r="B1272" s="58" t="inlineStr">
        <is>
          <t>Bergen</t>
        </is>
      </c>
      <c r="C1272" s="58" t="inlineStr">
        <is>
          <t>Robin Feldman</t>
        </is>
      </c>
      <c r="D1272" s="58" t="inlineStr">
        <is>
          <t>On-premise</t>
        </is>
      </c>
      <c r="E1272" s="53" t="n">
        <v>31</v>
      </c>
      <c r="F1272" s="53" t="n">
        <v>3</v>
      </c>
      <c r="G1272" s="55" t="n">
        <v>261.7</v>
      </c>
      <c r="H1272" s="55" t="n">
        <v>32.61</v>
      </c>
      <c r="I1272" s="53" t="n">
        <v>2</v>
      </c>
      <c r="J1272" s="53" t="n">
        <v>4</v>
      </c>
      <c r="K1272" s="53" t="n">
        <v>0</v>
      </c>
      <c r="L1272" s="53" t="n">
        <v>0</v>
      </c>
      <c r="M1272" s="33">
        <f>F1272-E1272</f>
        <v/>
      </c>
      <c r="N1272" s="33">
        <f>L1272-K1272</f>
        <v/>
      </c>
    </row>
    <row r="1273">
      <c r="A1273" s="58" t="inlineStr">
        <is>
          <t>29054 San Carlo Restaurant</t>
        </is>
      </c>
      <c r="B1273" s="58" t="inlineStr">
        <is>
          <t>Bergen</t>
        </is>
      </c>
      <c r="C1273" s="58" t="inlineStr">
        <is>
          <t>Robin Feldman</t>
        </is>
      </c>
      <c r="D1273" s="58" t="inlineStr">
        <is>
          <t>On-premise</t>
        </is>
      </c>
      <c r="E1273" s="53" t="n">
        <v>105</v>
      </c>
      <c r="F1273" s="53" t="n">
        <v>45</v>
      </c>
      <c r="G1273" s="55" t="n">
        <v>983.37</v>
      </c>
      <c r="H1273" s="55" t="n">
        <v>410.84</v>
      </c>
      <c r="I1273" s="53" t="n">
        <v>0</v>
      </c>
      <c r="J1273" s="53" t="n">
        <v>0</v>
      </c>
      <c r="K1273" s="53" t="n">
        <v>0</v>
      </c>
      <c r="L1273" s="53" t="n">
        <v>0</v>
      </c>
      <c r="M1273" s="33">
        <f>F1273-E1273</f>
        <v/>
      </c>
      <c r="N1273" s="33">
        <f>L1273-K1273</f>
        <v/>
      </c>
    </row>
    <row r="1274">
      <c r="A1274" s="58" t="inlineStr">
        <is>
          <t>30002 American Lgn 109 (P) Rutherford</t>
        </is>
      </c>
      <c r="B1274" s="58" t="inlineStr">
        <is>
          <t>Bergen</t>
        </is>
      </c>
      <c r="C1274" s="58" t="inlineStr">
        <is>
          <t>Robin Feldman</t>
        </is>
      </c>
      <c r="D1274" s="58" t="inlineStr">
        <is>
          <t>On-premise</t>
        </is>
      </c>
      <c r="E1274" s="53" t="n">
        <v>37</v>
      </c>
      <c r="F1274" s="53" t="n">
        <v>38</v>
      </c>
      <c r="G1274" s="55" t="n">
        <v>281.4200000000001</v>
      </c>
      <c r="H1274" s="55" t="n">
        <v>295.31</v>
      </c>
      <c r="I1274" s="53" t="n">
        <v>0</v>
      </c>
      <c r="J1274" s="53" t="n">
        <v>4</v>
      </c>
      <c r="K1274" s="53" t="n">
        <v>0</v>
      </c>
      <c r="L1274" s="53" t="n">
        <v>0</v>
      </c>
      <c r="M1274" s="33">
        <f>F1274-E1274</f>
        <v/>
      </c>
      <c r="N1274" s="33">
        <f>L1274-K1274</f>
        <v/>
      </c>
    </row>
    <row r="1275">
      <c r="A1275" s="58" t="inlineStr">
        <is>
          <t>38047 American Legion Lodi Post 136</t>
        </is>
      </c>
      <c r="B1275" s="58" t="inlineStr">
        <is>
          <t>Bergen</t>
        </is>
      </c>
      <c r="C1275" s="58" t="inlineStr">
        <is>
          <t>Robin Feldman</t>
        </is>
      </c>
      <c r="D1275" s="58" t="inlineStr">
        <is>
          <t>On-premise</t>
        </is>
      </c>
      <c r="E1275" s="53" t="n">
        <v>4</v>
      </c>
      <c r="F1275" s="53" t="n">
        <v>4</v>
      </c>
      <c r="G1275" s="55" t="n">
        <v>37.3</v>
      </c>
      <c r="H1275" s="55" t="n">
        <v>42.49</v>
      </c>
      <c r="I1275" s="53" t="n">
        <v>0</v>
      </c>
      <c r="J1275" s="53" t="n">
        <v>1</v>
      </c>
      <c r="K1275" s="53" t="n">
        <v>0</v>
      </c>
      <c r="L1275" s="53" t="n">
        <v>0</v>
      </c>
      <c r="M1275" s="33">
        <f>F1275-E1275</f>
        <v/>
      </c>
      <c r="N1275" s="33">
        <f>L1275-K1275</f>
        <v/>
      </c>
    </row>
    <row r="1276">
      <c r="A1276" s="58" t="inlineStr">
        <is>
          <t>40040 St Paul Lodge#7</t>
        </is>
      </c>
      <c r="B1276" s="58" t="inlineStr">
        <is>
          <t>Bergen</t>
        </is>
      </c>
      <c r="C1276" s="58" t="inlineStr">
        <is>
          <t>Robin Feldman</t>
        </is>
      </c>
      <c r="D1276" s="58" t="inlineStr">
        <is>
          <t>On-premise</t>
        </is>
      </c>
      <c r="E1276" s="53" t="n">
        <v>21</v>
      </c>
      <c r="F1276" s="53" t="n">
        <v>40</v>
      </c>
      <c r="G1276" s="55" t="n">
        <v>189.98</v>
      </c>
      <c r="H1276" s="55" t="n">
        <v>393.8100000000001</v>
      </c>
      <c r="I1276" s="53" t="n">
        <v>3</v>
      </c>
      <c r="J1276" s="53" t="n">
        <v>6</v>
      </c>
      <c r="K1276" s="53" t="n">
        <v>0</v>
      </c>
      <c r="L1276" s="53" t="n">
        <v>0</v>
      </c>
      <c r="M1276" s="33">
        <f>F1276-E1276</f>
        <v/>
      </c>
      <c r="N1276" s="33">
        <f>L1276-K1276</f>
        <v/>
      </c>
    </row>
    <row r="1277">
      <c r="A1277" s="58" t="inlineStr">
        <is>
          <t>46022 Te Min Quan (P) Rest.</t>
        </is>
      </c>
      <c r="B1277" s="58" t="inlineStr">
        <is>
          <t>Bergen</t>
        </is>
      </c>
      <c r="C1277" s="58" t="inlineStr">
        <is>
          <t>Robin Feldman</t>
        </is>
      </c>
      <c r="D1277" s="58" t="inlineStr">
        <is>
          <t>On-premise</t>
        </is>
      </c>
      <c r="E1277" s="53" t="n">
        <v>5</v>
      </c>
      <c r="F1277" s="53" t="n">
        <v>0</v>
      </c>
      <c r="G1277" s="55" t="n">
        <v>43.95</v>
      </c>
      <c r="H1277" s="55" t="n">
        <v>0</v>
      </c>
      <c r="I1277" s="53" t="n">
        <v>10</v>
      </c>
      <c r="J1277" s="53" t="n">
        <v>9</v>
      </c>
      <c r="K1277" s="53" t="n">
        <v>0</v>
      </c>
      <c r="L1277" s="53" t="n">
        <v>0</v>
      </c>
      <c r="M1277" s="33">
        <f>F1277-E1277</f>
        <v/>
      </c>
      <c r="N1277" s="33">
        <f>L1277-K1277</f>
        <v/>
      </c>
    </row>
    <row r="1278">
      <c r="A1278" s="58" t="inlineStr">
        <is>
          <t>47006 Elks Post 1506</t>
        </is>
      </c>
      <c r="B1278" s="58" t="inlineStr">
        <is>
          <t>Bergen</t>
        </is>
      </c>
      <c r="C1278" s="58" t="inlineStr">
        <is>
          <t>Robin Feldman</t>
        </is>
      </c>
      <c r="D1278" s="58" t="inlineStr">
        <is>
          <t>On-premise</t>
        </is>
      </c>
      <c r="E1278" s="53" t="n">
        <v>87</v>
      </c>
      <c r="F1278" s="53" t="n">
        <v>73</v>
      </c>
      <c r="G1278" s="55" t="n">
        <v>739.91</v>
      </c>
      <c r="H1278" s="55" t="n">
        <v>597.91</v>
      </c>
      <c r="I1278" s="53" t="n">
        <v>12</v>
      </c>
      <c r="J1278" s="53" t="n">
        <v>7</v>
      </c>
      <c r="K1278" s="53" t="n">
        <v>0</v>
      </c>
      <c r="L1278" s="53" t="n">
        <v>0</v>
      </c>
      <c r="M1278" s="33">
        <f>F1278-E1278</f>
        <v/>
      </c>
      <c r="N1278" s="33">
        <f>L1278-K1278</f>
        <v/>
      </c>
    </row>
    <row r="1279">
      <c r="A1279" s="58" t="inlineStr">
        <is>
          <t>47014 K Of C 2229 (Z)</t>
        </is>
      </c>
      <c r="B1279" s="58" t="inlineStr">
        <is>
          <t>Bergen</t>
        </is>
      </c>
      <c r="C1279" s="58" t="inlineStr">
        <is>
          <t>Robin Feldman</t>
        </is>
      </c>
      <c r="D1279" s="58" t="inlineStr">
        <is>
          <t>On-premise</t>
        </is>
      </c>
      <c r="E1279" s="53" t="n">
        <v>58</v>
      </c>
      <c r="F1279" s="53" t="n">
        <v>58</v>
      </c>
      <c r="G1279" s="55" t="n">
        <v>412.68</v>
      </c>
      <c r="H1279" s="55" t="n">
        <v>473.0000000000001</v>
      </c>
      <c r="I1279" s="53" t="n">
        <v>7</v>
      </c>
      <c r="J1279" s="53" t="n">
        <v>9</v>
      </c>
      <c r="K1279" s="53" t="n">
        <v>0</v>
      </c>
      <c r="L1279" s="53" t="n">
        <v>0</v>
      </c>
      <c r="M1279" s="33">
        <f>F1279-E1279</f>
        <v/>
      </c>
      <c r="N1279" s="33">
        <f>L1279-K1279</f>
        <v/>
      </c>
    </row>
    <row r="1280">
      <c r="A1280" s="58" t="inlineStr">
        <is>
          <t>50036 Moose Lodge 961 (Z)</t>
        </is>
      </c>
      <c r="B1280" s="58" t="inlineStr">
        <is>
          <t>Bergen</t>
        </is>
      </c>
      <c r="C1280" s="58" t="inlineStr">
        <is>
          <t>Robin Feldman</t>
        </is>
      </c>
      <c r="D1280" s="58" t="inlineStr">
        <is>
          <t>On-premise</t>
        </is>
      </c>
      <c r="E1280" s="53" t="n">
        <v>146</v>
      </c>
      <c r="F1280" s="53" t="n">
        <v>108</v>
      </c>
      <c r="G1280" s="55" t="n">
        <v>1440.35</v>
      </c>
      <c r="H1280" s="55" t="n">
        <v>980.1400000000001</v>
      </c>
      <c r="I1280" s="53" t="n">
        <v>47</v>
      </c>
      <c r="J1280" s="53" t="n">
        <v>21</v>
      </c>
      <c r="K1280" s="53" t="n">
        <v>0</v>
      </c>
      <c r="L1280" s="53" t="n">
        <v>0</v>
      </c>
      <c r="M1280" s="33">
        <f>F1280-E1280</f>
        <v/>
      </c>
      <c r="N1280" s="33">
        <f>L1280-K1280</f>
        <v/>
      </c>
    </row>
    <row r="1281">
      <c r="A1281" s="58" t="inlineStr">
        <is>
          <t>51011 American Lgn Teaneck (Z)</t>
        </is>
      </c>
      <c r="B1281" s="58" t="inlineStr">
        <is>
          <t>Bergen</t>
        </is>
      </c>
      <c r="C1281" s="58" t="inlineStr">
        <is>
          <t>Robin Feldman</t>
        </is>
      </c>
      <c r="D1281" s="58" t="inlineStr">
        <is>
          <t>On-premise</t>
        </is>
      </c>
      <c r="E1281" s="53" t="n">
        <v>20</v>
      </c>
      <c r="F1281" s="53" t="n">
        <v>18</v>
      </c>
      <c r="G1281" s="55" t="n">
        <v>173.54</v>
      </c>
      <c r="H1281" s="55" t="n">
        <v>182.19</v>
      </c>
      <c r="I1281" s="53" t="n">
        <v>0</v>
      </c>
      <c r="J1281" s="53" t="n">
        <v>2</v>
      </c>
      <c r="K1281" s="53" t="n">
        <v>0</v>
      </c>
      <c r="L1281" s="53" t="n">
        <v>0</v>
      </c>
      <c r="M1281" s="33">
        <f>F1281-E1281</f>
        <v/>
      </c>
      <c r="N1281" s="33">
        <f>L1281-K1281</f>
        <v/>
      </c>
    </row>
    <row r="1282">
      <c r="A1282" s="58" t="inlineStr">
        <is>
          <t>56018 Vfw 6467 (Z)</t>
        </is>
      </c>
      <c r="B1282" s="58" t="inlineStr">
        <is>
          <t>Bergen</t>
        </is>
      </c>
      <c r="C1282" s="58" t="inlineStr">
        <is>
          <t>Robin Feldman</t>
        </is>
      </c>
      <c r="D1282" s="58" t="inlineStr">
        <is>
          <t>On-premise</t>
        </is>
      </c>
      <c r="E1282" s="53" t="n">
        <v>11</v>
      </c>
      <c r="F1282" s="53" t="n">
        <v>7</v>
      </c>
      <c r="G1282" s="55" t="n">
        <v>107.19</v>
      </c>
      <c r="H1282" s="55" t="n">
        <v>66.31999999999999</v>
      </c>
      <c r="I1282" s="53" t="n">
        <v>1</v>
      </c>
      <c r="J1282" s="53" t="n">
        <v>7</v>
      </c>
      <c r="K1282" s="53" t="n">
        <v>0</v>
      </c>
      <c r="L1282" s="53" t="n">
        <v>0</v>
      </c>
      <c r="M1282" s="33">
        <f>F1282-E1282</f>
        <v/>
      </c>
      <c r="N1282" s="33">
        <f>L1282-K1282</f>
        <v/>
      </c>
    </row>
    <row r="1283">
      <c r="A1283" s="58" t="inlineStr">
        <is>
          <t>57013 Vfw 4290 New Milford(P)</t>
        </is>
      </c>
      <c r="B1283" s="58" t="inlineStr">
        <is>
          <t>Bergen</t>
        </is>
      </c>
      <c r="C1283" s="58" t="inlineStr">
        <is>
          <t>Robin Feldman</t>
        </is>
      </c>
      <c r="D1283" s="58" t="inlineStr">
        <is>
          <t>On-premise</t>
        </is>
      </c>
      <c r="E1283" s="53" t="n">
        <v>7</v>
      </c>
      <c r="F1283" s="53" t="n">
        <v>0</v>
      </c>
      <c r="G1283" s="55" t="n">
        <v>69.34</v>
      </c>
      <c r="H1283" s="55" t="n">
        <v>0</v>
      </c>
      <c r="I1283" s="53" t="n">
        <v>0</v>
      </c>
      <c r="J1283" s="53" t="n">
        <v>0</v>
      </c>
      <c r="K1283" s="53" t="n">
        <v>0</v>
      </c>
      <c r="L1283" s="53" t="n">
        <v>0</v>
      </c>
      <c r="M1283" s="33">
        <f>F1283-E1283</f>
        <v/>
      </c>
      <c r="N1283" s="33">
        <f>L1283-K1283</f>
        <v/>
      </c>
    </row>
    <row r="1284">
      <c r="A1284" s="58" t="inlineStr">
        <is>
          <t>65008 American Lgn Norwood</t>
        </is>
      </c>
      <c r="B1284" s="58" t="inlineStr">
        <is>
          <t>Bergen</t>
        </is>
      </c>
      <c r="C1284" s="58" t="inlineStr">
        <is>
          <t>Robin Feldman</t>
        </is>
      </c>
      <c r="D1284" s="58" t="inlineStr">
        <is>
          <t>On-premise</t>
        </is>
      </c>
      <c r="E1284" s="53" t="n">
        <v>26</v>
      </c>
      <c r="F1284" s="53" t="n">
        <v>0</v>
      </c>
      <c r="G1284" s="55" t="n">
        <v>221.21</v>
      </c>
      <c r="H1284" s="55" t="n">
        <v>0</v>
      </c>
      <c r="I1284" s="53" t="n">
        <v>4</v>
      </c>
      <c r="J1284" s="53" t="n">
        <v>0</v>
      </c>
      <c r="K1284" s="53" t="n">
        <v>0</v>
      </c>
      <c r="L1284" s="53" t="n">
        <v>0</v>
      </c>
      <c r="M1284" s="33">
        <f>F1284-E1284</f>
        <v/>
      </c>
      <c r="N1284" s="33">
        <f>L1284-K1284</f>
        <v/>
      </c>
    </row>
    <row r="1285">
      <c r="A1285" s="58" t="inlineStr">
        <is>
          <t>67009 American Lgn Northvale</t>
        </is>
      </c>
      <c r="B1285" s="58" t="inlineStr">
        <is>
          <t>Bergen</t>
        </is>
      </c>
      <c r="C1285" s="58" t="inlineStr">
        <is>
          <t>Robin Feldman</t>
        </is>
      </c>
      <c r="D1285" s="58" t="inlineStr">
        <is>
          <t>On-premise</t>
        </is>
      </c>
      <c r="E1285" s="53" t="n">
        <v>12</v>
      </c>
      <c r="F1285" s="53" t="n">
        <v>0</v>
      </c>
      <c r="G1285" s="55" t="n">
        <v>93.30000000000001</v>
      </c>
      <c r="H1285" s="55" t="n">
        <v>0</v>
      </c>
      <c r="I1285" s="53" t="n">
        <v>0</v>
      </c>
      <c r="J1285" s="53" t="n">
        <v>0</v>
      </c>
      <c r="K1285" s="53" t="n">
        <v>0</v>
      </c>
      <c r="L1285" s="53" t="n">
        <v>0</v>
      </c>
      <c r="M1285" s="33">
        <f>F1285-E1285</f>
        <v/>
      </c>
      <c r="N1285" s="33">
        <f>L1285-K1285</f>
        <v/>
      </c>
    </row>
    <row r="1286">
      <c r="A1286" s="58" t="inlineStr">
        <is>
          <t>71009 American Lgn Park Ridge</t>
        </is>
      </c>
      <c r="B1286" s="58" t="inlineStr">
        <is>
          <t>Bergen</t>
        </is>
      </c>
      <c r="C1286" s="58" t="inlineStr">
        <is>
          <t>Robin Feldman</t>
        </is>
      </c>
      <c r="D1286" s="58" t="inlineStr">
        <is>
          <t>On-premise</t>
        </is>
      </c>
      <c r="E1286" s="53" t="n">
        <v>0</v>
      </c>
      <c r="F1286" s="53" t="n">
        <v>13</v>
      </c>
      <c r="G1286" s="55" t="n">
        <v>0</v>
      </c>
      <c r="H1286" s="55" t="n">
        <v>97.93000000000001</v>
      </c>
      <c r="I1286" s="53" t="n">
        <v>0</v>
      </c>
      <c r="J1286" s="53" t="n">
        <v>1</v>
      </c>
      <c r="K1286" s="53" t="n">
        <v>0</v>
      </c>
      <c r="L1286" s="53" t="n">
        <v>0</v>
      </c>
      <c r="M1286" s="33">
        <f>F1286-E1286</f>
        <v/>
      </c>
      <c r="N1286" s="33">
        <f>L1286-K1286</f>
        <v/>
      </c>
    </row>
    <row r="1287">
      <c r="A1287" s="58" t="inlineStr">
        <is>
          <t>76022 American Lgn (Z) (Saddle Brook)</t>
        </is>
      </c>
      <c r="B1287" s="58" t="inlineStr">
        <is>
          <t>Bergen</t>
        </is>
      </c>
      <c r="C1287" s="58" t="inlineStr">
        <is>
          <t>Robin Feldman</t>
        </is>
      </c>
      <c r="D1287" s="58" t="inlineStr">
        <is>
          <t>On-premise</t>
        </is>
      </c>
      <c r="E1287" s="53" t="n">
        <v>75</v>
      </c>
      <c r="F1287" s="53" t="n">
        <v>100</v>
      </c>
      <c r="G1287" s="55" t="n">
        <v>782.4299999999999</v>
      </c>
      <c r="H1287" s="55" t="n">
        <v>891.1800000000001</v>
      </c>
      <c r="I1287" s="53" t="n">
        <v>4</v>
      </c>
      <c r="J1287" s="53" t="n">
        <v>1</v>
      </c>
      <c r="K1287" s="53" t="n">
        <v>0</v>
      </c>
      <c r="L1287" s="53" t="n">
        <v>0</v>
      </c>
      <c r="M1287" s="33">
        <f>F1287-E1287</f>
        <v/>
      </c>
      <c r="N1287" s="33">
        <f>L1287-K1287</f>
        <v/>
      </c>
    </row>
    <row r="1288">
      <c r="A1288" s="58" t="inlineStr">
        <is>
          <t>77029 Reserve (Z) Assoc.</t>
        </is>
      </c>
      <c r="B1288" s="58" t="inlineStr">
        <is>
          <t>Bergen</t>
        </is>
      </c>
      <c r="C1288" s="58" t="inlineStr">
        <is>
          <t>Robin Feldman</t>
        </is>
      </c>
      <c r="D1288" s="58" t="inlineStr">
        <is>
          <t>Unmatched</t>
        </is>
      </c>
      <c r="E1288" s="53" t="n">
        <v>23</v>
      </c>
      <c r="F1288" s="53" t="n">
        <v>0</v>
      </c>
      <c r="G1288" s="55" t="n">
        <v>218.34</v>
      </c>
      <c r="H1288" s="55" t="n">
        <v>0</v>
      </c>
      <c r="I1288" s="53" t="n">
        <v>0</v>
      </c>
      <c r="J1288" s="53" t="n">
        <v>0</v>
      </c>
      <c r="K1288" s="53" t="n">
        <v>0</v>
      </c>
      <c r="L1288" s="53" t="n">
        <v>0</v>
      </c>
      <c r="M1288" s="33">
        <f>F1288-E1288</f>
        <v/>
      </c>
      <c r="N1288" s="33">
        <f>L1288-K1288</f>
        <v/>
      </c>
    </row>
    <row r="1289">
      <c r="A1289" s="58" t="inlineStr">
        <is>
          <t>77033 Elmwood Pk-Pater Elks #60</t>
        </is>
      </c>
      <c r="B1289" s="58" t="inlineStr">
        <is>
          <t>Bergen</t>
        </is>
      </c>
      <c r="C1289" s="58" t="inlineStr">
        <is>
          <t>Robin Feldman</t>
        </is>
      </c>
      <c r="D1289" s="58" t="inlineStr">
        <is>
          <t>On-premise</t>
        </is>
      </c>
      <c r="E1289" s="53" t="n">
        <v>7</v>
      </c>
      <c r="F1289" s="53" t="n">
        <v>0</v>
      </c>
      <c r="G1289" s="55" t="n">
        <v>42.37</v>
      </c>
      <c r="H1289" s="55" t="n">
        <v>0</v>
      </c>
      <c r="I1289" s="53" t="n">
        <v>0</v>
      </c>
      <c r="J1289" s="53" t="n">
        <v>0</v>
      </c>
      <c r="K1289" s="53" t="n">
        <v>0</v>
      </c>
      <c r="L1289" s="53" t="n">
        <v>0</v>
      </c>
      <c r="M1289" s="33">
        <f>F1289-E1289</f>
        <v/>
      </c>
      <c r="N1289" s="33">
        <f>L1289-K1289</f>
        <v/>
      </c>
    </row>
    <row r="1290">
      <c r="A1290" s="58" t="inlineStr">
        <is>
          <t>80033 Elks Post 2001 Paramus</t>
        </is>
      </c>
      <c r="B1290" s="58" t="inlineStr">
        <is>
          <t>Bergen</t>
        </is>
      </c>
      <c r="C1290" s="58" t="inlineStr">
        <is>
          <t>Robin Feldman</t>
        </is>
      </c>
      <c r="D1290" s="58" t="inlineStr">
        <is>
          <t>On-premise</t>
        </is>
      </c>
      <c r="E1290" s="53" t="n">
        <v>25</v>
      </c>
      <c r="F1290" s="53" t="n">
        <v>12</v>
      </c>
      <c r="G1290" s="55" t="n">
        <v>228.6</v>
      </c>
      <c r="H1290" s="55" t="n">
        <v>112.28</v>
      </c>
      <c r="I1290" s="53" t="n">
        <v>0</v>
      </c>
      <c r="J1290" s="53" t="n">
        <v>0</v>
      </c>
      <c r="K1290" s="53" t="n">
        <v>0</v>
      </c>
      <c r="L1290" s="53" t="n">
        <v>0</v>
      </c>
      <c r="M1290" s="33">
        <f>F1290-E1290</f>
        <v/>
      </c>
      <c r="N1290" s="33">
        <f>L1290-K1290</f>
        <v/>
      </c>
    </row>
    <row r="1291">
      <c r="A1291" s="58" t="inlineStr">
        <is>
          <t>8016 Elks Pompton Lakes</t>
        </is>
      </c>
      <c r="B1291" s="58" t="inlineStr">
        <is>
          <t>Passaic</t>
        </is>
      </c>
      <c r="C1291" s="58" t="inlineStr">
        <is>
          <t>Robin Feldman</t>
        </is>
      </c>
      <c r="D1291" s="58" t="inlineStr">
        <is>
          <t>On-premise</t>
        </is>
      </c>
      <c r="E1291" s="53" t="n">
        <v>51</v>
      </c>
      <c r="F1291" s="53" t="n">
        <v>13</v>
      </c>
      <c r="G1291" s="55" t="n">
        <v>305.91</v>
      </c>
      <c r="H1291" s="55" t="n">
        <v>130.31</v>
      </c>
      <c r="I1291" s="53" t="n">
        <v>14</v>
      </c>
      <c r="J1291" s="53" t="n">
        <v>0</v>
      </c>
      <c r="K1291" s="53" t="n">
        <v>0</v>
      </c>
      <c r="L1291" s="53" t="n">
        <v>0</v>
      </c>
      <c r="M1291" s="33">
        <f>F1291-E1291</f>
        <v/>
      </c>
      <c r="N1291" s="33">
        <f>L1291-K1291</f>
        <v/>
      </c>
    </row>
    <row r="1292">
      <c r="A1292" s="58" t="inlineStr">
        <is>
          <t>85005 Vol Fire Co Midland Pk.</t>
        </is>
      </c>
      <c r="B1292" s="58" t="inlineStr">
        <is>
          <t>Bergen</t>
        </is>
      </c>
      <c r="C1292" s="58" t="inlineStr">
        <is>
          <t>Robin Feldman</t>
        </is>
      </c>
      <c r="D1292" s="58" t="inlineStr">
        <is>
          <t>On-premise</t>
        </is>
      </c>
      <c r="E1292" s="53" t="n">
        <v>25</v>
      </c>
      <c r="F1292" s="53" t="n">
        <v>11</v>
      </c>
      <c r="G1292" s="55" t="n">
        <v>185.34</v>
      </c>
      <c r="H1292" s="55" t="n">
        <v>89.60999999999999</v>
      </c>
      <c r="I1292" s="53" t="n">
        <v>0</v>
      </c>
      <c r="J1292" s="53" t="n">
        <v>0</v>
      </c>
      <c r="K1292" s="53" t="n">
        <v>0</v>
      </c>
      <c r="L1292" s="53" t="n">
        <v>0</v>
      </c>
      <c r="M1292" s="33">
        <f>F1292-E1292</f>
        <v/>
      </c>
      <c r="N1292" s="33">
        <f>L1292-K1292</f>
        <v/>
      </c>
    </row>
    <row r="1293">
      <c r="A1293" s="58" t="inlineStr">
        <is>
          <t>190202 Boonton Elks</t>
        </is>
      </c>
      <c r="B1293" s="58" t="inlineStr">
        <is>
          <t>Morris</t>
        </is>
      </c>
      <c r="C1293" s="58" t="inlineStr">
        <is>
          <t>Robin Feldman</t>
        </is>
      </c>
      <c r="D1293" s="58" t="inlineStr">
        <is>
          <t>On-premise</t>
        </is>
      </c>
      <c r="E1293" s="53" t="n">
        <v>-1</v>
      </c>
      <c r="F1293" s="53" t="n">
        <v>9</v>
      </c>
      <c r="G1293" s="55" t="n">
        <v>-10.87</v>
      </c>
      <c r="H1293" s="55" t="n">
        <v>84.78999999999999</v>
      </c>
      <c r="I1293" s="53" t="n">
        <v>0</v>
      </c>
      <c r="J1293" s="53" t="n">
        <v>1</v>
      </c>
      <c r="K1293" s="53" t="n">
        <v>0</v>
      </c>
      <c r="L1293" s="53" t="n">
        <v>0</v>
      </c>
      <c r="M1293" s="33">
        <f>F1293-E1293</f>
        <v/>
      </c>
      <c r="N1293" s="33">
        <f>L1293-K1293</f>
        <v/>
      </c>
    </row>
    <row r="1294">
      <c r="A1294" s="58" t="inlineStr">
        <is>
          <t>19025 Riverside Veteran</t>
        </is>
      </c>
      <c r="B1294" s="58" t="inlineStr">
        <is>
          <t>Passaic</t>
        </is>
      </c>
      <c r="C1294" s="58" t="inlineStr">
        <is>
          <t>Robin Feldman</t>
        </is>
      </c>
      <c r="D1294" s="58" t="inlineStr">
        <is>
          <t>On-premise</t>
        </is>
      </c>
      <c r="E1294" s="53" t="n">
        <v>7</v>
      </c>
      <c r="F1294" s="53" t="n">
        <v>0</v>
      </c>
      <c r="G1294" s="55" t="n">
        <v>56.36</v>
      </c>
      <c r="H1294" s="55" t="n">
        <v>0</v>
      </c>
      <c r="I1294" s="53" t="n">
        <v>3</v>
      </c>
      <c r="J1294" s="53" t="n">
        <v>0</v>
      </c>
      <c r="K1294" s="53" t="n">
        <v>0</v>
      </c>
      <c r="L1294" s="53" t="n">
        <v>0</v>
      </c>
      <c r="M1294" s="33">
        <f>F1294-E1294</f>
        <v/>
      </c>
      <c r="N1294" s="33">
        <f>L1294-K1294</f>
        <v/>
      </c>
    </row>
    <row r="1295">
      <c r="A1295" s="58" t="inlineStr">
        <is>
          <t>190608 Cedar Lake Club</t>
        </is>
      </c>
      <c r="B1295" s="58" t="inlineStr">
        <is>
          <t>Morris</t>
        </is>
      </c>
      <c r="C1295" s="58" t="inlineStr">
        <is>
          <t>Robin Feldman</t>
        </is>
      </c>
      <c r="D1295" s="58" t="inlineStr">
        <is>
          <t>On-premise</t>
        </is>
      </c>
      <c r="E1295" s="53" t="n">
        <v>16</v>
      </c>
      <c r="F1295" s="53" t="n">
        <v>38</v>
      </c>
      <c r="G1295" s="55" t="n">
        <v>130.31</v>
      </c>
      <c r="H1295" s="55" t="n">
        <v>324.34</v>
      </c>
      <c r="I1295" s="53" t="n">
        <v>6</v>
      </c>
      <c r="J1295" s="53" t="n">
        <v>8</v>
      </c>
      <c r="K1295" s="53" t="n">
        <v>0</v>
      </c>
      <c r="L1295" s="53" t="n">
        <v>0</v>
      </c>
      <c r="M1295" s="33">
        <f>F1295-E1295</f>
        <v/>
      </c>
      <c r="N1295" s="33">
        <f>L1295-K1295</f>
        <v/>
      </c>
    </row>
    <row r="1296">
      <c r="A1296" s="58" t="inlineStr">
        <is>
          <t>190613 Rock Ridge Community</t>
        </is>
      </c>
      <c r="B1296" s="58" t="inlineStr">
        <is>
          <t>Morris</t>
        </is>
      </c>
      <c r="C1296" s="58" t="inlineStr">
        <is>
          <t>Robin Feldman</t>
        </is>
      </c>
      <c r="D1296" s="58" t="inlineStr">
        <is>
          <t>On-premise</t>
        </is>
      </c>
      <c r="E1296" s="53" t="n">
        <v>4</v>
      </c>
      <c r="F1296" s="53" t="n">
        <v>9</v>
      </c>
      <c r="G1296" s="55" t="n">
        <v>19.82000000000001</v>
      </c>
      <c r="H1296" s="55" t="n">
        <v>64.54000000000001</v>
      </c>
      <c r="I1296" s="53" t="n">
        <v>8</v>
      </c>
      <c r="J1296" s="53" t="n">
        <v>15</v>
      </c>
      <c r="K1296" s="53" t="n">
        <v>0</v>
      </c>
      <c r="L1296" s="53" t="n">
        <v>0</v>
      </c>
      <c r="M1296" s="33">
        <f>F1296-E1296</f>
        <v/>
      </c>
      <c r="N1296" s="33">
        <f>L1296-K1296</f>
        <v/>
      </c>
    </row>
    <row r="1297">
      <c r="A1297" s="58" t="inlineStr">
        <is>
          <t>191306 Shore Hills Country Club</t>
        </is>
      </c>
      <c r="B1297" s="58" t="inlineStr">
        <is>
          <t>Morris</t>
        </is>
      </c>
      <c r="C1297" s="58" t="inlineStr">
        <is>
          <t>Robin Feldman</t>
        </is>
      </c>
      <c r="D1297" s="58" t="inlineStr">
        <is>
          <t>On-premise</t>
        </is>
      </c>
      <c r="E1297" s="53" t="n">
        <v>0</v>
      </c>
      <c r="F1297" s="53" t="n">
        <v>9</v>
      </c>
      <c r="G1297" s="55" t="n">
        <v>0</v>
      </c>
      <c r="H1297" s="55" t="n">
        <v>75.50999999999999</v>
      </c>
      <c r="I1297" s="53" t="n">
        <v>0</v>
      </c>
      <c r="J1297" s="53" t="n">
        <v>1</v>
      </c>
      <c r="K1297" s="53" t="n">
        <v>0</v>
      </c>
      <c r="L1297" s="53" t="n">
        <v>0</v>
      </c>
      <c r="M1297" s="33">
        <f>F1297-E1297</f>
        <v/>
      </c>
      <c r="N1297" s="33">
        <f>L1297-K1297</f>
        <v/>
      </c>
    </row>
    <row r="1298">
      <c r="A1298" s="58" t="inlineStr">
        <is>
          <t>92016 K Of C Ramsey</t>
        </is>
      </c>
      <c r="B1298" s="58" t="inlineStr">
        <is>
          <t>Bergen</t>
        </is>
      </c>
      <c r="C1298" s="58" t="inlineStr">
        <is>
          <t>Robin Feldman</t>
        </is>
      </c>
      <c r="D1298" s="58" t="inlineStr">
        <is>
          <t>On-premise</t>
        </is>
      </c>
      <c r="E1298" s="53" t="n">
        <v>13</v>
      </c>
      <c r="F1298" s="53" t="n">
        <v>7</v>
      </c>
      <c r="G1298" s="55" t="n">
        <v>88.40000000000001</v>
      </c>
      <c r="H1298" s="55" t="n">
        <v>47.69</v>
      </c>
      <c r="I1298" s="53" t="n">
        <v>26</v>
      </c>
      <c r="J1298" s="53" t="n">
        <v>35</v>
      </c>
      <c r="K1298" s="53" t="n">
        <v>0</v>
      </c>
      <c r="L1298" s="53" t="n">
        <v>0</v>
      </c>
      <c r="M1298" s="33">
        <f>F1298-E1298</f>
        <v/>
      </c>
      <c r="N1298" s="33">
        <f>L1298-K1298</f>
        <v/>
      </c>
    </row>
    <row r="1299">
      <c r="A1299" s="58" t="inlineStr">
        <is>
          <t>12012 Cosmopolitan</t>
        </is>
      </c>
      <c r="B1299" s="58" t="inlineStr">
        <is>
          <t>Passaic</t>
        </is>
      </c>
      <c r="C1299" s="58" t="inlineStr">
        <is>
          <t>Robin Feldman</t>
        </is>
      </c>
      <c r="D1299" s="58" t="inlineStr">
        <is>
          <t>On-premise</t>
        </is>
      </c>
      <c r="E1299" s="53" t="n">
        <v>0</v>
      </c>
      <c r="F1299" s="53" t="n">
        <v>10</v>
      </c>
      <c r="G1299" s="55" t="n">
        <v>0</v>
      </c>
      <c r="H1299" s="55" t="n">
        <v>122.5</v>
      </c>
      <c r="I1299" s="53" t="n">
        <v>0</v>
      </c>
      <c r="J1299" s="53" t="n">
        <v>0</v>
      </c>
      <c r="K1299" s="53" t="n">
        <v>0</v>
      </c>
      <c r="L1299" s="53" t="n">
        <v>0</v>
      </c>
      <c r="M1299" s="33">
        <f>F1299-E1299</f>
        <v/>
      </c>
      <c r="N1299" s="33">
        <f>L1299-K1299</f>
        <v/>
      </c>
    </row>
    <row r="1300">
      <c r="A1300" s="58" t="inlineStr">
        <is>
          <t>12029 Elks Post (A) #2181 Wayne</t>
        </is>
      </c>
      <c r="B1300" s="58" t="inlineStr">
        <is>
          <t>Passaic</t>
        </is>
      </c>
      <c r="C1300" s="58" t="inlineStr">
        <is>
          <t>Robin Feldman</t>
        </is>
      </c>
      <c r="D1300" s="58" t="inlineStr">
        <is>
          <t>Unmatched</t>
        </is>
      </c>
      <c r="E1300" s="53" t="n">
        <v>14</v>
      </c>
      <c r="F1300" s="53" t="n">
        <v>0</v>
      </c>
      <c r="G1300" s="55" t="n">
        <v>134.14</v>
      </c>
      <c r="H1300" s="55" t="n">
        <v>0</v>
      </c>
      <c r="I1300" s="53" t="n">
        <v>6</v>
      </c>
      <c r="J1300" s="53" t="n">
        <v>0</v>
      </c>
      <c r="K1300" s="53" t="n">
        <v>0</v>
      </c>
      <c r="L1300" s="53" t="n">
        <v>0</v>
      </c>
      <c r="M1300" s="33">
        <f>F1300-E1300</f>
        <v/>
      </c>
      <c r="N1300" s="33">
        <f>L1300-K1300</f>
        <v/>
      </c>
    </row>
    <row r="1301">
      <c r="A1301" s="58" t="inlineStr">
        <is>
          <t>77025 Parkway Diner (Z)</t>
        </is>
      </c>
      <c r="B1301" s="58" t="inlineStr">
        <is>
          <t>Bergen</t>
        </is>
      </c>
      <c r="C1301" s="58" t="inlineStr">
        <is>
          <t>Robin Feldman</t>
        </is>
      </c>
      <c r="D1301" s="58" t="inlineStr">
        <is>
          <t>Unmatched</t>
        </is>
      </c>
      <c r="E1301" s="53" t="n">
        <v>15</v>
      </c>
      <c r="F1301" s="53" t="n">
        <v>0</v>
      </c>
      <c r="G1301" s="55" t="n">
        <v>119.94</v>
      </c>
      <c r="H1301" s="55" t="n">
        <v>0</v>
      </c>
      <c r="I1301" s="53" t="n">
        <v>0</v>
      </c>
      <c r="J1301" s="53" t="n">
        <v>0</v>
      </c>
      <c r="K1301" s="53" t="n">
        <v>0</v>
      </c>
      <c r="L1301" s="53" t="n">
        <v>0</v>
      </c>
      <c r="M1301" s="33">
        <f>F1301-E1301</f>
        <v/>
      </c>
      <c r="N1301" s="33">
        <f>L1301-K1301</f>
        <v/>
      </c>
    </row>
    <row r="1302">
      <c r="A1302" s="58" t="inlineStr">
        <is>
          <t>29055 Vfw Lyndhurst (P)</t>
        </is>
      </c>
      <c r="B1302" s="58" t="inlineStr">
        <is>
          <t>Bergen</t>
        </is>
      </c>
      <c r="C1302" s="58" t="inlineStr">
        <is>
          <t>Robin Feldman</t>
        </is>
      </c>
      <c r="D1302" s="58" t="inlineStr">
        <is>
          <t>On-premise</t>
        </is>
      </c>
      <c r="E1302" s="53" t="n">
        <v>10</v>
      </c>
      <c r="F1302" s="53" t="n">
        <v>10</v>
      </c>
      <c r="G1302" s="55" t="n">
        <v>98.90000000000001</v>
      </c>
      <c r="H1302" s="55" t="n">
        <v>96.2</v>
      </c>
      <c r="I1302" s="53" t="n">
        <v>0</v>
      </c>
      <c r="J1302" s="53" t="n">
        <v>0</v>
      </c>
      <c r="K1302" s="53" t="n">
        <v>0</v>
      </c>
      <c r="L1302" s="53" t="n">
        <v>0</v>
      </c>
      <c r="M1302" s="33">
        <f>F1302-E1302</f>
        <v/>
      </c>
      <c r="N1302" s="33">
        <f>L1302-K1302</f>
        <v/>
      </c>
    </row>
    <row r="1303">
      <c r="A1303" s="58" t="inlineStr">
        <is>
          <t>54004 Spring House</t>
        </is>
      </c>
      <c r="B1303" s="58" t="inlineStr">
        <is>
          <t>Bergen</t>
        </is>
      </c>
      <c r="C1303" s="58" t="inlineStr">
        <is>
          <t>Robin Feldman</t>
        </is>
      </c>
      <c r="D1303" s="58" t="inlineStr">
        <is>
          <t>Unmatched</t>
        </is>
      </c>
      <c r="E1303" s="53" t="n">
        <v>2</v>
      </c>
      <c r="F1303" s="53" t="n">
        <v>0</v>
      </c>
      <c r="G1303" s="55" t="n">
        <v>19.74</v>
      </c>
      <c r="H1303" s="55" t="n">
        <v>0</v>
      </c>
      <c r="I1303" s="53" t="n">
        <v>8</v>
      </c>
      <c r="J1303" s="53" t="n">
        <v>0</v>
      </c>
      <c r="K1303" s="53" t="n">
        <v>0</v>
      </c>
      <c r="L1303" s="53" t="n">
        <v>0</v>
      </c>
      <c r="M1303" s="33">
        <f>F1303-E1303</f>
        <v/>
      </c>
      <c r="N1303" s="33">
        <f>L1303-K1303</f>
        <v/>
      </c>
    </row>
    <row r="1304">
      <c r="A1304" s="58" t="inlineStr">
        <is>
          <t>250300 Jackson Liquors</t>
        </is>
      </c>
      <c r="B1304" s="58" t="inlineStr">
        <is>
          <t>Union</t>
        </is>
      </c>
      <c r="C1304" s="58" t="inlineStr">
        <is>
          <t>Alex Rodriguez</t>
        </is>
      </c>
      <c r="D1304" s="58" t="inlineStr">
        <is>
          <t>Off-premise</t>
        </is>
      </c>
      <c r="E1304" s="53" t="n">
        <v>0</v>
      </c>
      <c r="F1304" s="53" t="n">
        <v>0</v>
      </c>
      <c r="G1304" s="55" t="n">
        <v>0</v>
      </c>
      <c r="H1304" s="55" t="n">
        <v>0</v>
      </c>
      <c r="I1304" s="53" t="n">
        <v>131</v>
      </c>
      <c r="J1304" s="53" t="n">
        <v>87</v>
      </c>
      <c r="K1304" s="53" t="n">
        <v>0</v>
      </c>
      <c r="L1304" s="53" t="n">
        <v>0</v>
      </c>
      <c r="M1304" s="33">
        <f>F1304-E1304</f>
        <v/>
      </c>
      <c r="N1304" s="33">
        <f>L1304-K1304</f>
        <v/>
      </c>
    </row>
    <row r="1305">
      <c r="A1305" s="58" t="inlineStr">
        <is>
          <t>251009 Suburban Golf Club</t>
        </is>
      </c>
      <c r="B1305" s="58" t="inlineStr">
        <is>
          <t>Union</t>
        </is>
      </c>
      <c r="C1305" s="58" t="inlineStr">
        <is>
          <t>Alex Rodriguez</t>
        </is>
      </c>
      <c r="D1305" s="58" t="inlineStr">
        <is>
          <t>Unmatched</t>
        </is>
      </c>
      <c r="E1305" s="53" t="n">
        <v>0</v>
      </c>
      <c r="F1305" s="53" t="n">
        <v>0</v>
      </c>
      <c r="G1305" s="55" t="n">
        <v>0</v>
      </c>
      <c r="H1305" s="55" t="n">
        <v>0</v>
      </c>
      <c r="I1305" s="53" t="n">
        <v>20</v>
      </c>
      <c r="J1305" s="53" t="n">
        <v>0</v>
      </c>
      <c r="K1305" s="53" t="n">
        <v>0</v>
      </c>
      <c r="L1305" s="53" t="n">
        <v>0</v>
      </c>
      <c r="M1305" s="33">
        <f>F1305-E1305</f>
        <v/>
      </c>
      <c r="N1305" s="33">
        <f>L1305-K1305</f>
        <v/>
      </c>
    </row>
    <row r="1306">
      <c r="A1306" s="58" t="inlineStr">
        <is>
          <t>253003 Tequila Club</t>
        </is>
      </c>
      <c r="B1306" s="58" t="inlineStr">
        <is>
          <t>Union</t>
        </is>
      </c>
      <c r="C1306" s="58" t="inlineStr">
        <is>
          <t>Alex Rodriguez</t>
        </is>
      </c>
      <c r="D1306" s="58" t="inlineStr">
        <is>
          <t>On-premise</t>
        </is>
      </c>
      <c r="E1306" s="53" t="n">
        <v>0</v>
      </c>
      <c r="F1306" s="53" t="n">
        <v>0</v>
      </c>
      <c r="G1306" s="55" t="n">
        <v>0</v>
      </c>
      <c r="H1306" s="55" t="n">
        <v>0</v>
      </c>
      <c r="I1306" s="53" t="n">
        <v>0</v>
      </c>
      <c r="J1306" s="53" t="n">
        <v>29</v>
      </c>
      <c r="K1306" s="53" t="n">
        <v>0</v>
      </c>
      <c r="L1306" s="53" t="n">
        <v>0</v>
      </c>
      <c r="M1306" s="33">
        <f>F1306-E1306</f>
        <v/>
      </c>
      <c r="N1306" s="33">
        <f>L1306-K1306</f>
        <v/>
      </c>
    </row>
    <row r="1307">
      <c r="A1307" s="58" t="inlineStr">
        <is>
          <t>250036 Watchung Liquor (P)</t>
        </is>
      </c>
      <c r="B1307" s="58" t="inlineStr">
        <is>
          <t>Union</t>
        </is>
      </c>
      <c r="C1307" s="58" t="inlineStr">
        <is>
          <t>Alex Rodriguez</t>
        </is>
      </c>
      <c r="D1307" s="58" t="inlineStr">
        <is>
          <t>Off-premise</t>
        </is>
      </c>
      <c r="E1307" s="53" t="n">
        <v>0</v>
      </c>
      <c r="F1307" s="53" t="n">
        <v>0</v>
      </c>
      <c r="G1307" s="55" t="n">
        <v>0</v>
      </c>
      <c r="H1307" s="55" t="n">
        <v>0</v>
      </c>
      <c r="I1307" s="53" t="n">
        <v>100</v>
      </c>
      <c r="J1307" s="53" t="n">
        <v>0</v>
      </c>
      <c r="K1307" s="53" t="n">
        <v>0</v>
      </c>
      <c r="L1307" s="53" t="n">
        <v>0</v>
      </c>
      <c r="M1307" s="33">
        <f>F1307-E1307</f>
        <v/>
      </c>
      <c r="N1307" s="33">
        <f>L1307-K1307</f>
        <v/>
      </c>
    </row>
    <row r="1308">
      <c r="A1308" s="58" t="inlineStr">
        <is>
          <t>250093 San Homa Liquors</t>
        </is>
      </c>
      <c r="B1308" s="58" t="inlineStr">
        <is>
          <t>Union</t>
        </is>
      </c>
      <c r="C1308" s="58" t="inlineStr">
        <is>
          <t>Alex Rodriguez</t>
        </is>
      </c>
      <c r="D1308" s="58" t="inlineStr">
        <is>
          <t>Off-premise</t>
        </is>
      </c>
      <c r="E1308" s="53" t="n">
        <v>0</v>
      </c>
      <c r="F1308" s="53" t="n">
        <v>0</v>
      </c>
      <c r="G1308" s="55" t="n">
        <v>0</v>
      </c>
      <c r="H1308" s="55" t="n">
        <v>0</v>
      </c>
      <c r="I1308" s="53" t="n">
        <v>84</v>
      </c>
      <c r="J1308" s="53" t="n">
        <v>196</v>
      </c>
      <c r="K1308" s="53" t="n">
        <v>0</v>
      </c>
      <c r="L1308" s="53" t="n">
        <v>0</v>
      </c>
      <c r="M1308" s="33">
        <f>F1308-E1308</f>
        <v/>
      </c>
      <c r="N1308" s="33">
        <f>L1308-K1308</f>
        <v/>
      </c>
    </row>
    <row r="1309">
      <c r="A1309" s="58" t="inlineStr">
        <is>
          <t>253002 Golden Anchor Bar</t>
        </is>
      </c>
      <c r="B1309" s="58" t="inlineStr">
        <is>
          <t>Union</t>
        </is>
      </c>
      <c r="C1309" s="58" t="inlineStr">
        <is>
          <t>Alex Rodriguez</t>
        </is>
      </c>
      <c r="D1309" s="58" t="inlineStr">
        <is>
          <t>On-premise</t>
        </is>
      </c>
      <c r="E1309" s="53" t="n">
        <v>0</v>
      </c>
      <c r="F1309" s="53" t="n">
        <v>0</v>
      </c>
      <c r="G1309" s="55" t="n">
        <v>0</v>
      </c>
      <c r="H1309" s="55" t="n">
        <v>0</v>
      </c>
      <c r="I1309" s="53" t="n">
        <v>60</v>
      </c>
      <c r="J1309" s="53" t="n">
        <v>57</v>
      </c>
      <c r="K1309" s="53" t="n">
        <v>0</v>
      </c>
      <c r="L1309" s="53" t="n">
        <v>0</v>
      </c>
      <c r="M1309" s="33">
        <f>F1309-E1309</f>
        <v/>
      </c>
      <c r="N1309" s="33">
        <f>L1309-K1309</f>
        <v/>
      </c>
    </row>
    <row r="1310">
      <c r="A1310" s="58" t="inlineStr">
        <is>
          <t>253004 The Bridge Bar</t>
        </is>
      </c>
      <c r="B1310" s="58" t="inlineStr">
        <is>
          <t>Union</t>
        </is>
      </c>
      <c r="C1310" s="58" t="inlineStr">
        <is>
          <t>Alex Rodriguez</t>
        </is>
      </c>
      <c r="D1310" s="58" t="inlineStr">
        <is>
          <t>On-premise</t>
        </is>
      </c>
      <c r="E1310" s="53" t="n">
        <v>0</v>
      </c>
      <c r="F1310" s="53" t="n">
        <v>0</v>
      </c>
      <c r="G1310" s="55" t="n">
        <v>0</v>
      </c>
      <c r="H1310" s="55" t="n">
        <v>0</v>
      </c>
      <c r="I1310" s="53" t="n">
        <v>0</v>
      </c>
      <c r="J1310" s="53" t="n">
        <v>22</v>
      </c>
      <c r="K1310" s="53" t="n">
        <v>0</v>
      </c>
      <c r="L1310" s="53" t="n">
        <v>0</v>
      </c>
      <c r="M1310" s="33">
        <f>F1310-E1310</f>
        <v/>
      </c>
      <c r="N1310" s="33">
        <f>L1310-K1310</f>
        <v/>
      </c>
    </row>
    <row r="1311">
      <c r="A1311" s="58" t="inlineStr">
        <is>
          <t>250303 Olga's Place</t>
        </is>
      </c>
      <c r="B1311" s="58" t="inlineStr">
        <is>
          <t>Union</t>
        </is>
      </c>
      <c r="C1311" s="58" t="inlineStr">
        <is>
          <t>Alex Rodriguez</t>
        </is>
      </c>
      <c r="D1311" s="58" t="inlineStr">
        <is>
          <t>On-premise</t>
        </is>
      </c>
      <c r="E1311" s="53" t="n">
        <v>0</v>
      </c>
      <c r="F1311" s="53" t="n">
        <v>0</v>
      </c>
      <c r="G1311" s="55" t="n">
        <v>0</v>
      </c>
      <c r="H1311" s="55" t="n">
        <v>0</v>
      </c>
      <c r="I1311" s="53" t="n">
        <v>55</v>
      </c>
      <c r="J1311" s="53" t="n">
        <v>0</v>
      </c>
      <c r="K1311" s="53" t="n">
        <v>0</v>
      </c>
      <c r="L1311" s="53" t="n">
        <v>0</v>
      </c>
      <c r="M1311" s="33">
        <f>F1311-E1311</f>
        <v/>
      </c>
      <c r="N1311" s="33">
        <f>L1311-K1311</f>
        <v/>
      </c>
    </row>
    <row r="1312">
      <c r="A1312" s="58" t="inlineStr">
        <is>
          <t>250310 Rancho Mateo Colombian Steakhouse</t>
        </is>
      </c>
      <c r="B1312" s="58" t="inlineStr">
        <is>
          <t>Union</t>
        </is>
      </c>
      <c r="C1312" s="58" t="inlineStr">
        <is>
          <t>Alex Rodriguez</t>
        </is>
      </c>
      <c r="D1312" s="58" t="inlineStr">
        <is>
          <t>On-premise</t>
        </is>
      </c>
      <c r="E1312" s="53" t="n">
        <v>0</v>
      </c>
      <c r="F1312" s="53" t="n">
        <v>0</v>
      </c>
      <c r="G1312" s="55" t="n">
        <v>0</v>
      </c>
      <c r="H1312" s="55" t="n">
        <v>0</v>
      </c>
      <c r="I1312" s="53" t="n">
        <v>140</v>
      </c>
      <c r="J1312" s="53" t="n">
        <v>0</v>
      </c>
      <c r="K1312" s="53" t="n">
        <v>0</v>
      </c>
      <c r="L1312" s="53" t="n">
        <v>0</v>
      </c>
      <c r="M1312" s="33">
        <f>F1312-E1312</f>
        <v/>
      </c>
      <c r="N1312" s="33">
        <f>L1312-K1312</f>
        <v/>
      </c>
    </row>
    <row r="1313">
      <c r="A1313" s="58" t="inlineStr">
        <is>
          <t>250316 Rancho Mateo Asadero Colombian</t>
        </is>
      </c>
      <c r="B1313" s="58" t="inlineStr">
        <is>
          <t>Union</t>
        </is>
      </c>
      <c r="C1313" s="58" t="inlineStr">
        <is>
          <t>Alex Rodriguez</t>
        </is>
      </c>
      <c r="D1313" s="58" t="inlineStr">
        <is>
          <t>On-premise</t>
        </is>
      </c>
      <c r="E1313" s="53" t="n">
        <v>0</v>
      </c>
      <c r="F1313" s="53" t="n">
        <v>0</v>
      </c>
      <c r="G1313" s="55" t="n">
        <v>0</v>
      </c>
      <c r="H1313" s="55" t="n">
        <v>0</v>
      </c>
      <c r="I1313" s="53" t="n">
        <v>98</v>
      </c>
      <c r="J1313" s="53" t="n">
        <v>0</v>
      </c>
      <c r="K1313" s="53" t="n">
        <v>0</v>
      </c>
      <c r="L1313" s="53" t="n">
        <v>0</v>
      </c>
      <c r="M1313" s="33">
        <f>F1313-E1313</f>
        <v/>
      </c>
      <c r="N1313" s="33">
        <f>L1313-K1313</f>
        <v/>
      </c>
    </row>
    <row r="1314">
      <c r="A1314" s="58" t="inlineStr">
        <is>
          <t>260004 Drinks 2 Go Liquors</t>
        </is>
      </c>
      <c r="B1314" s="58" t="inlineStr">
        <is>
          <t>Middlesex</t>
        </is>
      </c>
      <c r="C1314" s="58" t="inlineStr">
        <is>
          <t>Alex Rodriguez</t>
        </is>
      </c>
      <c r="D1314" s="58" t="inlineStr">
        <is>
          <t>Unmatched</t>
        </is>
      </c>
      <c r="E1314" s="53" t="n">
        <v>0</v>
      </c>
      <c r="F1314" s="53" t="n">
        <v>0</v>
      </c>
      <c r="G1314" s="55" t="n">
        <v>0</v>
      </c>
      <c r="H1314" s="55" t="n">
        <v>0</v>
      </c>
      <c r="I1314" s="53" t="n">
        <v>101</v>
      </c>
      <c r="J1314" s="53" t="n">
        <v>28</v>
      </c>
      <c r="K1314" s="53" t="n">
        <v>0</v>
      </c>
      <c r="L1314" s="53" t="n">
        <v>0</v>
      </c>
      <c r="M1314" s="33">
        <f>F1314-E1314</f>
        <v/>
      </c>
      <c r="N1314" s="33">
        <f>L1314-K1314</f>
        <v/>
      </c>
    </row>
    <row r="1315">
      <c r="A1315" s="58" t="inlineStr">
        <is>
          <t>260006 Ali's Liquors</t>
        </is>
      </c>
      <c r="B1315" s="58" t="inlineStr">
        <is>
          <t>Middlesex</t>
        </is>
      </c>
      <c r="C1315" s="58" t="inlineStr">
        <is>
          <t>Alex Rodriguez</t>
        </is>
      </c>
      <c r="D1315" s="58" t="inlineStr">
        <is>
          <t>Unmatched</t>
        </is>
      </c>
      <c r="E1315" s="53" t="n">
        <v>0</v>
      </c>
      <c r="F1315" s="53" t="n">
        <v>0</v>
      </c>
      <c r="G1315" s="55" t="n">
        <v>0</v>
      </c>
      <c r="H1315" s="55" t="n">
        <v>0</v>
      </c>
      <c r="I1315" s="53" t="n">
        <v>25</v>
      </c>
      <c r="J1315" s="53" t="n">
        <v>0</v>
      </c>
      <c r="K1315" s="53" t="n">
        <v>0</v>
      </c>
      <c r="L1315" s="53" t="n">
        <v>0</v>
      </c>
      <c r="M1315" s="33">
        <f>F1315-E1315</f>
        <v/>
      </c>
      <c r="N1315" s="33">
        <f>L1315-K1315</f>
        <v/>
      </c>
    </row>
    <row r="1316">
      <c r="A1316" s="58" t="inlineStr">
        <is>
          <t>260008 Outerbridge Liquors</t>
        </is>
      </c>
      <c r="B1316" s="58" t="inlineStr">
        <is>
          <t>Middlesex</t>
        </is>
      </c>
      <c r="C1316" s="58" t="inlineStr">
        <is>
          <t>Alex Rodriguez</t>
        </is>
      </c>
      <c r="D1316" s="58" t="inlineStr">
        <is>
          <t>Unmatched</t>
        </is>
      </c>
      <c r="E1316" s="53" t="n">
        <v>0</v>
      </c>
      <c r="F1316" s="53" t="n">
        <v>0</v>
      </c>
      <c r="G1316" s="55" t="n">
        <v>0</v>
      </c>
      <c r="H1316" s="55" t="n">
        <v>0</v>
      </c>
      <c r="I1316" s="53" t="n">
        <v>27</v>
      </c>
      <c r="J1316" s="53" t="n">
        <v>0</v>
      </c>
      <c r="K1316" s="53" t="n">
        <v>0</v>
      </c>
      <c r="L1316" s="53" t="n">
        <v>0</v>
      </c>
      <c r="M1316" s="33">
        <f>F1316-E1316</f>
        <v/>
      </c>
      <c r="N1316" s="33">
        <f>L1316-K1316</f>
        <v/>
      </c>
    </row>
    <row r="1317">
      <c r="A1317" s="58" t="inlineStr">
        <is>
          <t>260000 Tu Drink Liquors</t>
        </is>
      </c>
      <c r="B1317" s="58" t="inlineStr">
        <is>
          <t>Middlesex</t>
        </is>
      </c>
      <c r="C1317" s="58" t="inlineStr">
        <is>
          <t>Alex Rodriguez</t>
        </is>
      </c>
      <c r="D1317" s="58" t="inlineStr">
        <is>
          <t>Unmatched</t>
        </is>
      </c>
      <c r="E1317" s="53" t="n">
        <v>0</v>
      </c>
      <c r="F1317" s="53" t="n">
        <v>0</v>
      </c>
      <c r="G1317" s="55" t="n">
        <v>0</v>
      </c>
      <c r="H1317" s="55" t="n">
        <v>0</v>
      </c>
      <c r="I1317" s="53" t="n">
        <v>31</v>
      </c>
      <c r="J1317" s="53" t="n">
        <v>0</v>
      </c>
      <c r="K1317" s="53" t="n">
        <v>0</v>
      </c>
      <c r="L1317" s="53" t="n">
        <v>0</v>
      </c>
      <c r="M1317" s="33">
        <f>F1317-E1317</f>
        <v/>
      </c>
      <c r="N1317" s="33">
        <f>L1317-K1317</f>
        <v/>
      </c>
    </row>
    <row r="1318">
      <c r="A1318" s="58" t="inlineStr">
        <is>
          <t>250043 Nugents Tavern (P)</t>
        </is>
      </c>
      <c r="B1318" s="58" t="inlineStr">
        <is>
          <t>Union</t>
        </is>
      </c>
      <c r="C1318" s="58" t="inlineStr">
        <is>
          <t>Alex Rodriguez</t>
        </is>
      </c>
      <c r="D1318" s="58" t="inlineStr">
        <is>
          <t>On-premise</t>
        </is>
      </c>
      <c r="E1318" s="53" t="n">
        <v>0</v>
      </c>
      <c r="F1318" s="53" t="n">
        <v>0</v>
      </c>
      <c r="G1318" s="55" t="n">
        <v>0</v>
      </c>
      <c r="H1318" s="55" t="n">
        <v>0</v>
      </c>
      <c r="I1318" s="53" t="n">
        <v>28</v>
      </c>
      <c r="J1318" s="53" t="n">
        <v>0</v>
      </c>
      <c r="K1318" s="53" t="n">
        <v>0</v>
      </c>
      <c r="L1318" s="53" t="n">
        <v>0</v>
      </c>
      <c r="M1318" s="33">
        <f>F1318-E1318</f>
        <v/>
      </c>
      <c r="N1318" s="33">
        <f>L1318-K1318</f>
        <v/>
      </c>
    </row>
    <row r="1319">
      <c r="A1319" s="58" t="inlineStr">
        <is>
          <t>250186 Gail's Wine And Spirits</t>
        </is>
      </c>
      <c r="B1319" s="58" t="inlineStr">
        <is>
          <t>Union</t>
        </is>
      </c>
      <c r="C1319" s="58" t="inlineStr">
        <is>
          <t>Alex Rodriguez</t>
        </is>
      </c>
      <c r="D1319" s="58" t="inlineStr">
        <is>
          <t>Off-premise</t>
        </is>
      </c>
      <c r="E1319" s="53" t="n">
        <v>0</v>
      </c>
      <c r="F1319" s="53" t="n">
        <v>0</v>
      </c>
      <c r="G1319" s="55" t="n">
        <v>0</v>
      </c>
      <c r="H1319" s="55" t="n">
        <v>0</v>
      </c>
      <c r="I1319" s="53" t="n">
        <v>175</v>
      </c>
      <c r="J1319" s="53" t="n">
        <v>142</v>
      </c>
      <c r="K1319" s="53" t="n">
        <v>0</v>
      </c>
      <c r="L1319" s="53" t="n">
        <v>0</v>
      </c>
      <c r="M1319" s="33">
        <f>F1319-E1319</f>
        <v/>
      </c>
      <c r="N1319" s="33">
        <f>L1319-K1319</f>
        <v/>
      </c>
    </row>
    <row r="1320">
      <c r="A1320" s="58" t="inlineStr">
        <is>
          <t>250188 Second Street Liquors</t>
        </is>
      </c>
      <c r="B1320" s="58" t="inlineStr">
        <is>
          <t>Union</t>
        </is>
      </c>
      <c r="C1320" s="58" t="inlineStr">
        <is>
          <t>Alex Rodriguez</t>
        </is>
      </c>
      <c r="D1320" s="58" t="inlineStr">
        <is>
          <t>Off-premise</t>
        </is>
      </c>
      <c r="E1320" s="53" t="n">
        <v>0</v>
      </c>
      <c r="F1320" s="53" t="n">
        <v>0</v>
      </c>
      <c r="G1320" s="55" t="n">
        <v>0</v>
      </c>
      <c r="H1320" s="55" t="n">
        <v>0</v>
      </c>
      <c r="I1320" s="53" t="n">
        <v>27</v>
      </c>
      <c r="J1320" s="53" t="n">
        <v>45</v>
      </c>
      <c r="K1320" s="53" t="n">
        <v>0</v>
      </c>
      <c r="L1320" s="53" t="n">
        <v>0</v>
      </c>
      <c r="M1320" s="33">
        <f>F1320-E1320</f>
        <v/>
      </c>
      <c r="N1320" s="33">
        <f>L1320-K1320</f>
        <v/>
      </c>
    </row>
    <row r="1321">
      <c r="A1321" s="58" t="inlineStr">
        <is>
          <t>250190 Frenchys Bar &amp; Grill</t>
        </is>
      </c>
      <c r="B1321" s="58" t="inlineStr">
        <is>
          <t>Union</t>
        </is>
      </c>
      <c r="C1321" s="58" t="inlineStr">
        <is>
          <t>Alex Rodriguez</t>
        </is>
      </c>
      <c r="D1321" s="58" t="inlineStr">
        <is>
          <t>On-premise</t>
        </is>
      </c>
      <c r="E1321" s="53" t="n">
        <v>0</v>
      </c>
      <c r="F1321" s="53" t="n">
        <v>0</v>
      </c>
      <c r="G1321" s="55" t="n">
        <v>0</v>
      </c>
      <c r="H1321" s="55" t="n">
        <v>0</v>
      </c>
      <c r="I1321" s="53" t="n">
        <v>13</v>
      </c>
      <c r="J1321" s="53" t="n">
        <v>0</v>
      </c>
      <c r="K1321" s="53" t="n">
        <v>0</v>
      </c>
      <c r="L1321" s="53" t="n">
        <v>0</v>
      </c>
      <c r="M1321" s="33">
        <f>F1321-E1321</f>
        <v/>
      </c>
      <c r="N1321" s="33">
        <f>L1321-K1321</f>
        <v/>
      </c>
    </row>
    <row r="1322">
      <c r="A1322" s="58" t="inlineStr">
        <is>
          <t>250196 American Legion Post 60 Roselle Park</t>
        </is>
      </c>
      <c r="B1322" s="58" t="inlineStr">
        <is>
          <t>Union</t>
        </is>
      </c>
      <c r="C1322" s="58" t="inlineStr">
        <is>
          <t>Alex Rodriguez</t>
        </is>
      </c>
      <c r="D1322" s="58" t="inlineStr">
        <is>
          <t>Unmatched</t>
        </is>
      </c>
      <c r="E1322" s="53" t="n">
        <v>0</v>
      </c>
      <c r="F1322" s="53" t="n">
        <v>0</v>
      </c>
      <c r="G1322" s="55" t="n">
        <v>0</v>
      </c>
      <c r="H1322" s="55" t="n">
        <v>0</v>
      </c>
      <c r="I1322" s="53" t="n">
        <v>41</v>
      </c>
      <c r="J1322" s="53" t="n">
        <v>0</v>
      </c>
      <c r="K1322" s="53" t="n">
        <v>0</v>
      </c>
      <c r="L1322" s="53" t="n">
        <v>0</v>
      </c>
      <c r="M1322" s="33">
        <f>F1322-E1322</f>
        <v/>
      </c>
      <c r="N1322" s="33">
        <f>L1322-K1322</f>
        <v/>
      </c>
    </row>
    <row r="1323">
      <c r="A1323" s="58" t="inlineStr">
        <is>
          <t>260005 Bay City Liquors</t>
        </is>
      </c>
      <c r="B1323" s="58" t="inlineStr">
        <is>
          <t>Middlesex</t>
        </is>
      </c>
      <c r="C1323" s="58" t="inlineStr">
        <is>
          <t>Alex Rodriguez</t>
        </is>
      </c>
      <c r="D1323" s="58" t="inlineStr">
        <is>
          <t>Unmatched</t>
        </is>
      </c>
      <c r="E1323" s="53" t="n">
        <v>0</v>
      </c>
      <c r="F1323" s="53" t="n">
        <v>0</v>
      </c>
      <c r="G1323" s="55" t="n">
        <v>0</v>
      </c>
      <c r="H1323" s="55" t="n">
        <v>0</v>
      </c>
      <c r="I1323" s="53" t="n">
        <v>56</v>
      </c>
      <c r="J1323" s="53" t="n">
        <v>47</v>
      </c>
      <c r="K1323" s="53" t="n">
        <v>0</v>
      </c>
      <c r="L1323" s="53" t="n">
        <v>0</v>
      </c>
      <c r="M1323" s="33">
        <f>F1323-E1323</f>
        <v/>
      </c>
      <c r="N1323" s="33">
        <f>L1323-K1323</f>
        <v/>
      </c>
    </row>
    <row r="1324">
      <c r="A1324" s="58" t="inlineStr">
        <is>
          <t>260003 US1 Discount Liquor</t>
        </is>
      </c>
      <c r="B1324" s="58" t="inlineStr">
        <is>
          <t>Middlesex</t>
        </is>
      </c>
      <c r="C1324" s="58" t="inlineStr">
        <is>
          <t>Alex Rodriguez</t>
        </is>
      </c>
      <c r="D1324" s="58" t="inlineStr">
        <is>
          <t>Unmatched</t>
        </is>
      </c>
      <c r="E1324" s="53" t="n">
        <v>0</v>
      </c>
      <c r="F1324" s="53" t="n">
        <v>0</v>
      </c>
      <c r="G1324" s="55" t="n">
        <v>0</v>
      </c>
      <c r="H1324" s="55" t="n">
        <v>0</v>
      </c>
      <c r="I1324" s="53" t="n">
        <v>14</v>
      </c>
      <c r="J1324" s="53" t="n">
        <v>23</v>
      </c>
      <c r="K1324" s="53" t="n">
        <v>0</v>
      </c>
      <c r="L1324" s="53" t="n">
        <v>0</v>
      </c>
      <c r="M1324" s="33">
        <f>F1324-E1324</f>
        <v/>
      </c>
      <c r="N1324" s="33">
        <f>L1324-K1324</f>
        <v/>
      </c>
    </row>
    <row r="1325">
      <c r="A1325" s="58" t="inlineStr">
        <is>
          <t>260007 Path Discount Liquors</t>
        </is>
      </c>
      <c r="B1325" s="58" t="inlineStr">
        <is>
          <t>Middlesex</t>
        </is>
      </c>
      <c r="C1325" s="58" t="inlineStr">
        <is>
          <t>Alex Rodriguez</t>
        </is>
      </c>
      <c r="D1325" s="58" t="inlineStr">
        <is>
          <t>Unmatched</t>
        </is>
      </c>
      <c r="E1325" s="53" t="n">
        <v>0</v>
      </c>
      <c r="F1325" s="53" t="n">
        <v>0</v>
      </c>
      <c r="G1325" s="55" t="n">
        <v>0</v>
      </c>
      <c r="H1325" s="55" t="n">
        <v>0</v>
      </c>
      <c r="I1325" s="53" t="n">
        <v>0</v>
      </c>
      <c r="J1325" s="53" t="n">
        <v>23</v>
      </c>
      <c r="K1325" s="53" t="n">
        <v>0</v>
      </c>
      <c r="L1325" s="53" t="n">
        <v>0</v>
      </c>
      <c r="M1325" s="33">
        <f>F1325-E1325</f>
        <v/>
      </c>
      <c r="N1325" s="33">
        <f>L1325-K1325</f>
        <v/>
      </c>
    </row>
    <row r="1326">
      <c r="A1326" s="58" t="inlineStr">
        <is>
          <t>150300 Obals Inn</t>
        </is>
      </c>
      <c r="B1326" s="58" t="inlineStr">
        <is>
          <t>Essex</t>
        </is>
      </c>
      <c r="C1326" s="58" t="inlineStr">
        <is>
          <t>Alisa Acciardi</t>
        </is>
      </c>
      <c r="D1326" s="58" t="inlineStr">
        <is>
          <t>On-premise</t>
        </is>
      </c>
      <c r="E1326" s="53" t="n">
        <v>0</v>
      </c>
      <c r="F1326" s="53" t="n">
        <v>0</v>
      </c>
      <c r="G1326" s="55" t="n">
        <v>0</v>
      </c>
      <c r="H1326" s="55" t="n">
        <v>0</v>
      </c>
      <c r="I1326" s="53" t="n">
        <v>0</v>
      </c>
      <c r="J1326" s="53" t="n">
        <v>206</v>
      </c>
      <c r="K1326" s="53" t="n">
        <v>0</v>
      </c>
      <c r="L1326" s="53" t="n">
        <v>0</v>
      </c>
      <c r="M1326" s="33">
        <f>F1326-E1326</f>
        <v/>
      </c>
      <c r="N1326" s="33">
        <f>L1326-K1326</f>
        <v/>
      </c>
    </row>
    <row r="1327">
      <c r="A1327" s="58" t="inlineStr">
        <is>
          <t>150305 Six Points Pub</t>
        </is>
      </c>
      <c r="B1327" s="58" t="inlineStr">
        <is>
          <t>Essex</t>
        </is>
      </c>
      <c r="C1327" s="58" t="inlineStr">
        <is>
          <t>Alisa Acciardi</t>
        </is>
      </c>
      <c r="D1327" s="58" t="inlineStr">
        <is>
          <t>On-premise</t>
        </is>
      </c>
      <c r="E1327" s="53" t="n">
        <v>0</v>
      </c>
      <c r="F1327" s="53" t="n">
        <v>0</v>
      </c>
      <c r="G1327" s="55" t="n">
        <v>0</v>
      </c>
      <c r="H1327" s="55" t="n">
        <v>0</v>
      </c>
      <c r="I1327" s="53" t="n">
        <v>272</v>
      </c>
      <c r="J1327" s="53" t="n">
        <v>223</v>
      </c>
      <c r="K1327" s="53" t="n">
        <v>0</v>
      </c>
      <c r="L1327" s="53" t="n">
        <v>0</v>
      </c>
      <c r="M1327" s="33">
        <f>F1327-E1327</f>
        <v/>
      </c>
      <c r="N1327" s="33">
        <f>L1327-K1327</f>
        <v/>
      </c>
    </row>
    <row r="1328">
      <c r="A1328" s="58" t="inlineStr">
        <is>
          <t>152037 The Deep Inn</t>
        </is>
      </c>
      <c r="B1328" s="58" t="inlineStr">
        <is>
          <t>Essex</t>
        </is>
      </c>
      <c r="C1328" s="58" t="inlineStr">
        <is>
          <t>Alisa Acciardi</t>
        </is>
      </c>
      <c r="D1328" s="58" t="inlineStr">
        <is>
          <t>On-premise</t>
        </is>
      </c>
      <c r="E1328" s="53" t="n">
        <v>0</v>
      </c>
      <c r="F1328" s="53" t="n">
        <v>0</v>
      </c>
      <c r="G1328" s="55" t="n">
        <v>0</v>
      </c>
      <c r="H1328" s="55" t="n">
        <v>0</v>
      </c>
      <c r="I1328" s="53" t="n">
        <v>14</v>
      </c>
      <c r="J1328" s="53" t="n">
        <v>26</v>
      </c>
      <c r="K1328" s="53" t="n">
        <v>0</v>
      </c>
      <c r="L1328" s="53" t="n">
        <v>0</v>
      </c>
      <c r="M1328" s="33">
        <f>F1328-E1328</f>
        <v/>
      </c>
      <c r="N1328" s="33">
        <f>L1328-K1328</f>
        <v/>
      </c>
    </row>
    <row r="1329">
      <c r="A1329" s="58" t="inlineStr">
        <is>
          <t>170240 The Greenroom</t>
        </is>
      </c>
      <c r="B1329" s="58" t="inlineStr">
        <is>
          <t>Hudson</t>
        </is>
      </c>
      <c r="C1329" s="58" t="inlineStr">
        <is>
          <t>Alisa Acciardi</t>
        </is>
      </c>
      <c r="D1329" s="58" t="inlineStr">
        <is>
          <t>On-premise</t>
        </is>
      </c>
      <c r="E1329" s="53" t="n">
        <v>0</v>
      </c>
      <c r="F1329" s="53" t="n">
        <v>0</v>
      </c>
      <c r="G1329" s="55" t="n">
        <v>0</v>
      </c>
      <c r="H1329" s="55" t="n">
        <v>0</v>
      </c>
      <c r="I1329" s="53" t="n">
        <v>79</v>
      </c>
      <c r="J1329" s="53" t="n">
        <v>29</v>
      </c>
      <c r="K1329" s="53" t="n">
        <v>0</v>
      </c>
      <c r="L1329" s="53" t="n">
        <v>0</v>
      </c>
      <c r="M1329" s="33">
        <f>F1329-E1329</f>
        <v/>
      </c>
      <c r="N1329" s="33">
        <f>L1329-K1329</f>
        <v/>
      </c>
    </row>
    <row r="1330">
      <c r="A1330" s="58" t="inlineStr">
        <is>
          <t>150085 The Oakley Kitchen</t>
        </is>
      </c>
      <c r="B1330" s="58" t="inlineStr">
        <is>
          <t>Essex</t>
        </is>
      </c>
      <c r="C1330" s="58" t="inlineStr">
        <is>
          <t>Alisa Acciardi</t>
        </is>
      </c>
      <c r="D1330" s="58" t="inlineStr">
        <is>
          <t>On-premise</t>
        </is>
      </c>
      <c r="E1330" s="53" t="n">
        <v>0</v>
      </c>
      <c r="F1330" s="53" t="n">
        <v>0</v>
      </c>
      <c r="G1330" s="55" t="n">
        <v>0</v>
      </c>
      <c r="H1330" s="55" t="n">
        <v>0</v>
      </c>
      <c r="I1330" s="53" t="n">
        <v>0</v>
      </c>
      <c r="J1330" s="53" t="n">
        <v>21</v>
      </c>
      <c r="K1330" s="53" t="n">
        <v>0</v>
      </c>
      <c r="L1330" s="53" t="n">
        <v>0</v>
      </c>
      <c r="M1330" s="33">
        <f>F1330-E1330</f>
        <v/>
      </c>
      <c r="N1330" s="33">
        <f>L1330-K1330</f>
        <v/>
      </c>
    </row>
    <row r="1331">
      <c r="A1331" s="58" t="inlineStr">
        <is>
          <t>170229 Joia Restaurant</t>
        </is>
      </c>
      <c r="B1331" s="58" t="inlineStr">
        <is>
          <t>Hudson</t>
        </is>
      </c>
      <c r="C1331" s="58" t="inlineStr">
        <is>
          <t>Alisa Acciardi</t>
        </is>
      </c>
      <c r="D1331" s="58" t="inlineStr">
        <is>
          <t>On-premise</t>
        </is>
      </c>
      <c r="E1331" s="53" t="n">
        <v>0</v>
      </c>
      <c r="F1331" s="53" t="n">
        <v>0</v>
      </c>
      <c r="G1331" s="55" t="n">
        <v>0</v>
      </c>
      <c r="H1331" s="55" t="n">
        <v>0</v>
      </c>
      <c r="I1331" s="53" t="n">
        <v>11</v>
      </c>
      <c r="J1331" s="53" t="n">
        <v>10</v>
      </c>
      <c r="K1331" s="53" t="n">
        <v>0</v>
      </c>
      <c r="L1331" s="53" t="n">
        <v>0</v>
      </c>
      <c r="M1331" s="33">
        <f>F1331-E1331</f>
        <v/>
      </c>
      <c r="N1331" s="33">
        <f>L1331-K1331</f>
        <v/>
      </c>
    </row>
    <row r="1332">
      <c r="A1332" s="58" t="inlineStr">
        <is>
          <t>174150 Bayonne Patio Bar &amp; Grill</t>
        </is>
      </c>
      <c r="B1332" s="58" t="inlineStr">
        <is>
          <t>Hudson</t>
        </is>
      </c>
      <c r="C1332" s="58" t="inlineStr">
        <is>
          <t>Alisa Acciardi</t>
        </is>
      </c>
      <c r="D1332" s="58" t="inlineStr">
        <is>
          <t>Unmatched</t>
        </is>
      </c>
      <c r="E1332" s="53" t="n">
        <v>0</v>
      </c>
      <c r="F1332" s="53" t="n">
        <v>0</v>
      </c>
      <c r="G1332" s="55" t="n">
        <v>0</v>
      </c>
      <c r="H1332" s="55" t="n">
        <v>0</v>
      </c>
      <c r="I1332" s="53" t="n">
        <v>12</v>
      </c>
      <c r="J1332" s="53" t="n">
        <v>0</v>
      </c>
      <c r="K1332" s="53" t="n">
        <v>0</v>
      </c>
      <c r="L1332" s="53" t="n">
        <v>0</v>
      </c>
      <c r="M1332" s="33">
        <f>F1332-E1332</f>
        <v/>
      </c>
      <c r="N1332" s="33">
        <f>L1332-K1332</f>
        <v/>
      </c>
    </row>
    <row r="1333">
      <c r="A1333" s="58" t="inlineStr">
        <is>
          <t>170243 Hendrick's Corner</t>
        </is>
      </c>
      <c r="B1333" s="58" t="inlineStr">
        <is>
          <t>Hudson</t>
        </is>
      </c>
      <c r="C1333" s="58" t="inlineStr">
        <is>
          <t>Alisa Acciardi</t>
        </is>
      </c>
      <c r="D1333" s="58" t="inlineStr">
        <is>
          <t>On-premise</t>
        </is>
      </c>
      <c r="E1333" s="53" t="n">
        <v>0</v>
      </c>
      <c r="F1333" s="53" t="n">
        <v>0</v>
      </c>
      <c r="G1333" s="55" t="n">
        <v>0</v>
      </c>
      <c r="H1333" s="55" t="n">
        <v>0</v>
      </c>
      <c r="I1333" s="53" t="n">
        <v>54</v>
      </c>
      <c r="J1333" s="53" t="n">
        <v>61</v>
      </c>
      <c r="K1333" s="53" t="n">
        <v>0</v>
      </c>
      <c r="L1333" s="53" t="n">
        <v>0</v>
      </c>
      <c r="M1333" s="33">
        <f>F1333-E1333</f>
        <v/>
      </c>
      <c r="N1333" s="33">
        <f>L1333-K1333</f>
        <v/>
      </c>
    </row>
    <row r="1334">
      <c r="A1334" s="58" t="inlineStr">
        <is>
          <t>171360 Keeper's</t>
        </is>
      </c>
      <c r="B1334" s="58" t="inlineStr">
        <is>
          <t>Hudson</t>
        </is>
      </c>
      <c r="C1334" s="58" t="inlineStr">
        <is>
          <t>Alisa Acciardi</t>
        </is>
      </c>
      <c r="D1334" s="58" t="inlineStr">
        <is>
          <t>Unmatched</t>
        </is>
      </c>
      <c r="E1334" s="53" t="n">
        <v>0</v>
      </c>
      <c r="F1334" s="53" t="n">
        <v>0</v>
      </c>
      <c r="G1334" s="55" t="n">
        <v>0</v>
      </c>
      <c r="H1334" s="55" t="n">
        <v>0</v>
      </c>
      <c r="I1334" s="53" t="n">
        <v>0</v>
      </c>
      <c r="J1334" s="53" t="n">
        <v>10</v>
      </c>
      <c r="K1334" s="53" t="n">
        <v>0</v>
      </c>
      <c r="L1334" s="53" t="n">
        <v>0</v>
      </c>
      <c r="M1334" s="33">
        <f>F1334-E1334</f>
        <v/>
      </c>
      <c r="N1334" s="33">
        <f>L1334-K1334</f>
        <v/>
      </c>
    </row>
    <row r="1335">
      <c r="A1335" s="58" t="inlineStr">
        <is>
          <t>171411 Stanley's Liq Store (P)</t>
        </is>
      </c>
      <c r="B1335" s="58" t="inlineStr">
        <is>
          <t>Hudson</t>
        </is>
      </c>
      <c r="C1335" s="58" t="inlineStr">
        <is>
          <t>Alisa Acciardi</t>
        </is>
      </c>
      <c r="D1335" s="58" t="inlineStr">
        <is>
          <t>Off-premise</t>
        </is>
      </c>
      <c r="E1335" s="53" t="n">
        <v>0</v>
      </c>
      <c r="F1335" s="53" t="n">
        <v>0</v>
      </c>
      <c r="G1335" s="55" t="n">
        <v>0</v>
      </c>
      <c r="H1335" s="55" t="n">
        <v>0</v>
      </c>
      <c r="I1335" s="53" t="n">
        <v>34</v>
      </c>
      <c r="J1335" s="53" t="n">
        <v>3</v>
      </c>
      <c r="K1335" s="53" t="n">
        <v>0</v>
      </c>
      <c r="L1335" s="53" t="n">
        <v>0</v>
      </c>
      <c r="M1335" s="33">
        <f>F1335-E1335</f>
        <v/>
      </c>
      <c r="N1335" s="33">
        <f>L1335-K1335</f>
        <v/>
      </c>
    </row>
    <row r="1336">
      <c r="A1336" s="58" t="inlineStr">
        <is>
          <t>174151 Eddy's Bar &amp; Liquor</t>
        </is>
      </c>
      <c r="B1336" s="58" t="inlineStr">
        <is>
          <t>Hudson</t>
        </is>
      </c>
      <c r="C1336" s="58" t="inlineStr">
        <is>
          <t>Alisa Acciardi</t>
        </is>
      </c>
      <c r="D1336" s="58" t="inlineStr">
        <is>
          <t>On-premise</t>
        </is>
      </c>
      <c r="E1336" s="53" t="n">
        <v>0</v>
      </c>
      <c r="F1336" s="53" t="n">
        <v>0</v>
      </c>
      <c r="G1336" s="55" t="n">
        <v>0</v>
      </c>
      <c r="H1336" s="55" t="n">
        <v>0</v>
      </c>
      <c r="I1336" s="53" t="n">
        <v>20</v>
      </c>
      <c r="J1336" s="53" t="n">
        <v>20</v>
      </c>
      <c r="K1336" s="53" t="n">
        <v>0</v>
      </c>
      <c r="L1336" s="53" t="n">
        <v>0</v>
      </c>
      <c r="M1336" s="33">
        <f>F1336-E1336</f>
        <v/>
      </c>
      <c r="N1336" s="33">
        <f>L1336-K1336</f>
        <v/>
      </c>
    </row>
    <row r="1337">
      <c r="A1337" s="58" t="inlineStr">
        <is>
          <t>150020 Gallaghers Wine &amp; Cheese</t>
        </is>
      </c>
      <c r="B1337" s="58" t="inlineStr">
        <is>
          <t>Essex</t>
        </is>
      </c>
      <c r="C1337" s="58" t="inlineStr">
        <is>
          <t>Alisa Acciardi</t>
        </is>
      </c>
      <c r="D1337" s="58" t="inlineStr">
        <is>
          <t>Off-premise</t>
        </is>
      </c>
      <c r="E1337" s="53" t="n">
        <v>0</v>
      </c>
      <c r="F1337" s="53" t="n">
        <v>0</v>
      </c>
      <c r="G1337" s="55" t="n">
        <v>0</v>
      </c>
      <c r="H1337" s="55" t="n">
        <v>0</v>
      </c>
      <c r="I1337" s="53" t="n">
        <v>92</v>
      </c>
      <c r="J1337" s="53" t="n">
        <v>95</v>
      </c>
      <c r="K1337" s="53" t="n">
        <v>0</v>
      </c>
      <c r="L1337" s="53" t="n">
        <v>0</v>
      </c>
      <c r="M1337" s="33">
        <f>F1337-E1337</f>
        <v/>
      </c>
      <c r="N1337" s="33">
        <f>L1337-K1337</f>
        <v/>
      </c>
    </row>
    <row r="1338">
      <c r="A1338" s="58" t="inlineStr">
        <is>
          <t>150087 La Santa Bar &amp; Grill</t>
        </is>
      </c>
      <c r="B1338" s="58" t="inlineStr">
        <is>
          <t>Essex</t>
        </is>
      </c>
      <c r="C1338" s="58" t="inlineStr">
        <is>
          <t>Alisa Acciardi</t>
        </is>
      </c>
      <c r="D1338" s="58" t="inlineStr">
        <is>
          <t>Unmatched</t>
        </is>
      </c>
      <c r="E1338" s="53" t="n">
        <v>0</v>
      </c>
      <c r="F1338" s="53" t="n">
        <v>0</v>
      </c>
      <c r="G1338" s="55" t="n">
        <v>0</v>
      </c>
      <c r="H1338" s="55" t="n">
        <v>0</v>
      </c>
      <c r="I1338" s="53" t="n">
        <v>46</v>
      </c>
      <c r="J1338" s="53" t="n">
        <v>0</v>
      </c>
      <c r="K1338" s="53" t="n">
        <v>0</v>
      </c>
      <c r="L1338" s="53" t="n">
        <v>0</v>
      </c>
      <c r="M1338" s="33">
        <f>F1338-E1338</f>
        <v/>
      </c>
      <c r="N1338" s="33">
        <f>L1338-K1338</f>
        <v/>
      </c>
    </row>
    <row r="1339">
      <c r="A1339" s="58" t="inlineStr">
        <is>
          <t>150246 Noches de Colombia Belleville</t>
        </is>
      </c>
      <c r="B1339" s="58" t="inlineStr">
        <is>
          <t>Essex</t>
        </is>
      </c>
      <c r="C1339" s="58" t="inlineStr">
        <is>
          <t>Alisa Acciardi</t>
        </is>
      </c>
      <c r="D1339" s="58" t="inlineStr">
        <is>
          <t>Unmatched</t>
        </is>
      </c>
      <c r="E1339" s="53" t="n">
        <v>0</v>
      </c>
      <c r="F1339" s="53" t="n">
        <v>0</v>
      </c>
      <c r="G1339" s="55" t="n">
        <v>0</v>
      </c>
      <c r="H1339" s="55" t="n">
        <v>0</v>
      </c>
      <c r="I1339" s="53" t="n">
        <v>21</v>
      </c>
      <c r="J1339" s="53" t="n">
        <v>0</v>
      </c>
      <c r="K1339" s="53" t="n">
        <v>0</v>
      </c>
      <c r="L1339" s="53" t="n">
        <v>0</v>
      </c>
      <c r="M1339" s="33">
        <f>F1339-E1339</f>
        <v/>
      </c>
      <c r="N1339" s="33">
        <f>L1339-K1339</f>
        <v/>
      </c>
    </row>
    <row r="1340">
      <c r="A1340" s="58" t="inlineStr">
        <is>
          <t>150171 21 Plaza Wine &amp; Liquor</t>
        </is>
      </c>
      <c r="B1340" s="58" t="inlineStr">
        <is>
          <t>Essex</t>
        </is>
      </c>
      <c r="C1340" s="58" t="inlineStr">
        <is>
          <t>Alisa Acciardi</t>
        </is>
      </c>
      <c r="D1340" s="58" t="inlineStr">
        <is>
          <t>Off-premise</t>
        </is>
      </c>
      <c r="E1340" s="53" t="n">
        <v>0</v>
      </c>
      <c r="F1340" s="53" t="n">
        <v>0</v>
      </c>
      <c r="G1340" s="55" t="n">
        <v>0</v>
      </c>
      <c r="H1340" s="55" t="n">
        <v>0</v>
      </c>
      <c r="I1340" s="53" t="n">
        <v>0</v>
      </c>
      <c r="J1340" s="53" t="n">
        <v>11</v>
      </c>
      <c r="K1340" s="53" t="n">
        <v>0</v>
      </c>
      <c r="L1340" s="53" t="n">
        <v>0</v>
      </c>
      <c r="M1340" s="33">
        <f>F1340-E1340</f>
        <v/>
      </c>
      <c r="N1340" s="33">
        <f>L1340-K1340</f>
        <v/>
      </c>
    </row>
    <row r="1341">
      <c r="A1341" s="58" t="inlineStr">
        <is>
          <t>170140 Midland Dairy (A)</t>
        </is>
      </c>
      <c r="B1341" s="58" t="inlineStr">
        <is>
          <t>Hudson</t>
        </is>
      </c>
      <c r="C1341" s="58" t="inlineStr">
        <is>
          <t>Alisa Acciardi</t>
        </is>
      </c>
      <c r="D1341" s="58" t="inlineStr">
        <is>
          <t>Off-premise</t>
        </is>
      </c>
      <c r="E1341" s="53" t="n">
        <v>0</v>
      </c>
      <c r="F1341" s="53" t="n">
        <v>0</v>
      </c>
      <c r="G1341" s="55" t="n">
        <v>0</v>
      </c>
      <c r="H1341" s="55" t="n">
        <v>0</v>
      </c>
      <c r="I1341" s="53" t="n">
        <v>43</v>
      </c>
      <c r="J1341" s="53" t="n">
        <v>22</v>
      </c>
      <c r="K1341" s="53" t="n">
        <v>0</v>
      </c>
      <c r="L1341" s="53" t="n">
        <v>0</v>
      </c>
      <c r="M1341" s="33">
        <f>F1341-E1341</f>
        <v/>
      </c>
      <c r="N1341" s="33">
        <f>L1341-K1341</f>
        <v/>
      </c>
    </row>
    <row r="1342">
      <c r="A1342" s="58" t="inlineStr">
        <is>
          <t>171352 Urban Tandoor</t>
        </is>
      </c>
      <c r="B1342" s="58" t="inlineStr">
        <is>
          <t>Hudson</t>
        </is>
      </c>
      <c r="C1342" s="58" t="inlineStr">
        <is>
          <t>Alisa Acciardi</t>
        </is>
      </c>
      <c r="D1342" s="58" t="inlineStr">
        <is>
          <t>On-premise</t>
        </is>
      </c>
      <c r="E1342" s="53" t="n">
        <v>0</v>
      </c>
      <c r="F1342" s="53" t="n">
        <v>0</v>
      </c>
      <c r="G1342" s="55" t="n">
        <v>0</v>
      </c>
      <c r="H1342" s="55" t="n">
        <v>0</v>
      </c>
      <c r="I1342" s="53" t="n">
        <v>10</v>
      </c>
      <c r="J1342" s="53" t="n">
        <v>0</v>
      </c>
      <c r="K1342" s="53" t="n">
        <v>0</v>
      </c>
      <c r="L1342" s="53" t="n">
        <v>0</v>
      </c>
      <c r="M1342" s="33">
        <f>F1342-E1342</f>
        <v/>
      </c>
      <c r="N1342" s="33">
        <f>L1342-K1342</f>
        <v/>
      </c>
    </row>
    <row r="1343">
      <c r="A1343" s="58" t="inlineStr">
        <is>
          <t>171359 Tros Greek Street Food</t>
        </is>
      </c>
      <c r="B1343" s="58" t="inlineStr">
        <is>
          <t>Hudson</t>
        </is>
      </c>
      <c r="C1343" s="58" t="inlineStr">
        <is>
          <t>Alisa Acciardi</t>
        </is>
      </c>
      <c r="D1343" s="58" t="inlineStr">
        <is>
          <t>Unmatched</t>
        </is>
      </c>
      <c r="E1343" s="53" t="n">
        <v>0</v>
      </c>
      <c r="F1343" s="53" t="n">
        <v>0</v>
      </c>
      <c r="G1343" s="55" t="n">
        <v>0</v>
      </c>
      <c r="H1343" s="55" t="n">
        <v>0</v>
      </c>
      <c r="I1343" s="53" t="n">
        <v>11</v>
      </c>
      <c r="J1343" s="53" t="n">
        <v>0</v>
      </c>
      <c r="K1343" s="53" t="n">
        <v>0</v>
      </c>
      <c r="L1343" s="53" t="n">
        <v>0</v>
      </c>
      <c r="M1343" s="33">
        <f>F1343-E1343</f>
        <v/>
      </c>
      <c r="N1343" s="33">
        <f>L1343-K1343</f>
        <v/>
      </c>
    </row>
    <row r="1344">
      <c r="A1344" s="58" t="inlineStr">
        <is>
          <t>150112 The Old Canal Inn</t>
        </is>
      </c>
      <c r="B1344" s="58" t="inlineStr">
        <is>
          <t>Essex</t>
        </is>
      </c>
      <c r="C1344" s="58" t="inlineStr">
        <is>
          <t>Alisa Acciardi</t>
        </is>
      </c>
      <c r="D1344" s="58" t="inlineStr">
        <is>
          <t>On-premise</t>
        </is>
      </c>
      <c r="E1344" s="53" t="n">
        <v>0</v>
      </c>
      <c r="F1344" s="53" t="n">
        <v>0</v>
      </c>
      <c r="G1344" s="55" t="n">
        <v>0</v>
      </c>
      <c r="H1344" s="55" t="n">
        <v>0</v>
      </c>
      <c r="I1344" s="53" t="n">
        <v>25</v>
      </c>
      <c r="J1344" s="53" t="n">
        <v>0</v>
      </c>
      <c r="K1344" s="53" t="n">
        <v>0</v>
      </c>
      <c r="L1344" s="53" t="n">
        <v>0</v>
      </c>
      <c r="M1344" s="33">
        <f>F1344-E1344</f>
        <v/>
      </c>
      <c r="N1344" s="33">
        <f>L1344-K1344</f>
        <v/>
      </c>
    </row>
    <row r="1345">
      <c r="A1345" s="58" t="inlineStr">
        <is>
          <t>174153 OTS BY LLC (Aqua)</t>
        </is>
      </c>
      <c r="B1345" s="58" t="inlineStr">
        <is>
          <t>Hudson</t>
        </is>
      </c>
      <c r="C1345" s="58" t="inlineStr">
        <is>
          <t>Alisa Acciardi</t>
        </is>
      </c>
      <c r="D1345" s="58" t="inlineStr">
        <is>
          <t>On-premise</t>
        </is>
      </c>
      <c r="E1345" s="53" t="n">
        <v>0</v>
      </c>
      <c r="F1345" s="53" t="n">
        <v>0</v>
      </c>
      <c r="G1345" s="55" t="n">
        <v>0</v>
      </c>
      <c r="H1345" s="55" t="n">
        <v>0</v>
      </c>
      <c r="I1345" s="53" t="n">
        <v>0</v>
      </c>
      <c r="J1345" s="53" t="n">
        <v>13</v>
      </c>
      <c r="K1345" s="53" t="n">
        <v>0</v>
      </c>
      <c r="L1345" s="53" t="n">
        <v>0</v>
      </c>
      <c r="M1345" s="33">
        <f>F1345-E1345</f>
        <v/>
      </c>
      <c r="N1345" s="33">
        <f>L1345-K1345</f>
        <v/>
      </c>
    </row>
    <row r="1346">
      <c r="A1346" s="58" t="inlineStr">
        <is>
          <t>150179 The Hudson Rose</t>
        </is>
      </c>
      <c r="B1346" s="58" t="inlineStr">
        <is>
          <t>Essex</t>
        </is>
      </c>
      <c r="C1346" s="58" t="inlineStr">
        <is>
          <t>Alisa Acciardi</t>
        </is>
      </c>
      <c r="D1346" s="58" t="inlineStr">
        <is>
          <t>Unmatched</t>
        </is>
      </c>
      <c r="E1346" s="53" t="n">
        <v>0</v>
      </c>
      <c r="F1346" s="53" t="n">
        <v>0</v>
      </c>
      <c r="G1346" s="55" t="n">
        <v>0</v>
      </c>
      <c r="H1346" s="55" t="n">
        <v>0</v>
      </c>
      <c r="I1346" s="53" t="n">
        <v>9</v>
      </c>
      <c r="J1346" s="53" t="n">
        <v>0</v>
      </c>
      <c r="K1346" s="53" t="n">
        <v>0</v>
      </c>
      <c r="L1346" s="53" t="n">
        <v>0</v>
      </c>
      <c r="M1346" s="33">
        <f>F1346-E1346</f>
        <v/>
      </c>
      <c r="N1346" s="33">
        <f>L1346-K1346</f>
        <v/>
      </c>
    </row>
    <row r="1347">
      <c r="A1347" s="58" t="inlineStr">
        <is>
          <t>150302 The Blue Steel Pizza Co.</t>
        </is>
      </c>
      <c r="B1347" s="58" t="inlineStr">
        <is>
          <t>Essex</t>
        </is>
      </c>
      <c r="C1347" s="58" t="inlineStr">
        <is>
          <t>Alisa Acciardi</t>
        </is>
      </c>
      <c r="D1347" s="58" t="inlineStr">
        <is>
          <t>On-premise</t>
        </is>
      </c>
      <c r="E1347" s="53" t="n">
        <v>0</v>
      </c>
      <c r="F1347" s="53" t="n">
        <v>0</v>
      </c>
      <c r="G1347" s="55" t="n">
        <v>0</v>
      </c>
      <c r="H1347" s="55" t="n">
        <v>0</v>
      </c>
      <c r="I1347" s="53" t="n">
        <v>0</v>
      </c>
      <c r="J1347" s="53" t="n">
        <v>0</v>
      </c>
      <c r="K1347" s="53" t="n">
        <v>0</v>
      </c>
      <c r="L1347" s="53" t="n">
        <v>0</v>
      </c>
      <c r="M1347" s="33">
        <f>F1347-E1347</f>
        <v/>
      </c>
      <c r="N1347" s="33">
        <f>L1347-K1347</f>
        <v/>
      </c>
    </row>
    <row r="1348">
      <c r="A1348" s="58" t="inlineStr">
        <is>
          <t>150050 Fitzgerald 1928</t>
        </is>
      </c>
      <c r="B1348" s="58" t="inlineStr">
        <is>
          <t>Essex</t>
        </is>
      </c>
      <c r="C1348" s="58" t="inlineStr">
        <is>
          <t>Alisa Acciardi</t>
        </is>
      </c>
      <c r="D1348" s="58" t="inlineStr">
        <is>
          <t>On-premise</t>
        </is>
      </c>
      <c r="E1348" s="53" t="n">
        <v>0</v>
      </c>
      <c r="F1348" s="53" t="n">
        <v>0</v>
      </c>
      <c r="G1348" s="55" t="n">
        <v>0</v>
      </c>
      <c r="H1348" s="55" t="n">
        <v>0</v>
      </c>
      <c r="I1348" s="53" t="n">
        <v>46</v>
      </c>
      <c r="J1348" s="53" t="n">
        <v>38</v>
      </c>
      <c r="K1348" s="53" t="n">
        <v>0</v>
      </c>
      <c r="L1348" s="53" t="n">
        <v>0</v>
      </c>
      <c r="M1348" s="33">
        <f>F1348-E1348</f>
        <v/>
      </c>
      <c r="N1348" s="33">
        <f>L1348-K1348</f>
        <v/>
      </c>
    </row>
    <row r="1349">
      <c r="A1349" s="58" t="inlineStr">
        <is>
          <t>150139 Mompou Restaurant</t>
        </is>
      </c>
      <c r="B1349" s="58" t="inlineStr">
        <is>
          <t>Essex</t>
        </is>
      </c>
      <c r="C1349" s="58" t="inlineStr">
        <is>
          <t>Alisa Acciardi</t>
        </is>
      </c>
      <c r="D1349" s="58" t="inlineStr">
        <is>
          <t>On-premise</t>
        </is>
      </c>
      <c r="E1349" s="53" t="n">
        <v>0</v>
      </c>
      <c r="F1349" s="53" t="n">
        <v>0</v>
      </c>
      <c r="G1349" s="55" t="n">
        <v>0</v>
      </c>
      <c r="H1349" s="55" t="n">
        <v>0</v>
      </c>
      <c r="I1349" s="53" t="n">
        <v>37</v>
      </c>
      <c r="J1349" s="53" t="n">
        <v>45</v>
      </c>
      <c r="K1349" s="53" t="n">
        <v>0</v>
      </c>
      <c r="L1349" s="53" t="n">
        <v>0</v>
      </c>
      <c r="M1349" s="33">
        <f>F1349-E1349</f>
        <v/>
      </c>
      <c r="N1349" s="33">
        <f>L1349-K1349</f>
        <v/>
      </c>
    </row>
    <row r="1350">
      <c r="A1350" s="58" t="inlineStr">
        <is>
          <t>150199 Town Pub Of Bloomfeild</t>
        </is>
      </c>
      <c r="B1350" s="58" t="inlineStr">
        <is>
          <t>Essex</t>
        </is>
      </c>
      <c r="C1350" s="58" t="inlineStr">
        <is>
          <t>Alisa Acciardi</t>
        </is>
      </c>
      <c r="D1350" s="58" t="inlineStr">
        <is>
          <t>On-premise</t>
        </is>
      </c>
      <c r="E1350" s="53" t="n">
        <v>0</v>
      </c>
      <c r="F1350" s="53" t="n">
        <v>0</v>
      </c>
      <c r="G1350" s="55" t="n">
        <v>0</v>
      </c>
      <c r="H1350" s="55" t="n">
        <v>0</v>
      </c>
      <c r="I1350" s="53" t="n">
        <v>0</v>
      </c>
      <c r="J1350" s="53" t="n">
        <v>35</v>
      </c>
      <c r="K1350" s="53" t="n">
        <v>0</v>
      </c>
      <c r="L1350" s="53" t="n">
        <v>0</v>
      </c>
      <c r="M1350" s="33">
        <f>F1350-E1350</f>
        <v/>
      </c>
      <c r="N1350" s="33">
        <f>L1350-K1350</f>
        <v/>
      </c>
    </row>
    <row r="1351">
      <c r="A1351" s="58" t="inlineStr">
        <is>
          <t>150608 Chapel Liquors</t>
        </is>
      </c>
      <c r="B1351" s="58" t="inlineStr">
        <is>
          <t>Essex</t>
        </is>
      </c>
      <c r="C1351" s="58" t="inlineStr">
        <is>
          <t>Alisa Acciardi</t>
        </is>
      </c>
      <c r="D1351" s="58" t="inlineStr">
        <is>
          <t>Unmatched</t>
        </is>
      </c>
      <c r="E1351" s="53" t="n">
        <v>0</v>
      </c>
      <c r="F1351" s="53" t="n">
        <v>0</v>
      </c>
      <c r="G1351" s="55" t="n">
        <v>0</v>
      </c>
      <c r="H1351" s="55" t="n">
        <v>0</v>
      </c>
      <c r="I1351" s="53" t="n">
        <v>40</v>
      </c>
      <c r="J1351" s="53" t="n">
        <v>0</v>
      </c>
      <c r="K1351" s="53" t="n">
        <v>0</v>
      </c>
      <c r="L1351" s="53" t="n">
        <v>0</v>
      </c>
      <c r="M1351" s="33">
        <f>F1351-E1351</f>
        <v/>
      </c>
      <c r="N1351" s="33">
        <f>L1351-K1351</f>
        <v/>
      </c>
    </row>
    <row r="1352">
      <c r="A1352" s="58" t="inlineStr">
        <is>
          <t>150187 Burke's Tavern</t>
        </is>
      </c>
      <c r="B1352" s="58" t="inlineStr">
        <is>
          <t>Essex</t>
        </is>
      </c>
      <c r="C1352" s="58" t="inlineStr">
        <is>
          <t>Alisa Acciardi</t>
        </is>
      </c>
      <c r="D1352" s="58" t="inlineStr">
        <is>
          <t>On-premise</t>
        </is>
      </c>
      <c r="E1352" s="53" t="n">
        <v>0</v>
      </c>
      <c r="F1352" s="53" t="n">
        <v>0</v>
      </c>
      <c r="G1352" s="55" t="n">
        <v>0</v>
      </c>
      <c r="H1352" s="55" t="n">
        <v>0</v>
      </c>
      <c r="I1352" s="53" t="n">
        <v>14</v>
      </c>
      <c r="J1352" s="53" t="n">
        <v>41</v>
      </c>
      <c r="K1352" s="53" t="n">
        <v>0</v>
      </c>
      <c r="L1352" s="53" t="n">
        <v>0</v>
      </c>
      <c r="M1352" s="33">
        <f>F1352-E1352</f>
        <v/>
      </c>
      <c r="N1352" s="33">
        <f>L1352-K1352</f>
        <v/>
      </c>
    </row>
    <row r="1353">
      <c r="A1353" s="58" t="inlineStr">
        <is>
          <t>150611 Jim Dandy's</t>
        </is>
      </c>
      <c r="B1353" s="58" t="inlineStr">
        <is>
          <t>Essex</t>
        </is>
      </c>
      <c r="C1353" s="58" t="inlineStr">
        <is>
          <t>Alisa Acciardi</t>
        </is>
      </c>
      <c r="D1353" s="58" t="inlineStr">
        <is>
          <t>On-premise</t>
        </is>
      </c>
      <c r="E1353" s="53" t="n">
        <v>0</v>
      </c>
      <c r="F1353" s="53" t="n">
        <v>0</v>
      </c>
      <c r="G1353" s="55" t="n">
        <v>0</v>
      </c>
      <c r="H1353" s="55" t="n">
        <v>0</v>
      </c>
      <c r="I1353" s="53" t="n">
        <v>158</v>
      </c>
      <c r="J1353" s="53" t="n">
        <v>69</v>
      </c>
      <c r="K1353" s="53" t="n">
        <v>0</v>
      </c>
      <c r="L1353" s="53" t="n">
        <v>0</v>
      </c>
      <c r="M1353" s="33">
        <f>F1353-E1353</f>
        <v/>
      </c>
      <c r="N1353" s="33">
        <f>L1353-K1353</f>
        <v/>
      </c>
    </row>
    <row r="1354">
      <c r="A1354" s="58" t="inlineStr">
        <is>
          <t>170117 Thai O'brien (P)</t>
        </is>
      </c>
      <c r="B1354" s="58" t="inlineStr">
        <is>
          <t>Hudson</t>
        </is>
      </c>
      <c r="C1354" s="58" t="inlineStr">
        <is>
          <t>Alisa Acciardi</t>
        </is>
      </c>
      <c r="D1354" s="58" t="inlineStr">
        <is>
          <t>On-premise</t>
        </is>
      </c>
      <c r="E1354" s="53" t="n">
        <v>0</v>
      </c>
      <c r="F1354" s="53" t="n">
        <v>0</v>
      </c>
      <c r="G1354" s="55" t="n">
        <v>0</v>
      </c>
      <c r="H1354" s="55" t="n">
        <v>0</v>
      </c>
      <c r="I1354" s="53" t="n">
        <v>7</v>
      </c>
      <c r="J1354" s="53" t="n">
        <v>9</v>
      </c>
      <c r="K1354" s="53" t="n">
        <v>0</v>
      </c>
      <c r="L1354" s="53" t="n">
        <v>0</v>
      </c>
      <c r="M1354" s="33">
        <f>F1354-E1354</f>
        <v/>
      </c>
      <c r="N1354" s="33">
        <f>L1354-K1354</f>
        <v/>
      </c>
    </row>
    <row r="1355">
      <c r="A1355" s="58" t="inlineStr">
        <is>
          <t>171004 Donegal Saloon</t>
        </is>
      </c>
      <c r="B1355" s="58" t="inlineStr">
        <is>
          <t>Hudson</t>
        </is>
      </c>
      <c r="C1355" s="58" t="inlineStr">
        <is>
          <t>Alisa Acciardi</t>
        </is>
      </c>
      <c r="D1355" s="58" t="inlineStr">
        <is>
          <t>On-premise</t>
        </is>
      </c>
      <c r="E1355" s="53" t="n">
        <v>0</v>
      </c>
      <c r="F1355" s="53" t="n">
        <v>0</v>
      </c>
      <c r="G1355" s="55" t="n">
        <v>0</v>
      </c>
      <c r="H1355" s="55" t="n">
        <v>0</v>
      </c>
      <c r="I1355" s="53" t="n">
        <v>43</v>
      </c>
      <c r="J1355" s="53" t="n">
        <v>79</v>
      </c>
      <c r="K1355" s="53" t="n">
        <v>0</v>
      </c>
      <c r="L1355" s="53" t="n">
        <v>0</v>
      </c>
      <c r="M1355" s="33">
        <f>F1355-E1355</f>
        <v/>
      </c>
      <c r="N1355" s="33">
        <f>L1355-K1355</f>
        <v/>
      </c>
    </row>
    <row r="1356">
      <c r="A1356" s="58" t="inlineStr">
        <is>
          <t>174001 Shorty's</t>
        </is>
      </c>
      <c r="B1356" s="58" t="inlineStr">
        <is>
          <t>Hudson</t>
        </is>
      </c>
      <c r="C1356" s="58" t="inlineStr">
        <is>
          <t>Alisa Acciardi</t>
        </is>
      </c>
      <c r="D1356" s="58" t="inlineStr">
        <is>
          <t>On-premise</t>
        </is>
      </c>
      <c r="E1356" s="53" t="n">
        <v>0</v>
      </c>
      <c r="F1356" s="53" t="n">
        <v>0</v>
      </c>
      <c r="G1356" s="55" t="n">
        <v>0</v>
      </c>
      <c r="H1356" s="55" t="n">
        <v>0</v>
      </c>
      <c r="I1356" s="53" t="n">
        <v>13</v>
      </c>
      <c r="J1356" s="53" t="n">
        <v>26</v>
      </c>
      <c r="K1356" s="53" t="n">
        <v>0</v>
      </c>
      <c r="L1356" s="53" t="n">
        <v>0</v>
      </c>
      <c r="M1356" s="33">
        <f>F1356-E1356</f>
        <v/>
      </c>
      <c r="N1356" s="33">
        <f>L1356-K1356</f>
        <v/>
      </c>
    </row>
    <row r="1357">
      <c r="A1357" s="58" t="inlineStr">
        <is>
          <t>171319 John's Liq &amp; Deli</t>
        </is>
      </c>
      <c r="B1357" s="58" t="inlineStr">
        <is>
          <t>Hudson</t>
        </is>
      </c>
      <c r="C1357" s="58" t="inlineStr">
        <is>
          <t>Alisa Acciardi</t>
        </is>
      </c>
      <c r="D1357" s="58" t="inlineStr">
        <is>
          <t>Off-premise</t>
        </is>
      </c>
      <c r="E1357" s="53" t="n">
        <v>0</v>
      </c>
      <c r="F1357" s="53" t="n">
        <v>0</v>
      </c>
      <c r="G1357" s="55" t="n">
        <v>0</v>
      </c>
      <c r="H1357" s="55" t="n">
        <v>0</v>
      </c>
      <c r="I1357" s="53" t="n">
        <v>10</v>
      </c>
      <c r="J1357" s="53" t="n">
        <v>0</v>
      </c>
      <c r="K1357" s="53" t="n">
        <v>0</v>
      </c>
      <c r="L1357" s="53" t="n">
        <v>0</v>
      </c>
      <c r="M1357" s="33">
        <f>F1357-E1357</f>
        <v/>
      </c>
      <c r="N1357" s="33">
        <f>L1357-K1357</f>
        <v/>
      </c>
    </row>
    <row r="1358">
      <c r="A1358" s="58" t="inlineStr">
        <is>
          <t>150073 Oasis Liquor &amp; Deli</t>
        </is>
      </c>
      <c r="B1358" s="58" t="inlineStr">
        <is>
          <t>Essex</t>
        </is>
      </c>
      <c r="C1358" s="58" t="inlineStr">
        <is>
          <t>Alisa Acciardi</t>
        </is>
      </c>
      <c r="D1358" s="58" t="inlineStr">
        <is>
          <t>Off-premise</t>
        </is>
      </c>
      <c r="E1358" s="53" t="n">
        <v>0</v>
      </c>
      <c r="F1358" s="53" t="n">
        <v>0</v>
      </c>
      <c r="G1358" s="55" t="n">
        <v>0</v>
      </c>
      <c r="H1358" s="55" t="n">
        <v>0</v>
      </c>
      <c r="I1358" s="53" t="n">
        <v>6</v>
      </c>
      <c r="J1358" s="53" t="n">
        <v>9</v>
      </c>
      <c r="K1358" s="53" t="n">
        <v>0</v>
      </c>
      <c r="L1358" s="53" t="n">
        <v>0</v>
      </c>
      <c r="M1358" s="33">
        <f>F1358-E1358</f>
        <v/>
      </c>
      <c r="N1358" s="33">
        <f>L1358-K1358</f>
        <v/>
      </c>
    </row>
    <row r="1359">
      <c r="A1359" s="58" t="inlineStr">
        <is>
          <t>250116 Office Beer Bar&amp;Grill(A)</t>
        </is>
      </c>
      <c r="B1359" s="58" t="inlineStr">
        <is>
          <t>Union</t>
        </is>
      </c>
      <c r="C1359" s="58" t="inlineStr">
        <is>
          <t>Andrew Lundy</t>
        </is>
      </c>
      <c r="D1359" s="58" t="inlineStr">
        <is>
          <t>On-premise</t>
        </is>
      </c>
      <c r="E1359" s="53" t="n">
        <v>0</v>
      </c>
      <c r="F1359" s="53" t="n">
        <v>0</v>
      </c>
      <c r="G1359" s="55" t="n">
        <v>0</v>
      </c>
      <c r="H1359" s="55" t="n">
        <v>0</v>
      </c>
      <c r="I1359" s="53" t="n">
        <v>7</v>
      </c>
      <c r="J1359" s="53" t="n">
        <v>7</v>
      </c>
      <c r="K1359" s="53" t="n">
        <v>0</v>
      </c>
      <c r="L1359" s="53" t="n">
        <v>0</v>
      </c>
      <c r="M1359" s="33">
        <f>F1359-E1359</f>
        <v/>
      </c>
      <c r="N1359" s="33">
        <f>L1359-K1359</f>
        <v/>
      </c>
    </row>
    <row r="1360">
      <c r="A1360" s="58" t="inlineStr">
        <is>
          <t>250142 Queen City Liquors</t>
        </is>
      </c>
      <c r="B1360" s="58" t="inlineStr">
        <is>
          <t>Union</t>
        </is>
      </c>
      <c r="C1360" s="58" t="inlineStr">
        <is>
          <t>Andrew Lundy</t>
        </is>
      </c>
      <c r="D1360" s="58" t="inlineStr">
        <is>
          <t>Off-premise</t>
        </is>
      </c>
      <c r="E1360" s="53" t="n">
        <v>0</v>
      </c>
      <c r="F1360" s="53" t="n">
        <v>0</v>
      </c>
      <c r="G1360" s="55" t="n">
        <v>0</v>
      </c>
      <c r="H1360" s="55" t="n">
        <v>0</v>
      </c>
      <c r="I1360" s="53" t="n">
        <v>172</v>
      </c>
      <c r="J1360" s="53" t="n">
        <v>276</v>
      </c>
      <c r="K1360" s="53" t="n">
        <v>0</v>
      </c>
      <c r="L1360" s="53" t="n">
        <v>0</v>
      </c>
      <c r="M1360" s="33">
        <f>F1360-E1360</f>
        <v/>
      </c>
      <c r="N1360" s="33">
        <f>L1360-K1360</f>
        <v/>
      </c>
    </row>
    <row r="1361">
      <c r="A1361" s="58" t="inlineStr">
        <is>
          <t>250441 Southwood Liquors</t>
        </is>
      </c>
      <c r="B1361" s="58" t="inlineStr">
        <is>
          <t>Union</t>
        </is>
      </c>
      <c r="C1361" s="58" t="inlineStr">
        <is>
          <t>Andrew Lundy</t>
        </is>
      </c>
      <c r="D1361" s="58" t="inlineStr">
        <is>
          <t>Off-premise</t>
        </is>
      </c>
      <c r="E1361" s="53" t="n">
        <v>0</v>
      </c>
      <c r="F1361" s="53" t="n">
        <v>0</v>
      </c>
      <c r="G1361" s="55" t="n">
        <v>0</v>
      </c>
      <c r="H1361" s="55" t="n">
        <v>0</v>
      </c>
      <c r="I1361" s="53" t="n">
        <v>118</v>
      </c>
      <c r="J1361" s="53" t="n">
        <v>139</v>
      </c>
      <c r="K1361" s="53" t="n">
        <v>0</v>
      </c>
      <c r="L1361" s="53" t="n">
        <v>0</v>
      </c>
      <c r="M1361" s="33">
        <f>F1361-E1361</f>
        <v/>
      </c>
      <c r="N1361" s="33">
        <f>L1361-K1361</f>
        <v/>
      </c>
    </row>
    <row r="1362">
      <c r="A1362" s="58" t="inlineStr">
        <is>
          <t>250107 Echo Tap &amp; Grille</t>
        </is>
      </c>
      <c r="B1362" s="58" t="inlineStr">
        <is>
          <t>Union</t>
        </is>
      </c>
      <c r="C1362" s="58" t="inlineStr">
        <is>
          <t>Andrew Lundy</t>
        </is>
      </c>
      <c r="D1362" s="58" t="inlineStr">
        <is>
          <t>Unmatched</t>
        </is>
      </c>
      <c r="E1362" s="53" t="n">
        <v>0</v>
      </c>
      <c r="F1362" s="53" t="n">
        <v>0</v>
      </c>
      <c r="G1362" s="55" t="n">
        <v>0</v>
      </c>
      <c r="H1362" s="55" t="n">
        <v>0</v>
      </c>
      <c r="I1362" s="53" t="n">
        <v>14</v>
      </c>
      <c r="J1362" s="53" t="n">
        <v>0</v>
      </c>
      <c r="K1362" s="53" t="n">
        <v>0</v>
      </c>
      <c r="L1362" s="53" t="n">
        <v>0</v>
      </c>
      <c r="M1362" s="33">
        <f>F1362-E1362</f>
        <v/>
      </c>
      <c r="N1362" s="33">
        <f>L1362-K1362</f>
        <v/>
      </c>
    </row>
    <row r="1363">
      <c r="A1363" s="58" t="inlineStr">
        <is>
          <t>250097 Riverside Inn</t>
        </is>
      </c>
      <c r="B1363" s="58" t="inlineStr">
        <is>
          <t>Union</t>
        </is>
      </c>
      <c r="C1363" s="58" t="inlineStr">
        <is>
          <t>Andrew Lundy</t>
        </is>
      </c>
      <c r="D1363" s="58" t="inlineStr">
        <is>
          <t>On-premise</t>
        </is>
      </c>
      <c r="E1363" s="53" t="n">
        <v>0</v>
      </c>
      <c r="F1363" s="53" t="n">
        <v>0</v>
      </c>
      <c r="G1363" s="55" t="n">
        <v>0</v>
      </c>
      <c r="H1363" s="55" t="n">
        <v>0</v>
      </c>
      <c r="I1363" s="53" t="n">
        <v>97</v>
      </c>
      <c r="J1363" s="53" t="n">
        <v>84</v>
      </c>
      <c r="K1363" s="53" t="n">
        <v>0</v>
      </c>
      <c r="L1363" s="53" t="n">
        <v>0</v>
      </c>
      <c r="M1363" s="33">
        <f>F1363-E1363</f>
        <v/>
      </c>
      <c r="N1363" s="33">
        <f>L1363-K1363</f>
        <v/>
      </c>
    </row>
    <row r="1364">
      <c r="A1364" s="58" t="inlineStr">
        <is>
          <t>250100 World Famous Waiting Room</t>
        </is>
      </c>
      <c r="B1364" s="58" t="inlineStr">
        <is>
          <t>Union</t>
        </is>
      </c>
      <c r="C1364" s="58" t="inlineStr">
        <is>
          <t>Andrew Lundy</t>
        </is>
      </c>
      <c r="D1364" s="58" t="inlineStr">
        <is>
          <t>On-premise</t>
        </is>
      </c>
      <c r="E1364" s="53" t="n">
        <v>0</v>
      </c>
      <c r="F1364" s="53" t="n">
        <v>0</v>
      </c>
      <c r="G1364" s="55" t="n">
        <v>0</v>
      </c>
      <c r="H1364" s="55" t="n">
        <v>0</v>
      </c>
      <c r="I1364" s="53" t="n">
        <v>10</v>
      </c>
      <c r="J1364" s="53" t="n">
        <v>10</v>
      </c>
      <c r="K1364" s="53" t="n">
        <v>0</v>
      </c>
      <c r="L1364" s="53" t="n">
        <v>0</v>
      </c>
      <c r="M1364" s="33">
        <f>F1364-E1364</f>
        <v/>
      </c>
      <c r="N1364" s="33">
        <f>L1364-K1364</f>
        <v/>
      </c>
    </row>
    <row r="1365">
      <c r="A1365" s="58" t="inlineStr">
        <is>
          <t>250057 Rahway Discount Liquors (A)</t>
        </is>
      </c>
      <c r="B1365" s="58" t="inlineStr">
        <is>
          <t>Union</t>
        </is>
      </c>
      <c r="C1365" s="58" t="inlineStr">
        <is>
          <t>Andrew Lundy</t>
        </is>
      </c>
      <c r="D1365" s="58" t="inlineStr">
        <is>
          <t>Off-premise</t>
        </is>
      </c>
      <c r="E1365" s="53" t="n">
        <v>0</v>
      </c>
      <c r="F1365" s="53" t="n">
        <v>0</v>
      </c>
      <c r="G1365" s="55" t="n">
        <v>0</v>
      </c>
      <c r="H1365" s="55" t="n">
        <v>0</v>
      </c>
      <c r="I1365" s="53" t="n">
        <v>48</v>
      </c>
      <c r="J1365" s="53" t="n">
        <v>20</v>
      </c>
      <c r="K1365" s="53" t="n">
        <v>0</v>
      </c>
      <c r="L1365" s="53" t="n">
        <v>0</v>
      </c>
      <c r="M1365" s="33">
        <f>F1365-E1365</f>
        <v/>
      </c>
      <c r="N1365" s="33">
        <f>L1365-K1365</f>
        <v/>
      </c>
    </row>
    <row r="1366">
      <c r="A1366" s="58" t="inlineStr">
        <is>
          <t>250013 Deutscher Club Of Clark</t>
        </is>
      </c>
      <c r="B1366" s="58" t="inlineStr">
        <is>
          <t>Union</t>
        </is>
      </c>
      <c r="C1366" s="58" t="inlineStr">
        <is>
          <t>Andrew Lundy</t>
        </is>
      </c>
      <c r="D1366" s="58" t="inlineStr">
        <is>
          <t>On-premise</t>
        </is>
      </c>
      <c r="E1366" s="53" t="n">
        <v>0</v>
      </c>
      <c r="F1366" s="53" t="n">
        <v>0</v>
      </c>
      <c r="G1366" s="55" t="n">
        <v>0</v>
      </c>
      <c r="H1366" s="55" t="n">
        <v>0</v>
      </c>
      <c r="I1366" s="53" t="n">
        <v>71</v>
      </c>
      <c r="J1366" s="53" t="n">
        <v>95</v>
      </c>
      <c r="K1366" s="53" t="n">
        <v>0</v>
      </c>
      <c r="L1366" s="53" t="n">
        <v>0</v>
      </c>
      <c r="M1366" s="33">
        <f>F1366-E1366</f>
        <v/>
      </c>
      <c r="N1366" s="33">
        <f>L1366-K1366</f>
        <v/>
      </c>
    </row>
    <row r="1367">
      <c r="A1367" s="58" t="inlineStr">
        <is>
          <t>250025 Abigails Cafe (Z)</t>
        </is>
      </c>
      <c r="B1367" s="58" t="inlineStr">
        <is>
          <t>Union</t>
        </is>
      </c>
      <c r="C1367" s="58" t="inlineStr">
        <is>
          <t>Andrew Lundy</t>
        </is>
      </c>
      <c r="D1367" s="58" t="inlineStr">
        <is>
          <t>On-premise</t>
        </is>
      </c>
      <c r="E1367" s="53" t="n">
        <v>0</v>
      </c>
      <c r="F1367" s="53" t="n">
        <v>0</v>
      </c>
      <c r="G1367" s="55" t="n">
        <v>0</v>
      </c>
      <c r="H1367" s="55" t="n">
        <v>0</v>
      </c>
      <c r="I1367" s="53" t="n">
        <v>34</v>
      </c>
      <c r="J1367" s="53" t="n">
        <v>18</v>
      </c>
      <c r="K1367" s="53" t="n">
        <v>0</v>
      </c>
      <c r="L1367" s="53" t="n">
        <v>0</v>
      </c>
      <c r="M1367" s="33">
        <f>F1367-E1367</f>
        <v/>
      </c>
      <c r="N1367" s="33">
        <f>L1367-K1367</f>
        <v/>
      </c>
    </row>
    <row r="1368">
      <c r="A1368" s="58" t="inlineStr">
        <is>
          <t>250139 Providence Liquors</t>
        </is>
      </c>
      <c r="B1368" s="58" t="inlineStr">
        <is>
          <t>Union</t>
        </is>
      </c>
      <c r="C1368" s="58" t="inlineStr">
        <is>
          <t>Andrew Lundy</t>
        </is>
      </c>
      <c r="D1368" s="58" t="inlineStr">
        <is>
          <t>Off-premise</t>
        </is>
      </c>
      <c r="E1368" s="53" t="n">
        <v>0</v>
      </c>
      <c r="F1368" s="53" t="n">
        <v>0</v>
      </c>
      <c r="G1368" s="55" t="n">
        <v>0</v>
      </c>
      <c r="H1368" s="55" t="n">
        <v>0</v>
      </c>
      <c r="I1368" s="53" t="n">
        <v>11</v>
      </c>
      <c r="J1368" s="53" t="n">
        <v>16</v>
      </c>
      <c r="K1368" s="53" t="n">
        <v>0</v>
      </c>
      <c r="L1368" s="53" t="n">
        <v>0</v>
      </c>
      <c r="M1368" s="33">
        <f>F1368-E1368</f>
        <v/>
      </c>
      <c r="N1368" s="33">
        <f>L1368-K1368</f>
        <v/>
      </c>
    </row>
    <row r="1369">
      <c r="A1369" s="58" t="inlineStr">
        <is>
          <t>150249 Millburn Standard</t>
        </is>
      </c>
      <c r="B1369" s="58" t="inlineStr">
        <is>
          <t>Essex</t>
        </is>
      </c>
      <c r="C1369" s="58" t="inlineStr">
        <is>
          <t>Andrew Lundy</t>
        </is>
      </c>
      <c r="D1369" s="58" t="inlineStr">
        <is>
          <t>On-premise</t>
        </is>
      </c>
      <c r="E1369" s="53" t="n">
        <v>0</v>
      </c>
      <c r="F1369" s="53" t="n">
        <v>0</v>
      </c>
      <c r="G1369" s="55" t="n">
        <v>0</v>
      </c>
      <c r="H1369" s="55" t="n">
        <v>0</v>
      </c>
      <c r="I1369" s="53" t="n">
        <v>102</v>
      </c>
      <c r="J1369" s="53" t="n">
        <v>110</v>
      </c>
      <c r="K1369" s="53" t="n">
        <v>0</v>
      </c>
      <c r="L1369" s="53" t="n">
        <v>0</v>
      </c>
      <c r="M1369" s="33">
        <f>F1369-E1369</f>
        <v/>
      </c>
      <c r="N1369" s="33">
        <f>L1369-K1369</f>
        <v/>
      </c>
    </row>
    <row r="1370">
      <c r="A1370" s="58" t="inlineStr">
        <is>
          <t>250168 Echo Lake Country Club</t>
        </is>
      </c>
      <c r="B1370" s="58" t="inlineStr">
        <is>
          <t>Union</t>
        </is>
      </c>
      <c r="C1370" s="58" t="inlineStr">
        <is>
          <t>Andrew Lundy</t>
        </is>
      </c>
      <c r="D1370" s="58" t="inlineStr">
        <is>
          <t>On-premise</t>
        </is>
      </c>
      <c r="E1370" s="53" t="n">
        <v>0</v>
      </c>
      <c r="F1370" s="53" t="n">
        <v>0</v>
      </c>
      <c r="G1370" s="55" t="n">
        <v>0</v>
      </c>
      <c r="H1370" s="55" t="n">
        <v>0</v>
      </c>
      <c r="I1370" s="53" t="n">
        <v>34</v>
      </c>
      <c r="J1370" s="53" t="n">
        <v>0</v>
      </c>
      <c r="K1370" s="53" t="n">
        <v>0</v>
      </c>
      <c r="L1370" s="53" t="n">
        <v>0</v>
      </c>
      <c r="M1370" s="33">
        <f>F1370-E1370</f>
        <v/>
      </c>
      <c r="N1370" s="33">
        <f>L1370-K1370</f>
        <v/>
      </c>
    </row>
    <row r="1371">
      <c r="A1371" s="58" t="inlineStr">
        <is>
          <t>250172 387 Oyster House &amp; Bar</t>
        </is>
      </c>
      <c r="B1371" s="58" t="inlineStr">
        <is>
          <t>Union</t>
        </is>
      </c>
      <c r="C1371" s="58" t="inlineStr">
        <is>
          <t>Andrew Lundy</t>
        </is>
      </c>
      <c r="D1371" s="58" t="inlineStr">
        <is>
          <t>On-premise</t>
        </is>
      </c>
      <c r="E1371" s="53" t="n">
        <v>0</v>
      </c>
      <c r="F1371" s="53" t="n">
        <v>0</v>
      </c>
      <c r="G1371" s="55" t="n">
        <v>0</v>
      </c>
      <c r="H1371" s="55" t="n">
        <v>0</v>
      </c>
      <c r="I1371" s="53" t="n">
        <v>0</v>
      </c>
      <c r="J1371" s="53" t="n">
        <v>29</v>
      </c>
      <c r="K1371" s="53" t="n">
        <v>0</v>
      </c>
      <c r="L1371" s="53" t="n">
        <v>0</v>
      </c>
      <c r="M1371" s="33">
        <f>F1371-E1371</f>
        <v/>
      </c>
      <c r="N1371" s="33">
        <f>L1371-K1371</f>
        <v/>
      </c>
    </row>
    <row r="1372">
      <c r="A1372" s="58" t="inlineStr">
        <is>
          <t>250801 Main Street Spirits</t>
        </is>
      </c>
      <c r="B1372" s="58" t="inlineStr">
        <is>
          <t>Union</t>
        </is>
      </c>
      <c r="C1372" s="58" t="inlineStr">
        <is>
          <t>Andrew Lundy</t>
        </is>
      </c>
      <c r="D1372" s="58" t="inlineStr">
        <is>
          <t>Off-premise</t>
        </is>
      </c>
      <c r="E1372" s="53" t="n">
        <v>0</v>
      </c>
      <c r="F1372" s="53" t="n">
        <v>0</v>
      </c>
      <c r="G1372" s="55" t="n">
        <v>0</v>
      </c>
      <c r="H1372" s="55" t="n">
        <v>0</v>
      </c>
      <c r="I1372" s="53" t="n">
        <v>88</v>
      </c>
      <c r="J1372" s="53" t="n">
        <v>75</v>
      </c>
      <c r="K1372" s="53" t="n">
        <v>0</v>
      </c>
      <c r="L1372" s="53" t="n">
        <v>0</v>
      </c>
      <c r="M1372" s="33">
        <f>F1372-E1372</f>
        <v/>
      </c>
      <c r="N1372" s="33">
        <f>L1372-K1372</f>
        <v/>
      </c>
    </row>
    <row r="1373">
      <c r="A1373" s="58" t="inlineStr">
        <is>
          <t>250077 Linwood Inn Tap House</t>
        </is>
      </c>
      <c r="B1373" s="58" t="inlineStr">
        <is>
          <t>Union</t>
        </is>
      </c>
      <c r="C1373" s="58" t="inlineStr">
        <is>
          <t>Andrew Lundy</t>
        </is>
      </c>
      <c r="D1373" s="58" t="inlineStr">
        <is>
          <t>On-premise</t>
        </is>
      </c>
      <c r="E1373" s="53" t="n">
        <v>0</v>
      </c>
      <c r="F1373" s="53" t="n">
        <v>0</v>
      </c>
      <c r="G1373" s="55" t="n">
        <v>0</v>
      </c>
      <c r="H1373" s="55" t="n">
        <v>0</v>
      </c>
      <c r="I1373" s="53" t="n">
        <v>21</v>
      </c>
      <c r="J1373" s="53" t="n">
        <v>14</v>
      </c>
      <c r="K1373" s="53" t="n">
        <v>0</v>
      </c>
      <c r="L1373" s="53" t="n">
        <v>0</v>
      </c>
      <c r="M1373" s="33">
        <f>F1373-E1373</f>
        <v/>
      </c>
      <c r="N1373" s="33">
        <f>L1373-K1373</f>
        <v/>
      </c>
    </row>
    <row r="1374">
      <c r="A1374" s="58" t="inlineStr">
        <is>
          <t>250105 Crossroads Bar/Rest (Z)</t>
        </is>
      </c>
      <c r="B1374" s="58" t="inlineStr">
        <is>
          <t>Union</t>
        </is>
      </c>
      <c r="C1374" s="58" t="inlineStr">
        <is>
          <t>Andrew Lundy</t>
        </is>
      </c>
      <c r="D1374" s="58" t="inlineStr">
        <is>
          <t>On-premise</t>
        </is>
      </c>
      <c r="E1374" s="53" t="n">
        <v>0</v>
      </c>
      <c r="F1374" s="53" t="n">
        <v>0</v>
      </c>
      <c r="G1374" s="55" t="n">
        <v>0</v>
      </c>
      <c r="H1374" s="55" t="n">
        <v>0</v>
      </c>
      <c r="I1374" s="53" t="n">
        <v>0</v>
      </c>
      <c r="J1374" s="53" t="n">
        <v>21</v>
      </c>
      <c r="K1374" s="53" t="n">
        <v>0</v>
      </c>
      <c r="L1374" s="53" t="n">
        <v>0</v>
      </c>
      <c r="M1374" s="33">
        <f>F1374-E1374</f>
        <v/>
      </c>
      <c r="N1374" s="33">
        <f>L1374-K1374</f>
        <v/>
      </c>
    </row>
    <row r="1375">
      <c r="A1375" s="58" t="inlineStr">
        <is>
          <t>250221 Garwood Restaurant</t>
        </is>
      </c>
      <c r="B1375" s="58" t="inlineStr">
        <is>
          <t>Union</t>
        </is>
      </c>
      <c r="C1375" s="58" t="inlineStr">
        <is>
          <t>Andrew Lundy</t>
        </is>
      </c>
      <c r="D1375" s="58" t="inlineStr">
        <is>
          <t>On-premise</t>
        </is>
      </c>
      <c r="E1375" s="53" t="n">
        <v>0</v>
      </c>
      <c r="F1375" s="53" t="n">
        <v>0</v>
      </c>
      <c r="G1375" s="55" t="n">
        <v>0</v>
      </c>
      <c r="H1375" s="55" t="n">
        <v>0</v>
      </c>
      <c r="I1375" s="53" t="n">
        <v>0</v>
      </c>
      <c r="J1375" s="53" t="n">
        <v>14</v>
      </c>
      <c r="K1375" s="53" t="n">
        <v>0</v>
      </c>
      <c r="L1375" s="53" t="n">
        <v>0</v>
      </c>
      <c r="M1375" s="33">
        <f>F1375-E1375</f>
        <v/>
      </c>
      <c r="N1375" s="33">
        <f>L1375-K1375</f>
        <v/>
      </c>
    </row>
    <row r="1376">
      <c r="A1376" s="58" t="inlineStr">
        <is>
          <t>250121 Baltusrol Golf Club</t>
        </is>
      </c>
      <c r="B1376" s="58" t="inlineStr">
        <is>
          <t>Union</t>
        </is>
      </c>
      <c r="C1376" s="58" t="inlineStr">
        <is>
          <t>Andrew Lundy</t>
        </is>
      </c>
      <c r="D1376" s="58" t="inlineStr">
        <is>
          <t>On-premise</t>
        </is>
      </c>
      <c r="E1376" s="53" t="n">
        <v>0</v>
      </c>
      <c r="F1376" s="53" t="n">
        <v>0</v>
      </c>
      <c r="G1376" s="55" t="n">
        <v>0</v>
      </c>
      <c r="H1376" s="55" t="n">
        <v>0</v>
      </c>
      <c r="I1376" s="53" t="n">
        <v>16</v>
      </c>
      <c r="J1376" s="53" t="n">
        <v>30</v>
      </c>
      <c r="K1376" s="53" t="n">
        <v>0</v>
      </c>
      <c r="L1376" s="53" t="n">
        <v>0</v>
      </c>
      <c r="M1376" s="33">
        <f>F1376-E1376</f>
        <v/>
      </c>
      <c r="N1376" s="33">
        <f>L1376-K1376</f>
        <v/>
      </c>
    </row>
    <row r="1377">
      <c r="A1377" s="58" t="inlineStr">
        <is>
          <t>38013 Amazon Fresh (Lodi)</t>
        </is>
      </c>
      <c r="B1377" s="58" t="inlineStr">
        <is>
          <t>Bergen</t>
        </is>
      </c>
      <c r="C1377" s="58" t="inlineStr">
        <is>
          <t>Chris Payton</t>
        </is>
      </c>
      <c r="D1377" s="58" t="inlineStr">
        <is>
          <t>Unmatched</t>
        </is>
      </c>
      <c r="E1377" s="53" t="n">
        <v>0</v>
      </c>
      <c r="F1377" s="53" t="n">
        <v>0</v>
      </c>
      <c r="G1377" s="55" t="n">
        <v>0</v>
      </c>
      <c r="H1377" s="55" t="n">
        <v>0</v>
      </c>
      <c r="I1377" s="53" t="n">
        <v>40</v>
      </c>
      <c r="J1377" s="53" t="n">
        <v>0</v>
      </c>
      <c r="K1377" s="53" t="n">
        <v>0</v>
      </c>
      <c r="L1377" s="53" t="n">
        <v>0</v>
      </c>
      <c r="M1377" s="33">
        <f>F1377-E1377</f>
        <v/>
      </c>
      <c r="N1377" s="33">
        <f>L1377-K1377</f>
        <v/>
      </c>
    </row>
    <row r="1378">
      <c r="A1378" s="58" t="inlineStr">
        <is>
          <t>80064 Amazon Fresh (Paramus)</t>
        </is>
      </c>
      <c r="B1378" s="58" t="inlineStr">
        <is>
          <t>Bergen</t>
        </is>
      </c>
      <c r="C1378" s="58" t="inlineStr">
        <is>
          <t>Chris Payton</t>
        </is>
      </c>
      <c r="D1378" s="58" t="inlineStr">
        <is>
          <t>Unmatched</t>
        </is>
      </c>
      <c r="E1378" s="53" t="n">
        <v>0</v>
      </c>
      <c r="F1378" s="53" t="n">
        <v>0</v>
      </c>
      <c r="G1378" s="55" t="n">
        <v>0</v>
      </c>
      <c r="H1378" s="55" t="n">
        <v>0</v>
      </c>
      <c r="I1378" s="53" t="n">
        <v>64</v>
      </c>
      <c r="J1378" s="53" t="n">
        <v>0</v>
      </c>
      <c r="K1378" s="53" t="n">
        <v>0</v>
      </c>
      <c r="L1378" s="53" t="n">
        <v>0</v>
      </c>
      <c r="M1378" s="33">
        <f>F1378-E1378</f>
        <v/>
      </c>
      <c r="N1378" s="33">
        <f>L1378-K1378</f>
        <v/>
      </c>
    </row>
    <row r="1379">
      <c r="A1379" s="58" t="inlineStr">
        <is>
          <t>201096 Whole Foods #10102 (Edgewater)</t>
        </is>
      </c>
      <c r="B1379" s="58" t="inlineStr">
        <is>
          <t>Bergen</t>
        </is>
      </c>
      <c r="C1379" s="58" t="inlineStr">
        <is>
          <t>Dan Lagala</t>
        </is>
      </c>
      <c r="D1379" s="58" t="inlineStr">
        <is>
          <t>Off-premise</t>
        </is>
      </c>
      <c r="E1379" s="53" t="n">
        <v>0</v>
      </c>
      <c r="F1379" s="53" t="n">
        <v>0</v>
      </c>
      <c r="G1379" s="55" t="n">
        <v>0</v>
      </c>
      <c r="H1379" s="55" t="n">
        <v>0</v>
      </c>
      <c r="I1379" s="53" t="n">
        <v>282</v>
      </c>
      <c r="J1379" s="53" t="n">
        <v>326</v>
      </c>
      <c r="K1379" s="53" t="n">
        <v>0</v>
      </c>
      <c r="L1379" s="53" t="n">
        <v>0</v>
      </c>
      <c r="M1379" s="33">
        <f>F1379-E1379</f>
        <v/>
      </c>
      <c r="N1379" s="33">
        <f>L1379-K1379</f>
        <v/>
      </c>
    </row>
    <row r="1380">
      <c r="A1380" s="58" t="inlineStr">
        <is>
          <t>20126 Scheps Discount Bar/Liq</t>
        </is>
      </c>
      <c r="B1380" s="58" t="inlineStr">
        <is>
          <t>Passaic</t>
        </is>
      </c>
      <c r="C1380" s="58" t="inlineStr">
        <is>
          <t>Derrick Laws</t>
        </is>
      </c>
      <c r="D1380" s="58" t="inlineStr">
        <is>
          <t>Off-premise</t>
        </is>
      </c>
      <c r="E1380" s="53" t="n">
        <v>0</v>
      </c>
      <c r="F1380" s="53" t="n">
        <v>0</v>
      </c>
      <c r="G1380" s="55" t="n">
        <v>0</v>
      </c>
      <c r="H1380" s="55" t="n">
        <v>0</v>
      </c>
      <c r="I1380" s="53" t="n">
        <v>0</v>
      </c>
      <c r="J1380" s="53" t="n">
        <v>0</v>
      </c>
      <c r="K1380" s="53" t="n">
        <v>0</v>
      </c>
      <c r="L1380" s="53" t="n">
        <v>0</v>
      </c>
      <c r="M1380" s="33">
        <f>F1380-E1380</f>
        <v/>
      </c>
      <c r="N1380" s="33">
        <f>L1380-K1380</f>
        <v/>
      </c>
    </row>
    <row r="1381">
      <c r="A1381" s="58" t="inlineStr">
        <is>
          <t>170254 Park Tavern</t>
        </is>
      </c>
      <c r="B1381" s="58" t="inlineStr">
        <is>
          <t>Hudson</t>
        </is>
      </c>
      <c r="C1381" s="58" t="inlineStr">
        <is>
          <t>Dylan Rubino</t>
        </is>
      </c>
      <c r="D1381" s="58" t="inlineStr">
        <is>
          <t>On-premise</t>
        </is>
      </c>
      <c r="E1381" s="53" t="n">
        <v>0</v>
      </c>
      <c r="F1381" s="53" t="n">
        <v>0</v>
      </c>
      <c r="G1381" s="55" t="n">
        <v>0</v>
      </c>
      <c r="H1381" s="55" t="n">
        <v>0</v>
      </c>
      <c r="I1381" s="53" t="n">
        <v>125</v>
      </c>
      <c r="J1381" s="53" t="n">
        <v>150</v>
      </c>
      <c r="K1381" s="53" t="n">
        <v>0</v>
      </c>
      <c r="L1381" s="53" t="n">
        <v>0</v>
      </c>
      <c r="M1381" s="33">
        <f>F1381-E1381</f>
        <v/>
      </c>
      <c r="N1381" s="33">
        <f>L1381-K1381</f>
        <v/>
      </c>
    </row>
    <row r="1382">
      <c r="A1382" s="58" t="inlineStr">
        <is>
          <t>173073 Corkscrew Bar</t>
        </is>
      </c>
      <c r="B1382" s="58" t="inlineStr">
        <is>
          <t>Hudson</t>
        </is>
      </c>
      <c r="C1382" s="58" t="inlineStr">
        <is>
          <t>Dylan Rubino</t>
        </is>
      </c>
      <c r="D1382" s="58" t="inlineStr">
        <is>
          <t>On-premise</t>
        </is>
      </c>
      <c r="E1382" s="53" t="n">
        <v>0</v>
      </c>
      <c r="F1382" s="53" t="n">
        <v>0</v>
      </c>
      <c r="G1382" s="55" t="n">
        <v>0</v>
      </c>
      <c r="H1382" s="55" t="n">
        <v>0</v>
      </c>
      <c r="I1382" s="53" t="n">
        <v>265</v>
      </c>
      <c r="J1382" s="53" t="n">
        <v>341</v>
      </c>
      <c r="K1382" s="53" t="n">
        <v>0</v>
      </c>
      <c r="L1382" s="53" t="n">
        <v>0</v>
      </c>
      <c r="M1382" s="33">
        <f>F1382-E1382</f>
        <v/>
      </c>
      <c r="N1382" s="33">
        <f>L1382-K1382</f>
        <v/>
      </c>
    </row>
    <row r="1383">
      <c r="A1383" s="58" t="inlineStr">
        <is>
          <t>170127 Fragoso Liquors</t>
        </is>
      </c>
      <c r="B1383" s="58" t="inlineStr">
        <is>
          <t>Hudson</t>
        </is>
      </c>
      <c r="C1383" s="58" t="inlineStr">
        <is>
          <t>Dylan Rubino</t>
        </is>
      </c>
      <c r="D1383" s="58" t="inlineStr">
        <is>
          <t>Off-premise</t>
        </is>
      </c>
      <c r="E1383" s="53" t="n">
        <v>0</v>
      </c>
      <c r="F1383" s="53" t="n">
        <v>0</v>
      </c>
      <c r="G1383" s="55" t="n">
        <v>0</v>
      </c>
      <c r="H1383" s="55" t="n">
        <v>0</v>
      </c>
      <c r="I1383" s="53" t="n">
        <v>34</v>
      </c>
      <c r="J1383" s="53" t="n">
        <v>36</v>
      </c>
      <c r="K1383" s="53" t="n">
        <v>0</v>
      </c>
      <c r="L1383" s="53" t="n">
        <v>0</v>
      </c>
      <c r="M1383" s="33">
        <f>F1383-E1383</f>
        <v/>
      </c>
      <c r="N1383" s="33">
        <f>L1383-K1383</f>
        <v/>
      </c>
    </row>
    <row r="1384">
      <c r="A1384" s="58" t="inlineStr">
        <is>
          <t>170293 Dagda</t>
        </is>
      </c>
      <c r="B1384" s="58" t="inlineStr">
        <is>
          <t>Hudson</t>
        </is>
      </c>
      <c r="C1384" s="58" t="inlineStr">
        <is>
          <t>Dylan Rubino</t>
        </is>
      </c>
      <c r="D1384" s="58" t="inlineStr">
        <is>
          <t>On-premise</t>
        </is>
      </c>
      <c r="E1384" s="53" t="n">
        <v>0</v>
      </c>
      <c r="F1384" s="53" t="n">
        <v>0</v>
      </c>
      <c r="G1384" s="55" t="n">
        <v>0</v>
      </c>
      <c r="H1384" s="55" t="n">
        <v>0</v>
      </c>
      <c r="I1384" s="53" t="n">
        <v>0</v>
      </c>
      <c r="J1384" s="53" t="n">
        <v>137</v>
      </c>
      <c r="K1384" s="53" t="n">
        <v>0</v>
      </c>
      <c r="L1384" s="53" t="n">
        <v>0</v>
      </c>
      <c r="M1384" s="33">
        <f>F1384-E1384</f>
        <v/>
      </c>
      <c r="N1384" s="33">
        <f>L1384-K1384</f>
        <v/>
      </c>
    </row>
    <row r="1385">
      <c r="A1385" s="58" t="inlineStr">
        <is>
          <t>178018 Rancho Mateo</t>
        </is>
      </c>
      <c r="B1385" s="58" t="inlineStr">
        <is>
          <t>Hudson</t>
        </is>
      </c>
      <c r="C1385" s="58" t="inlineStr">
        <is>
          <t>Dylan Rubino</t>
        </is>
      </c>
      <c r="D1385" s="58" t="inlineStr">
        <is>
          <t>On-premise</t>
        </is>
      </c>
      <c r="E1385" s="53" t="n">
        <v>0</v>
      </c>
      <c r="F1385" s="53" t="n">
        <v>0</v>
      </c>
      <c r="G1385" s="55" t="n">
        <v>0</v>
      </c>
      <c r="H1385" s="55" t="n">
        <v>0</v>
      </c>
      <c r="I1385" s="53" t="n">
        <v>62</v>
      </c>
      <c r="J1385" s="53" t="n">
        <v>0</v>
      </c>
      <c r="K1385" s="53" t="n">
        <v>0</v>
      </c>
      <c r="L1385" s="53" t="n">
        <v>0</v>
      </c>
      <c r="M1385" s="33">
        <f>F1385-E1385</f>
        <v/>
      </c>
      <c r="N1385" s="33">
        <f>L1385-K1385</f>
        <v/>
      </c>
    </row>
    <row r="1386">
      <c r="A1386" s="58" t="inlineStr">
        <is>
          <t>170157 Dorrian's Restaurant</t>
        </is>
      </c>
      <c r="B1386" s="58" t="inlineStr">
        <is>
          <t>Hudson</t>
        </is>
      </c>
      <c r="C1386" s="58" t="inlineStr">
        <is>
          <t>Dylan Rubino</t>
        </is>
      </c>
      <c r="D1386" s="58" t="inlineStr">
        <is>
          <t>On-premise</t>
        </is>
      </c>
      <c r="E1386" s="53" t="n">
        <v>0</v>
      </c>
      <c r="F1386" s="53" t="n">
        <v>0</v>
      </c>
      <c r="G1386" s="55" t="n">
        <v>0</v>
      </c>
      <c r="H1386" s="55" t="n">
        <v>0</v>
      </c>
      <c r="I1386" s="53" t="n">
        <v>20</v>
      </c>
      <c r="J1386" s="53" t="n">
        <v>30</v>
      </c>
      <c r="K1386" s="53" t="n">
        <v>0</v>
      </c>
      <c r="L1386" s="53" t="n">
        <v>0</v>
      </c>
      <c r="M1386" s="33">
        <f>F1386-E1386</f>
        <v/>
      </c>
      <c r="N1386" s="33">
        <f>L1386-K1386</f>
        <v/>
      </c>
    </row>
    <row r="1387">
      <c r="A1387" s="58" t="inlineStr">
        <is>
          <t>170192 Greene Hook Resturant</t>
        </is>
      </c>
      <c r="B1387" s="58" t="inlineStr">
        <is>
          <t>Hudson</t>
        </is>
      </c>
      <c r="C1387" s="58" t="inlineStr">
        <is>
          <t>Dylan Rubino</t>
        </is>
      </c>
      <c r="D1387" s="58" t="inlineStr">
        <is>
          <t>On-premise</t>
        </is>
      </c>
      <c r="E1387" s="53" t="n">
        <v>0</v>
      </c>
      <c r="F1387" s="53" t="n">
        <v>0</v>
      </c>
      <c r="G1387" s="55" t="n">
        <v>0</v>
      </c>
      <c r="H1387" s="55" t="n">
        <v>0</v>
      </c>
      <c r="I1387" s="53" t="n">
        <v>49</v>
      </c>
      <c r="J1387" s="53" t="n">
        <v>41</v>
      </c>
      <c r="K1387" s="53" t="n">
        <v>0</v>
      </c>
      <c r="L1387" s="53" t="n">
        <v>0</v>
      </c>
      <c r="M1387" s="33">
        <f>F1387-E1387</f>
        <v/>
      </c>
      <c r="N1387" s="33">
        <f>L1387-K1387</f>
        <v/>
      </c>
    </row>
    <row r="1388">
      <c r="A1388" s="58" t="inlineStr">
        <is>
          <t>172049 Z &amp; M Liquors</t>
        </is>
      </c>
      <c r="B1388" s="58" t="inlineStr">
        <is>
          <t>Hudson</t>
        </is>
      </c>
      <c r="C1388" s="58" t="inlineStr">
        <is>
          <t>Dylan Rubino</t>
        </is>
      </c>
      <c r="D1388" s="58" t="inlineStr">
        <is>
          <t>Off-premise</t>
        </is>
      </c>
      <c r="E1388" s="53" t="n">
        <v>0</v>
      </c>
      <c r="F1388" s="53" t="n">
        <v>0</v>
      </c>
      <c r="G1388" s="55" t="n">
        <v>0</v>
      </c>
      <c r="H1388" s="55" t="n">
        <v>0</v>
      </c>
      <c r="I1388" s="53" t="n">
        <v>18</v>
      </c>
      <c r="J1388" s="53" t="n">
        <v>17</v>
      </c>
      <c r="K1388" s="53" t="n">
        <v>0</v>
      </c>
      <c r="L1388" s="53" t="n">
        <v>0</v>
      </c>
      <c r="M1388" s="33">
        <f>F1388-E1388</f>
        <v/>
      </c>
      <c r="N1388" s="33">
        <f>L1388-K1388</f>
        <v/>
      </c>
    </row>
    <row r="1389">
      <c r="A1389" s="58" t="inlineStr">
        <is>
          <t>171353 Fork Hill Kitchen</t>
        </is>
      </c>
      <c r="B1389" s="58" t="inlineStr">
        <is>
          <t>Hudson</t>
        </is>
      </c>
      <c r="C1389" s="58" t="inlineStr">
        <is>
          <t>Dylan Rubino</t>
        </is>
      </c>
      <c r="D1389" s="58" t="inlineStr">
        <is>
          <t>On-premise</t>
        </is>
      </c>
      <c r="E1389" s="53" t="n">
        <v>0</v>
      </c>
      <c r="F1389" s="53" t="n">
        <v>0</v>
      </c>
      <c r="G1389" s="55" t="n">
        <v>0</v>
      </c>
      <c r="H1389" s="55" t="n">
        <v>0</v>
      </c>
      <c r="I1389" s="53" t="n">
        <v>40</v>
      </c>
      <c r="J1389" s="53" t="n">
        <v>20</v>
      </c>
      <c r="K1389" s="53" t="n">
        <v>0</v>
      </c>
      <c r="L1389" s="53" t="n">
        <v>0</v>
      </c>
      <c r="M1389" s="33">
        <f>F1389-E1389</f>
        <v/>
      </c>
      <c r="N1389" s="33">
        <f>L1389-K1389</f>
        <v/>
      </c>
    </row>
    <row r="1390">
      <c r="A1390" s="58" t="inlineStr">
        <is>
          <t>170138 Light Horse Tavern (A)</t>
        </is>
      </c>
      <c r="B1390" s="58" t="inlineStr">
        <is>
          <t>Hudson</t>
        </is>
      </c>
      <c r="C1390" s="58" t="inlineStr">
        <is>
          <t>Dylan Rubino</t>
        </is>
      </c>
      <c r="D1390" s="58" t="inlineStr">
        <is>
          <t>On-premise</t>
        </is>
      </c>
      <c r="E1390" s="53" t="n">
        <v>0</v>
      </c>
      <c r="F1390" s="53" t="n">
        <v>0</v>
      </c>
      <c r="G1390" s="55" t="n">
        <v>0</v>
      </c>
      <c r="H1390" s="55" t="n">
        <v>0</v>
      </c>
      <c r="I1390" s="53" t="n">
        <v>233</v>
      </c>
      <c r="J1390" s="53" t="n">
        <v>236</v>
      </c>
      <c r="K1390" s="53" t="n">
        <v>0</v>
      </c>
      <c r="L1390" s="53" t="n">
        <v>0</v>
      </c>
      <c r="M1390" s="33">
        <f>F1390-E1390</f>
        <v/>
      </c>
      <c r="N1390" s="33">
        <f>L1390-K1390</f>
        <v/>
      </c>
    </row>
    <row r="1391">
      <c r="A1391" s="58" t="inlineStr">
        <is>
          <t>170194 Overlook Wine &amp; Spirits</t>
        </is>
      </c>
      <c r="B1391" s="58" t="inlineStr">
        <is>
          <t>Hudson</t>
        </is>
      </c>
      <c r="C1391" s="58" t="inlineStr">
        <is>
          <t>Dylan Rubino</t>
        </is>
      </c>
      <c r="D1391" s="58" t="inlineStr">
        <is>
          <t>Unmatched</t>
        </is>
      </c>
      <c r="E1391" s="53" t="n">
        <v>0</v>
      </c>
      <c r="F1391" s="53" t="n">
        <v>0</v>
      </c>
      <c r="G1391" s="55" t="n">
        <v>0</v>
      </c>
      <c r="H1391" s="55" t="n">
        <v>0</v>
      </c>
      <c r="I1391" s="53" t="n">
        <v>0</v>
      </c>
      <c r="J1391" s="53" t="n">
        <v>44</v>
      </c>
      <c r="K1391" s="53" t="n">
        <v>0</v>
      </c>
      <c r="L1391" s="53" t="n">
        <v>0</v>
      </c>
      <c r="M1391" s="33">
        <f>F1391-E1391</f>
        <v/>
      </c>
      <c r="N1391" s="33">
        <f>L1391-K1391</f>
        <v/>
      </c>
    </row>
    <row r="1392">
      <c r="A1392" s="58" t="inlineStr">
        <is>
          <t>170266 San Patricios Jersey City</t>
        </is>
      </c>
      <c r="B1392" s="58" t="inlineStr">
        <is>
          <t>Hudson</t>
        </is>
      </c>
      <c r="C1392" s="58" t="inlineStr">
        <is>
          <t>Dylan Rubino</t>
        </is>
      </c>
      <c r="D1392" s="58" t="inlineStr">
        <is>
          <t>On-premise</t>
        </is>
      </c>
      <c r="E1392" s="53" t="n">
        <v>0</v>
      </c>
      <c r="F1392" s="53" t="n">
        <v>0</v>
      </c>
      <c r="G1392" s="55" t="n">
        <v>0</v>
      </c>
      <c r="H1392" s="55" t="n">
        <v>0</v>
      </c>
      <c r="I1392" s="53" t="n">
        <v>39</v>
      </c>
      <c r="J1392" s="53" t="n">
        <v>33</v>
      </c>
      <c r="K1392" s="53" t="n">
        <v>0</v>
      </c>
      <c r="L1392" s="53" t="n">
        <v>0</v>
      </c>
      <c r="M1392" s="33">
        <f>F1392-E1392</f>
        <v/>
      </c>
      <c r="N1392" s="33">
        <f>L1392-K1392</f>
        <v/>
      </c>
    </row>
    <row r="1393">
      <c r="A1393" s="58" t="inlineStr">
        <is>
          <t>170314 The Brightside Tavern</t>
        </is>
      </c>
      <c r="B1393" s="58" t="inlineStr">
        <is>
          <t>Hudson</t>
        </is>
      </c>
      <c r="C1393" s="58" t="inlineStr">
        <is>
          <t>Dylan Rubino</t>
        </is>
      </c>
      <c r="D1393" s="58" t="inlineStr">
        <is>
          <t>On-premise</t>
        </is>
      </c>
      <c r="E1393" s="53" t="n">
        <v>0</v>
      </c>
      <c r="F1393" s="53" t="n">
        <v>0</v>
      </c>
      <c r="G1393" s="55" t="n">
        <v>0</v>
      </c>
      <c r="H1393" s="55" t="n">
        <v>0</v>
      </c>
      <c r="I1393" s="53" t="n">
        <v>41</v>
      </c>
      <c r="J1393" s="53" t="n">
        <v>33</v>
      </c>
      <c r="K1393" s="53" t="n">
        <v>0</v>
      </c>
      <c r="L1393" s="53" t="n">
        <v>0</v>
      </c>
      <c r="M1393" s="33">
        <f>F1393-E1393</f>
        <v/>
      </c>
      <c r="N1393" s="33">
        <f>L1393-K1393</f>
        <v/>
      </c>
    </row>
    <row r="1394">
      <c r="A1394" s="58" t="inlineStr">
        <is>
          <t>178105 Harry's Food &amp; Drink</t>
        </is>
      </c>
      <c r="B1394" s="58" t="inlineStr">
        <is>
          <t>Hudson</t>
        </is>
      </c>
      <c r="C1394" s="58" t="inlineStr">
        <is>
          <t>Dylan Rubino</t>
        </is>
      </c>
      <c r="D1394" s="58" t="inlineStr">
        <is>
          <t>Unmatched</t>
        </is>
      </c>
      <c r="E1394" s="53" t="n">
        <v>0</v>
      </c>
      <c r="F1394" s="53" t="n">
        <v>0</v>
      </c>
      <c r="G1394" s="55" t="n">
        <v>0</v>
      </c>
      <c r="H1394" s="55" t="n">
        <v>0</v>
      </c>
      <c r="I1394" s="53" t="n">
        <v>13</v>
      </c>
      <c r="J1394" s="53" t="n">
        <v>0</v>
      </c>
      <c r="K1394" s="53" t="n">
        <v>0</v>
      </c>
      <c r="L1394" s="53" t="n">
        <v>0</v>
      </c>
      <c r="M1394" s="33">
        <f>F1394-E1394</f>
        <v/>
      </c>
      <c r="N1394" s="33">
        <f>L1394-K1394</f>
        <v/>
      </c>
    </row>
    <row r="1395">
      <c r="A1395" s="58" t="inlineStr">
        <is>
          <t>170093 Riverview Wine &amp; Spirits</t>
        </is>
      </c>
      <c r="B1395" s="58" t="inlineStr">
        <is>
          <t>Hudson</t>
        </is>
      </c>
      <c r="C1395" s="58" t="inlineStr">
        <is>
          <t>Dylan Rubino</t>
        </is>
      </c>
      <c r="D1395" s="58" t="inlineStr">
        <is>
          <t>Off-premise</t>
        </is>
      </c>
      <c r="E1395" s="53" t="n">
        <v>0</v>
      </c>
      <c r="F1395" s="53" t="n">
        <v>0</v>
      </c>
      <c r="G1395" s="55" t="n">
        <v>0</v>
      </c>
      <c r="H1395" s="55" t="n">
        <v>0</v>
      </c>
      <c r="I1395" s="53" t="n">
        <v>13</v>
      </c>
      <c r="J1395" s="53" t="n">
        <v>0</v>
      </c>
      <c r="K1395" s="53" t="n">
        <v>0</v>
      </c>
      <c r="L1395" s="53" t="n">
        <v>0</v>
      </c>
      <c r="M1395" s="33">
        <f>F1395-E1395</f>
        <v/>
      </c>
      <c r="N1395" s="33">
        <f>L1395-K1395</f>
        <v/>
      </c>
    </row>
    <row r="1396">
      <c r="A1396" s="58" t="inlineStr">
        <is>
          <t>170291 IKOS Greek Mediterranean</t>
        </is>
      </c>
      <c r="B1396" s="58" t="inlineStr">
        <is>
          <t>Hudson</t>
        </is>
      </c>
      <c r="C1396" s="58" t="inlineStr">
        <is>
          <t>Dylan Rubino</t>
        </is>
      </c>
      <c r="D1396" s="58" t="inlineStr">
        <is>
          <t>On-premise</t>
        </is>
      </c>
      <c r="E1396" s="53" t="n">
        <v>0</v>
      </c>
      <c r="F1396" s="53" t="n">
        <v>0</v>
      </c>
      <c r="G1396" s="55" t="n">
        <v>0</v>
      </c>
      <c r="H1396" s="55" t="n">
        <v>0</v>
      </c>
      <c r="I1396" s="53" t="n">
        <v>0</v>
      </c>
      <c r="J1396" s="53" t="n">
        <v>34</v>
      </c>
      <c r="K1396" s="53" t="n">
        <v>0</v>
      </c>
      <c r="L1396" s="53" t="n">
        <v>0</v>
      </c>
      <c r="M1396" s="33">
        <f>F1396-E1396</f>
        <v/>
      </c>
      <c r="N1396" s="33">
        <f>L1396-K1396</f>
        <v/>
      </c>
    </row>
    <row r="1397">
      <c r="A1397" s="58" t="inlineStr">
        <is>
          <t>170430 Franklin Social Club</t>
        </is>
      </c>
      <c r="B1397" s="58" t="inlineStr">
        <is>
          <t>Hudson</t>
        </is>
      </c>
      <c r="C1397" s="58" t="inlineStr">
        <is>
          <t>Dylan Rubino</t>
        </is>
      </c>
      <c r="D1397" s="58" t="inlineStr">
        <is>
          <t>On-premise</t>
        </is>
      </c>
      <c r="E1397" s="53" t="n">
        <v>0</v>
      </c>
      <c r="F1397" s="53" t="n">
        <v>0</v>
      </c>
      <c r="G1397" s="55" t="n">
        <v>0</v>
      </c>
      <c r="H1397" s="55" t="n">
        <v>0</v>
      </c>
      <c r="I1397" s="53" t="n">
        <v>56</v>
      </c>
      <c r="J1397" s="53" t="n">
        <v>0</v>
      </c>
      <c r="K1397" s="53" t="n">
        <v>0</v>
      </c>
      <c r="L1397" s="53" t="n">
        <v>0</v>
      </c>
      <c r="M1397" s="33">
        <f>F1397-E1397</f>
        <v/>
      </c>
      <c r="N1397" s="33">
        <f>L1397-K1397</f>
        <v/>
      </c>
    </row>
    <row r="1398">
      <c r="A1398" s="58" t="inlineStr">
        <is>
          <t>170047 Crescent Wines &amp; Liq (P)</t>
        </is>
      </c>
      <c r="B1398" s="58" t="inlineStr">
        <is>
          <t>Hudson</t>
        </is>
      </c>
      <c r="C1398" s="58" t="inlineStr">
        <is>
          <t>Dylan Rubino</t>
        </is>
      </c>
      <c r="D1398" s="58" t="inlineStr">
        <is>
          <t>Off-premise</t>
        </is>
      </c>
      <c r="E1398" s="53" t="n">
        <v>0</v>
      </c>
      <c r="F1398" s="53" t="n">
        <v>0</v>
      </c>
      <c r="G1398" s="55" t="n">
        <v>0</v>
      </c>
      <c r="H1398" s="55" t="n">
        <v>0</v>
      </c>
      <c r="I1398" s="53" t="n">
        <v>41</v>
      </c>
      <c r="J1398" s="53" t="n">
        <v>55</v>
      </c>
      <c r="K1398" s="53" t="n">
        <v>0</v>
      </c>
      <c r="L1398" s="53" t="n">
        <v>0</v>
      </c>
      <c r="M1398" s="33">
        <f>F1398-E1398</f>
        <v/>
      </c>
      <c r="N1398" s="33">
        <f>L1398-K1398</f>
        <v/>
      </c>
    </row>
    <row r="1399">
      <c r="A1399" s="58" t="inlineStr">
        <is>
          <t>170079 Sigmond Liquors (A)</t>
        </is>
      </c>
      <c r="B1399" s="58" t="inlineStr">
        <is>
          <t>Hudson</t>
        </is>
      </c>
      <c r="C1399" s="58" t="inlineStr">
        <is>
          <t>Dylan Rubino</t>
        </is>
      </c>
      <c r="D1399" s="58" t="inlineStr">
        <is>
          <t>Off-premise</t>
        </is>
      </c>
      <c r="E1399" s="53" t="n">
        <v>0</v>
      </c>
      <c r="F1399" s="53" t="n">
        <v>0</v>
      </c>
      <c r="G1399" s="55" t="n">
        <v>0</v>
      </c>
      <c r="H1399" s="55" t="n">
        <v>0</v>
      </c>
      <c r="I1399" s="53" t="n">
        <v>59</v>
      </c>
      <c r="J1399" s="53" t="n">
        <v>66</v>
      </c>
      <c r="K1399" s="53" t="n">
        <v>0</v>
      </c>
      <c r="L1399" s="53" t="n">
        <v>0</v>
      </c>
      <c r="M1399" s="33">
        <f>F1399-E1399</f>
        <v/>
      </c>
      <c r="N1399" s="33">
        <f>L1399-K1399</f>
        <v/>
      </c>
    </row>
    <row r="1400">
      <c r="A1400" s="58" t="inlineStr">
        <is>
          <t>170081 A &amp; S Liquors</t>
        </is>
      </c>
      <c r="B1400" s="58" t="inlineStr">
        <is>
          <t>Hudson</t>
        </is>
      </c>
      <c r="C1400" s="58" t="inlineStr">
        <is>
          <t>Dylan Rubino</t>
        </is>
      </c>
      <c r="D1400" s="58" t="inlineStr">
        <is>
          <t>Off-premise</t>
        </is>
      </c>
      <c r="E1400" s="53" t="n">
        <v>0</v>
      </c>
      <c r="F1400" s="53" t="n">
        <v>0</v>
      </c>
      <c r="G1400" s="55" t="n">
        <v>0</v>
      </c>
      <c r="H1400" s="55" t="n">
        <v>0</v>
      </c>
      <c r="I1400" s="53" t="n">
        <v>102</v>
      </c>
      <c r="J1400" s="53" t="n">
        <v>71</v>
      </c>
      <c r="K1400" s="53" t="n">
        <v>0</v>
      </c>
      <c r="L1400" s="53" t="n">
        <v>0</v>
      </c>
      <c r="M1400" s="33">
        <f>F1400-E1400</f>
        <v/>
      </c>
      <c r="N1400" s="33">
        <f>L1400-K1400</f>
        <v/>
      </c>
    </row>
    <row r="1401">
      <c r="A1401" s="58" t="inlineStr">
        <is>
          <t>170082 Larry's Liquors</t>
        </is>
      </c>
      <c r="B1401" s="58" t="inlineStr">
        <is>
          <t>Hudson</t>
        </is>
      </c>
      <c r="C1401" s="58" t="inlineStr">
        <is>
          <t>Dylan Rubino</t>
        </is>
      </c>
      <c r="D1401" s="58" t="inlineStr">
        <is>
          <t>Off-premise</t>
        </is>
      </c>
      <c r="E1401" s="53" t="n">
        <v>0</v>
      </c>
      <c r="F1401" s="53" t="n">
        <v>0</v>
      </c>
      <c r="G1401" s="55" t="n">
        <v>0</v>
      </c>
      <c r="H1401" s="55" t="n">
        <v>0</v>
      </c>
      <c r="I1401" s="53" t="n">
        <v>36</v>
      </c>
      <c r="J1401" s="53" t="n">
        <v>37</v>
      </c>
      <c r="K1401" s="53" t="n">
        <v>0</v>
      </c>
      <c r="L1401" s="53" t="n">
        <v>0</v>
      </c>
      <c r="M1401" s="33">
        <f>F1401-E1401</f>
        <v/>
      </c>
      <c r="N1401" s="33">
        <f>L1401-K1401</f>
        <v/>
      </c>
    </row>
    <row r="1402">
      <c r="A1402" s="58" t="inlineStr">
        <is>
          <t>170083 Metro Liquor (69 Jersey City)</t>
        </is>
      </c>
      <c r="B1402" s="58" t="inlineStr">
        <is>
          <t>Hudson</t>
        </is>
      </c>
      <c r="C1402" s="58" t="inlineStr">
        <is>
          <t>Dylan Rubino</t>
        </is>
      </c>
      <c r="D1402" s="58" t="inlineStr">
        <is>
          <t>Off-premise</t>
        </is>
      </c>
      <c r="E1402" s="53" t="n">
        <v>0</v>
      </c>
      <c r="F1402" s="53" t="n">
        <v>0</v>
      </c>
      <c r="G1402" s="55" t="n">
        <v>0</v>
      </c>
      <c r="H1402" s="55" t="n">
        <v>0</v>
      </c>
      <c r="I1402" s="53" t="n">
        <v>74</v>
      </c>
      <c r="J1402" s="53" t="n">
        <v>84</v>
      </c>
      <c r="K1402" s="53" t="n">
        <v>0</v>
      </c>
      <c r="L1402" s="53" t="n">
        <v>0</v>
      </c>
      <c r="M1402" s="33">
        <f>F1402-E1402</f>
        <v/>
      </c>
      <c r="N1402" s="33">
        <f>L1402-K1402</f>
        <v/>
      </c>
    </row>
    <row r="1403">
      <c r="A1403" s="58" t="inlineStr">
        <is>
          <t>170187 325 Bergen Liquor</t>
        </is>
      </c>
      <c r="B1403" s="58" t="inlineStr">
        <is>
          <t>Hudson</t>
        </is>
      </c>
      <c r="C1403" s="58" t="inlineStr">
        <is>
          <t>Dylan Rubino</t>
        </is>
      </c>
      <c r="D1403" s="58" t="inlineStr">
        <is>
          <t>Off-premise</t>
        </is>
      </c>
      <c r="E1403" s="53" t="n">
        <v>0</v>
      </c>
      <c r="F1403" s="53" t="n">
        <v>0</v>
      </c>
      <c r="G1403" s="55" t="n">
        <v>0</v>
      </c>
      <c r="H1403" s="55" t="n">
        <v>0</v>
      </c>
      <c r="I1403" s="53" t="n">
        <v>53</v>
      </c>
      <c r="J1403" s="53" t="n">
        <v>15</v>
      </c>
      <c r="K1403" s="53" t="n">
        <v>0</v>
      </c>
      <c r="L1403" s="53" t="n">
        <v>0</v>
      </c>
      <c r="M1403" s="33">
        <f>F1403-E1403</f>
        <v/>
      </c>
      <c r="N1403" s="33">
        <f>L1403-K1403</f>
        <v/>
      </c>
    </row>
    <row r="1404">
      <c r="A1404" s="58" t="inlineStr">
        <is>
          <t>170188 Market Liquors</t>
        </is>
      </c>
      <c r="B1404" s="58" t="inlineStr">
        <is>
          <t>Hudson</t>
        </is>
      </c>
      <c r="C1404" s="58" t="inlineStr">
        <is>
          <t>Dylan Rubino</t>
        </is>
      </c>
      <c r="D1404" s="58" t="inlineStr">
        <is>
          <t>Off-premise</t>
        </is>
      </c>
      <c r="E1404" s="53" t="n">
        <v>0</v>
      </c>
      <c r="F1404" s="53" t="n">
        <v>0</v>
      </c>
      <c r="G1404" s="55" t="n">
        <v>0</v>
      </c>
      <c r="H1404" s="55" t="n">
        <v>0</v>
      </c>
      <c r="I1404" s="53" t="n">
        <v>67</v>
      </c>
      <c r="J1404" s="53" t="n">
        <v>58</v>
      </c>
      <c r="K1404" s="53" t="n">
        <v>0</v>
      </c>
      <c r="L1404" s="53" t="n">
        <v>0</v>
      </c>
      <c r="M1404" s="33">
        <f>F1404-E1404</f>
        <v/>
      </c>
      <c r="N1404" s="33">
        <f>L1404-K1404</f>
        <v/>
      </c>
    </row>
    <row r="1405">
      <c r="A1405" s="58" t="inlineStr">
        <is>
          <t>170189 Ocean One Stop Liquor</t>
        </is>
      </c>
      <c r="B1405" s="58" t="inlineStr">
        <is>
          <t>Hudson</t>
        </is>
      </c>
      <c r="C1405" s="58" t="inlineStr">
        <is>
          <t>Dylan Rubino</t>
        </is>
      </c>
      <c r="D1405" s="58" t="inlineStr">
        <is>
          <t>Off-premise</t>
        </is>
      </c>
      <c r="E1405" s="53" t="n">
        <v>0</v>
      </c>
      <c r="F1405" s="53" t="n">
        <v>0</v>
      </c>
      <c r="G1405" s="55" t="n">
        <v>0</v>
      </c>
      <c r="H1405" s="55" t="n">
        <v>0</v>
      </c>
      <c r="I1405" s="53" t="n">
        <v>158</v>
      </c>
      <c r="J1405" s="53" t="n">
        <v>51</v>
      </c>
      <c r="K1405" s="53" t="n">
        <v>0</v>
      </c>
      <c r="L1405" s="53" t="n">
        <v>0</v>
      </c>
      <c r="M1405" s="33">
        <f>F1405-E1405</f>
        <v/>
      </c>
      <c r="N1405" s="33">
        <f>L1405-K1405</f>
        <v/>
      </c>
    </row>
    <row r="1406">
      <c r="A1406" s="58" t="inlineStr">
        <is>
          <t>170222 E &amp; E Wine &amp; Liq (P)</t>
        </is>
      </c>
      <c r="B1406" s="58" t="inlineStr">
        <is>
          <t>Hudson</t>
        </is>
      </c>
      <c r="C1406" s="58" t="inlineStr">
        <is>
          <t>Dylan Rubino</t>
        </is>
      </c>
      <c r="D1406" s="58" t="inlineStr">
        <is>
          <t>Off-premise</t>
        </is>
      </c>
      <c r="E1406" s="53" t="n">
        <v>0</v>
      </c>
      <c r="F1406" s="53" t="n">
        <v>0</v>
      </c>
      <c r="G1406" s="55" t="n">
        <v>0</v>
      </c>
      <c r="H1406" s="55" t="n">
        <v>0</v>
      </c>
      <c r="I1406" s="53" t="n">
        <v>35</v>
      </c>
      <c r="J1406" s="53" t="n">
        <v>39</v>
      </c>
      <c r="K1406" s="53" t="n">
        <v>0</v>
      </c>
      <c r="L1406" s="53" t="n">
        <v>0</v>
      </c>
      <c r="M1406" s="33">
        <f>F1406-E1406</f>
        <v/>
      </c>
      <c r="N1406" s="33">
        <f>L1406-K1406</f>
        <v/>
      </c>
    </row>
    <row r="1407">
      <c r="A1407" s="58" t="inlineStr">
        <is>
          <t>170193 Mcginley Square Pub</t>
        </is>
      </c>
      <c r="B1407" s="58" t="inlineStr">
        <is>
          <t>Hudson</t>
        </is>
      </c>
      <c r="C1407" s="58" t="inlineStr">
        <is>
          <t>Dylan Rubino</t>
        </is>
      </c>
      <c r="D1407" s="58" t="inlineStr">
        <is>
          <t>On-premise</t>
        </is>
      </c>
      <c r="E1407" s="53" t="n">
        <v>0</v>
      </c>
      <c r="F1407" s="53" t="n">
        <v>0</v>
      </c>
      <c r="G1407" s="55" t="n">
        <v>0</v>
      </c>
      <c r="H1407" s="55" t="n">
        <v>0</v>
      </c>
      <c r="I1407" s="53" t="n">
        <v>47</v>
      </c>
      <c r="J1407" s="53" t="n">
        <v>27</v>
      </c>
      <c r="K1407" s="53" t="n">
        <v>0</v>
      </c>
      <c r="L1407" s="53" t="n">
        <v>0</v>
      </c>
      <c r="M1407" s="33">
        <f>F1407-E1407</f>
        <v/>
      </c>
      <c r="N1407" s="33">
        <f>L1407-K1407</f>
        <v/>
      </c>
    </row>
    <row r="1408">
      <c r="A1408" s="58" t="inlineStr">
        <is>
          <t>170262 Blarney Pub</t>
        </is>
      </c>
      <c r="B1408" s="58" t="inlineStr">
        <is>
          <t>Hudson</t>
        </is>
      </c>
      <c r="C1408" s="58" t="inlineStr">
        <is>
          <t>Dylan Rubino</t>
        </is>
      </c>
      <c r="D1408" s="58" t="inlineStr">
        <is>
          <t>Off-premise</t>
        </is>
      </c>
      <c r="E1408" s="53" t="n">
        <v>0</v>
      </c>
      <c r="F1408" s="53" t="n">
        <v>0</v>
      </c>
      <c r="G1408" s="55" t="n">
        <v>0</v>
      </c>
      <c r="H1408" s="55" t="n">
        <v>0</v>
      </c>
      <c r="I1408" s="53" t="n">
        <v>55</v>
      </c>
      <c r="J1408" s="53" t="n">
        <v>41</v>
      </c>
      <c r="K1408" s="53" t="n">
        <v>0</v>
      </c>
      <c r="L1408" s="53" t="n">
        <v>0</v>
      </c>
      <c r="M1408" s="33">
        <f>F1408-E1408</f>
        <v/>
      </c>
      <c r="N1408" s="33">
        <f>L1408-K1408</f>
        <v/>
      </c>
    </row>
    <row r="1409">
      <c r="A1409" s="58" t="inlineStr">
        <is>
          <t>170400 Yugs Liquors</t>
        </is>
      </c>
      <c r="B1409" s="58" t="inlineStr">
        <is>
          <t>Hudson</t>
        </is>
      </c>
      <c r="C1409" s="58" t="inlineStr">
        <is>
          <t>Dylan Rubino</t>
        </is>
      </c>
      <c r="D1409" s="58" t="inlineStr">
        <is>
          <t>Off-premise</t>
        </is>
      </c>
      <c r="E1409" s="53" t="n">
        <v>0</v>
      </c>
      <c r="F1409" s="53" t="n">
        <v>0</v>
      </c>
      <c r="G1409" s="55" t="n">
        <v>0</v>
      </c>
      <c r="H1409" s="55" t="n">
        <v>0</v>
      </c>
      <c r="I1409" s="53" t="n">
        <v>8</v>
      </c>
      <c r="J1409" s="53" t="n">
        <v>11</v>
      </c>
      <c r="K1409" s="53" t="n">
        <v>0</v>
      </c>
      <c r="L1409" s="53" t="n">
        <v>0</v>
      </c>
      <c r="M1409" s="33">
        <f>F1409-E1409</f>
        <v/>
      </c>
      <c r="N1409" s="33">
        <f>L1409-K1409</f>
        <v/>
      </c>
    </row>
    <row r="1410">
      <c r="A1410" s="58" t="inlineStr">
        <is>
          <t>170267 Grace O'malleys</t>
        </is>
      </c>
      <c r="B1410" s="58" t="inlineStr">
        <is>
          <t>Hudson</t>
        </is>
      </c>
      <c r="C1410" s="58" t="inlineStr">
        <is>
          <t>Dylan Rubino</t>
        </is>
      </c>
      <c r="D1410" s="58" t="inlineStr">
        <is>
          <t>On-premise</t>
        </is>
      </c>
      <c r="E1410" s="53" t="n">
        <v>0</v>
      </c>
      <c r="F1410" s="53" t="n">
        <v>0</v>
      </c>
      <c r="G1410" s="55" t="n">
        <v>0</v>
      </c>
      <c r="H1410" s="55" t="n">
        <v>0</v>
      </c>
      <c r="I1410" s="53" t="n">
        <v>83</v>
      </c>
      <c r="J1410" s="53" t="n">
        <v>48</v>
      </c>
      <c r="K1410" s="53" t="n">
        <v>0</v>
      </c>
      <c r="L1410" s="53" t="n">
        <v>0</v>
      </c>
      <c r="M1410" s="33">
        <f>F1410-E1410</f>
        <v/>
      </c>
      <c r="N1410" s="33">
        <f>L1410-K1410</f>
        <v/>
      </c>
    </row>
    <row r="1411">
      <c r="A1411" s="58" t="inlineStr">
        <is>
          <t>170914 Chili's Secaucus</t>
        </is>
      </c>
      <c r="B1411" s="58" t="inlineStr">
        <is>
          <t>Hudson</t>
        </is>
      </c>
      <c r="C1411" s="58" t="inlineStr">
        <is>
          <t>Dylan Rubino</t>
        </is>
      </c>
      <c r="D1411" s="58" t="inlineStr">
        <is>
          <t>On-premise</t>
        </is>
      </c>
      <c r="E1411" s="53" t="n">
        <v>0</v>
      </c>
      <c r="F1411" s="53" t="n">
        <v>0</v>
      </c>
      <c r="G1411" s="55" t="n">
        <v>0</v>
      </c>
      <c r="H1411" s="55" t="n">
        <v>0</v>
      </c>
      <c r="I1411" s="53" t="n">
        <v>14</v>
      </c>
      <c r="J1411" s="53" t="n">
        <v>0</v>
      </c>
      <c r="K1411" s="53" t="n">
        <v>0</v>
      </c>
      <c r="L1411" s="53" t="n">
        <v>0</v>
      </c>
      <c r="M1411" s="33">
        <f>F1411-E1411</f>
        <v/>
      </c>
      <c r="N1411" s="33">
        <f>L1411-K1411</f>
        <v/>
      </c>
    </row>
    <row r="1412">
      <c r="A1412" s="58" t="inlineStr">
        <is>
          <t>170257 Harrys Daughter</t>
        </is>
      </c>
      <c r="B1412" s="58" t="inlineStr">
        <is>
          <t>Hudson</t>
        </is>
      </c>
      <c r="C1412" s="58" t="inlineStr">
        <is>
          <t>Dylan Rubino</t>
        </is>
      </c>
      <c r="D1412" s="58" t="inlineStr">
        <is>
          <t>On-premise</t>
        </is>
      </c>
      <c r="E1412" s="53" t="n">
        <v>0</v>
      </c>
      <c r="F1412" s="53" t="n">
        <v>0</v>
      </c>
      <c r="G1412" s="55" t="n">
        <v>0</v>
      </c>
      <c r="H1412" s="55" t="n">
        <v>0</v>
      </c>
      <c r="I1412" s="53" t="n">
        <v>0</v>
      </c>
      <c r="J1412" s="53" t="n">
        <v>20</v>
      </c>
      <c r="K1412" s="53" t="n">
        <v>0</v>
      </c>
      <c r="L1412" s="53" t="n">
        <v>0</v>
      </c>
      <c r="M1412" s="33">
        <f>F1412-E1412</f>
        <v/>
      </c>
      <c r="N1412" s="33">
        <f>L1412-K1412</f>
        <v/>
      </c>
    </row>
    <row r="1413">
      <c r="A1413" s="58" t="inlineStr">
        <is>
          <t>171412 Left Bank Burger Bar (A)</t>
        </is>
      </c>
      <c r="B1413" s="58" t="inlineStr">
        <is>
          <t>Hudson</t>
        </is>
      </c>
      <c r="C1413" s="58" t="inlineStr">
        <is>
          <t>Dylan Rubino</t>
        </is>
      </c>
      <c r="D1413" s="58" t="inlineStr">
        <is>
          <t>On-premise</t>
        </is>
      </c>
      <c r="E1413" s="53" t="n">
        <v>0</v>
      </c>
      <c r="F1413" s="53" t="n">
        <v>0</v>
      </c>
      <c r="G1413" s="55" t="n">
        <v>0</v>
      </c>
      <c r="H1413" s="55" t="n">
        <v>0</v>
      </c>
      <c r="I1413" s="53" t="n">
        <v>14</v>
      </c>
      <c r="J1413" s="53" t="n">
        <v>14</v>
      </c>
      <c r="K1413" s="53" t="n">
        <v>0</v>
      </c>
      <c r="L1413" s="53" t="n">
        <v>0</v>
      </c>
      <c r="M1413" s="33">
        <f>F1413-E1413</f>
        <v/>
      </c>
      <c r="N1413" s="33">
        <f>L1413-K1413</f>
        <v/>
      </c>
    </row>
    <row r="1414">
      <c r="A1414" s="58" t="inlineStr">
        <is>
          <t>150066 New Home Liquor</t>
        </is>
      </c>
      <c r="B1414" s="58" t="inlineStr">
        <is>
          <t>Essex</t>
        </is>
      </c>
      <c r="C1414" s="58" t="inlineStr">
        <is>
          <t>Hakan Sadik</t>
        </is>
      </c>
      <c r="D1414" s="58" t="inlineStr">
        <is>
          <t>Off-premise</t>
        </is>
      </c>
      <c r="E1414" s="53" t="n">
        <v>0</v>
      </c>
      <c r="F1414" s="53" t="n">
        <v>0</v>
      </c>
      <c r="G1414" s="55" t="n">
        <v>0</v>
      </c>
      <c r="H1414" s="55" t="n">
        <v>0</v>
      </c>
      <c r="I1414" s="53" t="n">
        <v>129</v>
      </c>
      <c r="J1414" s="53" t="n">
        <v>59</v>
      </c>
      <c r="K1414" s="53" t="n">
        <v>0</v>
      </c>
      <c r="L1414" s="53" t="n">
        <v>0</v>
      </c>
      <c r="M1414" s="33">
        <f>F1414-E1414</f>
        <v/>
      </c>
      <c r="N1414" s="33">
        <f>L1414-K1414</f>
        <v/>
      </c>
    </row>
    <row r="1415">
      <c r="A1415" s="58" t="inlineStr">
        <is>
          <t>152032 Avenue Liquors</t>
        </is>
      </c>
      <c r="B1415" s="58" t="inlineStr">
        <is>
          <t>Essex</t>
        </is>
      </c>
      <c r="C1415" s="58" t="inlineStr">
        <is>
          <t>Hakan Sadik</t>
        </is>
      </c>
      <c r="D1415" s="58" t="inlineStr">
        <is>
          <t>Off-premise</t>
        </is>
      </c>
      <c r="E1415" s="53" t="n">
        <v>0</v>
      </c>
      <c r="F1415" s="53" t="n">
        <v>0</v>
      </c>
      <c r="G1415" s="55" t="n">
        <v>0</v>
      </c>
      <c r="H1415" s="55" t="n">
        <v>0</v>
      </c>
      <c r="I1415" s="53" t="n">
        <v>41</v>
      </c>
      <c r="J1415" s="53" t="n">
        <v>64</v>
      </c>
      <c r="K1415" s="53" t="n">
        <v>0</v>
      </c>
      <c r="L1415" s="53" t="n">
        <v>0</v>
      </c>
      <c r="M1415" s="33">
        <f>F1415-E1415</f>
        <v/>
      </c>
      <c r="N1415" s="33">
        <f>L1415-K1415</f>
        <v/>
      </c>
    </row>
    <row r="1416">
      <c r="A1416" s="58" t="inlineStr">
        <is>
          <t>150165 Marriott @Newark Liberty</t>
        </is>
      </c>
      <c r="B1416" s="58" t="inlineStr">
        <is>
          <t>Essex</t>
        </is>
      </c>
      <c r="C1416" s="58" t="inlineStr">
        <is>
          <t>Hakan Sadik</t>
        </is>
      </c>
      <c r="D1416" s="58" t="inlineStr">
        <is>
          <t>On-premise</t>
        </is>
      </c>
      <c r="E1416" s="53" t="n">
        <v>0</v>
      </c>
      <c r="F1416" s="53" t="n">
        <v>0</v>
      </c>
      <c r="G1416" s="55" t="n">
        <v>0</v>
      </c>
      <c r="H1416" s="55" t="n">
        <v>0</v>
      </c>
      <c r="I1416" s="53" t="n">
        <v>103</v>
      </c>
      <c r="J1416" s="53" t="n">
        <v>144</v>
      </c>
      <c r="K1416" s="53" t="n">
        <v>0</v>
      </c>
      <c r="L1416" s="53" t="n">
        <v>0</v>
      </c>
      <c r="M1416" s="33">
        <f>F1416-E1416</f>
        <v/>
      </c>
      <c r="N1416" s="33">
        <f>L1416-K1416</f>
        <v/>
      </c>
    </row>
    <row r="1417">
      <c r="A1417" s="58" t="inlineStr">
        <is>
          <t>150230 King's W &amp; L</t>
        </is>
      </c>
      <c r="B1417" s="58" t="inlineStr">
        <is>
          <t>Essex</t>
        </is>
      </c>
      <c r="C1417" s="58" t="inlineStr">
        <is>
          <t>Hakan Sadik</t>
        </is>
      </c>
      <c r="D1417" s="58" t="inlineStr">
        <is>
          <t>Off-premise</t>
        </is>
      </c>
      <c r="E1417" s="53" t="n">
        <v>0</v>
      </c>
      <c r="F1417" s="53" t="n">
        <v>0</v>
      </c>
      <c r="G1417" s="55" t="n">
        <v>0</v>
      </c>
      <c r="H1417" s="55" t="n">
        <v>0</v>
      </c>
      <c r="I1417" s="53" t="n">
        <v>147</v>
      </c>
      <c r="J1417" s="53" t="n">
        <v>99</v>
      </c>
      <c r="K1417" s="53" t="n">
        <v>0</v>
      </c>
      <c r="L1417" s="53" t="n">
        <v>0</v>
      </c>
      <c r="M1417" s="33">
        <f>F1417-E1417</f>
        <v/>
      </c>
      <c r="N1417" s="33">
        <f>L1417-K1417</f>
        <v/>
      </c>
    </row>
    <row r="1418">
      <c r="A1418" s="58" t="inlineStr">
        <is>
          <t>150183 Home Liquors(773 Newark)</t>
        </is>
      </c>
      <c r="B1418" s="58" t="inlineStr">
        <is>
          <t>Essex</t>
        </is>
      </c>
      <c r="C1418" s="58" t="inlineStr">
        <is>
          <t>Hakan Sadik</t>
        </is>
      </c>
      <c r="D1418" s="58" t="inlineStr">
        <is>
          <t>Off-premise</t>
        </is>
      </c>
      <c r="E1418" s="53" t="n">
        <v>0</v>
      </c>
      <c r="F1418" s="53" t="n">
        <v>0</v>
      </c>
      <c r="G1418" s="55" t="n">
        <v>0</v>
      </c>
      <c r="H1418" s="55" t="n">
        <v>0</v>
      </c>
      <c r="I1418" s="53" t="n">
        <v>509</v>
      </c>
      <c r="J1418" s="53" t="n">
        <v>361</v>
      </c>
      <c r="K1418" s="53" t="n">
        <v>0</v>
      </c>
      <c r="L1418" s="53" t="n">
        <v>0</v>
      </c>
      <c r="M1418" s="33">
        <f>F1418-E1418</f>
        <v/>
      </c>
      <c r="N1418" s="33">
        <f>L1418-K1418</f>
        <v/>
      </c>
    </row>
    <row r="1419">
      <c r="A1419" s="58" t="inlineStr">
        <is>
          <t>150024 Mcgovern's Tavern(A)</t>
        </is>
      </c>
      <c r="B1419" s="58" t="inlineStr">
        <is>
          <t>Essex</t>
        </is>
      </c>
      <c r="C1419" s="58" t="inlineStr">
        <is>
          <t>Hakan Sadik</t>
        </is>
      </c>
      <c r="D1419" s="58" t="inlineStr">
        <is>
          <t>On-premise</t>
        </is>
      </c>
      <c r="E1419" s="53" t="n">
        <v>0</v>
      </c>
      <c r="F1419" s="53" t="n">
        <v>0</v>
      </c>
      <c r="G1419" s="55" t="n">
        <v>0</v>
      </c>
      <c r="H1419" s="55" t="n">
        <v>0</v>
      </c>
      <c r="I1419" s="53" t="n">
        <v>94</v>
      </c>
      <c r="J1419" s="53" t="n">
        <v>58</v>
      </c>
      <c r="K1419" s="53" t="n">
        <v>0</v>
      </c>
      <c r="L1419" s="53" t="n">
        <v>0</v>
      </c>
      <c r="M1419" s="33">
        <f>F1419-E1419</f>
        <v/>
      </c>
      <c r="N1419" s="33">
        <f>L1419-K1419</f>
        <v/>
      </c>
    </row>
    <row r="1420">
      <c r="A1420" s="58" t="inlineStr">
        <is>
          <t>150092 Shillelagh Club</t>
        </is>
      </c>
      <c r="B1420" s="58" t="inlineStr">
        <is>
          <t>Essex</t>
        </is>
      </c>
      <c r="C1420" s="58" t="inlineStr">
        <is>
          <t>Hakan Sadik</t>
        </is>
      </c>
      <c r="D1420" s="58" t="inlineStr">
        <is>
          <t>On-premise</t>
        </is>
      </c>
      <c r="E1420" s="53" t="n">
        <v>0</v>
      </c>
      <c r="F1420" s="53" t="n">
        <v>0</v>
      </c>
      <c r="G1420" s="55" t="n">
        <v>0</v>
      </c>
      <c r="H1420" s="55" t="n">
        <v>0</v>
      </c>
      <c r="I1420" s="53" t="n">
        <v>10</v>
      </c>
      <c r="J1420" s="53" t="n">
        <v>8</v>
      </c>
      <c r="K1420" s="53" t="n">
        <v>0</v>
      </c>
      <c r="L1420" s="53" t="n">
        <v>0</v>
      </c>
      <c r="M1420" s="33">
        <f>F1420-E1420</f>
        <v/>
      </c>
      <c r="N1420" s="33">
        <f>L1420-K1420</f>
        <v/>
      </c>
    </row>
    <row r="1421">
      <c r="A1421" s="58" t="inlineStr">
        <is>
          <t>150151 Maple Liquors</t>
        </is>
      </c>
      <c r="B1421" s="58" t="inlineStr">
        <is>
          <t>Essex</t>
        </is>
      </c>
      <c r="C1421" s="58" t="inlineStr">
        <is>
          <t>Hakan Sadik</t>
        </is>
      </c>
      <c r="D1421" s="58" t="inlineStr">
        <is>
          <t>Off-premise</t>
        </is>
      </c>
      <c r="E1421" s="53" t="n">
        <v>0</v>
      </c>
      <c r="F1421" s="53" t="n">
        <v>0</v>
      </c>
      <c r="G1421" s="55" t="n">
        <v>0</v>
      </c>
      <c r="H1421" s="55" t="n">
        <v>0</v>
      </c>
      <c r="I1421" s="53" t="n">
        <v>341</v>
      </c>
      <c r="J1421" s="53" t="n">
        <v>291</v>
      </c>
      <c r="K1421" s="53" t="n">
        <v>0</v>
      </c>
      <c r="L1421" s="53" t="n">
        <v>0</v>
      </c>
      <c r="M1421" s="33">
        <f>F1421-E1421</f>
        <v/>
      </c>
      <c r="N1421" s="33">
        <f>L1421-K1421</f>
        <v/>
      </c>
    </row>
    <row r="1422">
      <c r="A1422" s="58" t="inlineStr">
        <is>
          <t>150163 Colony Liquors</t>
        </is>
      </c>
      <c r="B1422" s="58" t="inlineStr">
        <is>
          <t>Essex</t>
        </is>
      </c>
      <c r="C1422" s="58" t="inlineStr">
        <is>
          <t>Hakan Sadik</t>
        </is>
      </c>
      <c r="D1422" s="58" t="inlineStr">
        <is>
          <t>Off-premise</t>
        </is>
      </c>
      <c r="E1422" s="53" t="n">
        <v>0</v>
      </c>
      <c r="F1422" s="53" t="n">
        <v>0</v>
      </c>
      <c r="G1422" s="55" t="n">
        <v>0</v>
      </c>
      <c r="H1422" s="55" t="n">
        <v>0</v>
      </c>
      <c r="I1422" s="53" t="n">
        <v>103</v>
      </c>
      <c r="J1422" s="53" t="n">
        <v>50</v>
      </c>
      <c r="K1422" s="53" t="n">
        <v>0</v>
      </c>
      <c r="L1422" s="53" t="n">
        <v>0</v>
      </c>
      <c r="M1422" s="33">
        <f>F1422-E1422</f>
        <v/>
      </c>
      <c r="N1422" s="33">
        <f>L1422-K1422</f>
        <v/>
      </c>
    </row>
    <row r="1423">
      <c r="A1423" s="58" t="inlineStr">
        <is>
          <t>150164 Best Quality Liquor</t>
        </is>
      </c>
      <c r="B1423" s="58" t="inlineStr">
        <is>
          <t>Essex</t>
        </is>
      </c>
      <c r="C1423" s="58" t="inlineStr">
        <is>
          <t>Hakan Sadik</t>
        </is>
      </c>
      <c r="D1423" s="58" t="inlineStr">
        <is>
          <t>Off-premise</t>
        </is>
      </c>
      <c r="E1423" s="53" t="n">
        <v>0</v>
      </c>
      <c r="F1423" s="53" t="n">
        <v>0</v>
      </c>
      <c r="G1423" s="55" t="n">
        <v>0</v>
      </c>
      <c r="H1423" s="55" t="n">
        <v>0</v>
      </c>
      <c r="I1423" s="53" t="n">
        <v>72</v>
      </c>
      <c r="J1423" s="53" t="n">
        <v>20</v>
      </c>
      <c r="K1423" s="53" t="n">
        <v>0</v>
      </c>
      <c r="L1423" s="53" t="n">
        <v>0</v>
      </c>
      <c r="M1423" s="33">
        <f>F1423-E1423</f>
        <v/>
      </c>
      <c r="N1423" s="33">
        <f>L1423-K1423</f>
        <v/>
      </c>
    </row>
    <row r="1424">
      <c r="A1424" s="58" t="inlineStr">
        <is>
          <t>150211 Harmony Bar &amp; Liquors</t>
        </is>
      </c>
      <c r="B1424" s="58" t="inlineStr">
        <is>
          <t>Essex</t>
        </is>
      </c>
      <c r="C1424" s="58" t="inlineStr">
        <is>
          <t>Hakan Sadik</t>
        </is>
      </c>
      <c r="D1424" s="58" t="inlineStr">
        <is>
          <t>Off-premise</t>
        </is>
      </c>
      <c r="E1424" s="53" t="n">
        <v>0</v>
      </c>
      <c r="F1424" s="53" t="n">
        <v>0</v>
      </c>
      <c r="G1424" s="55" t="n">
        <v>0</v>
      </c>
      <c r="H1424" s="55" t="n">
        <v>0</v>
      </c>
      <c r="I1424" s="53" t="n">
        <v>332</v>
      </c>
      <c r="J1424" s="53" t="n">
        <v>200</v>
      </c>
      <c r="K1424" s="53" t="n">
        <v>0</v>
      </c>
      <c r="L1424" s="53" t="n">
        <v>0</v>
      </c>
      <c r="M1424" s="33">
        <f>F1424-E1424</f>
        <v/>
      </c>
      <c r="N1424" s="33">
        <f>L1424-K1424</f>
        <v/>
      </c>
    </row>
    <row r="1425">
      <c r="A1425" s="58" t="inlineStr">
        <is>
          <t>150212 Home Wines &amp; Liquors (Orange)</t>
        </is>
      </c>
      <c r="B1425" s="58" t="inlineStr">
        <is>
          <t>Essex</t>
        </is>
      </c>
      <c r="C1425" s="58" t="inlineStr">
        <is>
          <t>Hakan Sadik</t>
        </is>
      </c>
      <c r="D1425" s="58" t="inlineStr">
        <is>
          <t>Off-premise</t>
        </is>
      </c>
      <c r="E1425" s="53" t="n">
        <v>0</v>
      </c>
      <c r="F1425" s="53" t="n">
        <v>0</v>
      </c>
      <c r="G1425" s="55" t="n">
        <v>0</v>
      </c>
      <c r="H1425" s="55" t="n">
        <v>0</v>
      </c>
      <c r="I1425" s="53" t="n">
        <v>361</v>
      </c>
      <c r="J1425" s="53" t="n">
        <v>263</v>
      </c>
      <c r="K1425" s="53" t="n">
        <v>0</v>
      </c>
      <c r="L1425" s="53" t="n">
        <v>0</v>
      </c>
      <c r="M1425" s="33">
        <f>F1425-E1425</f>
        <v/>
      </c>
      <c r="N1425" s="33">
        <f>L1425-K1425</f>
        <v/>
      </c>
    </row>
    <row r="1426">
      <c r="A1426" s="58" t="inlineStr">
        <is>
          <t>150216 Brandy's Lounge And Liquors</t>
        </is>
      </c>
      <c r="B1426" s="58" t="inlineStr">
        <is>
          <t>Essex</t>
        </is>
      </c>
      <c r="C1426" s="58" t="inlineStr">
        <is>
          <t>Hakan Sadik</t>
        </is>
      </c>
      <c r="D1426" s="58" t="inlineStr">
        <is>
          <t>Off-premise</t>
        </is>
      </c>
      <c r="E1426" s="53" t="n">
        <v>0</v>
      </c>
      <c r="F1426" s="53" t="n">
        <v>0</v>
      </c>
      <c r="G1426" s="55" t="n">
        <v>0</v>
      </c>
      <c r="H1426" s="55" t="n">
        <v>0</v>
      </c>
      <c r="I1426" s="53" t="n">
        <v>110</v>
      </c>
      <c r="J1426" s="53" t="n">
        <v>139</v>
      </c>
      <c r="K1426" s="53" t="n">
        <v>0</v>
      </c>
      <c r="L1426" s="53" t="n">
        <v>0</v>
      </c>
      <c r="M1426" s="33">
        <f>F1426-E1426</f>
        <v/>
      </c>
      <c r="N1426" s="33">
        <f>L1426-K1426</f>
        <v/>
      </c>
    </row>
    <row r="1427">
      <c r="A1427" s="58" t="inlineStr">
        <is>
          <t>150221 Jonathan's Liquor Store</t>
        </is>
      </c>
      <c r="B1427" s="58" t="inlineStr">
        <is>
          <t>Essex</t>
        </is>
      </c>
      <c r="C1427" s="58" t="inlineStr">
        <is>
          <t>Hakan Sadik</t>
        </is>
      </c>
      <c r="D1427" s="58" t="inlineStr">
        <is>
          <t>Off-premise</t>
        </is>
      </c>
      <c r="E1427" s="53" t="n">
        <v>0</v>
      </c>
      <c r="F1427" s="53" t="n">
        <v>0</v>
      </c>
      <c r="G1427" s="55" t="n">
        <v>0</v>
      </c>
      <c r="H1427" s="55" t="n">
        <v>0</v>
      </c>
      <c r="I1427" s="53" t="n">
        <v>424</v>
      </c>
      <c r="J1427" s="53" t="n">
        <v>391</v>
      </c>
      <c r="K1427" s="53" t="n">
        <v>0</v>
      </c>
      <c r="L1427" s="53" t="n">
        <v>0</v>
      </c>
      <c r="M1427" s="33">
        <f>F1427-E1427</f>
        <v/>
      </c>
      <c r="N1427" s="33">
        <f>L1427-K1427</f>
        <v/>
      </c>
    </row>
    <row r="1428">
      <c r="A1428" s="58" t="inlineStr">
        <is>
          <t>150671 Al - Liquors</t>
        </is>
      </c>
      <c r="B1428" s="58" t="inlineStr">
        <is>
          <t>Essex</t>
        </is>
      </c>
      <c r="C1428" s="58" t="inlineStr">
        <is>
          <t>Hakan Sadik</t>
        </is>
      </c>
      <c r="D1428" s="58" t="inlineStr">
        <is>
          <t>Off-premise</t>
        </is>
      </c>
      <c r="E1428" s="53" t="n">
        <v>0</v>
      </c>
      <c r="F1428" s="53" t="n">
        <v>0</v>
      </c>
      <c r="G1428" s="55" t="n">
        <v>0</v>
      </c>
      <c r="H1428" s="55" t="n">
        <v>0</v>
      </c>
      <c r="I1428" s="53" t="n">
        <v>30</v>
      </c>
      <c r="J1428" s="53" t="n">
        <v>44</v>
      </c>
      <c r="K1428" s="53" t="n">
        <v>0</v>
      </c>
      <c r="L1428" s="53" t="n">
        <v>0</v>
      </c>
      <c r="M1428" s="33">
        <f>F1428-E1428</f>
        <v/>
      </c>
      <c r="N1428" s="33">
        <f>L1428-K1428</f>
        <v/>
      </c>
    </row>
    <row r="1429">
      <c r="A1429" s="58" t="inlineStr">
        <is>
          <t>150673 Krauszer's Food &amp; Wines</t>
        </is>
      </c>
      <c r="B1429" s="58" t="inlineStr">
        <is>
          <t>Essex</t>
        </is>
      </c>
      <c r="C1429" s="58" t="inlineStr">
        <is>
          <t>Hakan Sadik</t>
        </is>
      </c>
      <c r="D1429" s="58" t="inlineStr">
        <is>
          <t>Off-premise</t>
        </is>
      </c>
      <c r="E1429" s="53" t="n">
        <v>0</v>
      </c>
      <c r="F1429" s="53" t="n">
        <v>0</v>
      </c>
      <c r="G1429" s="55" t="n">
        <v>0</v>
      </c>
      <c r="H1429" s="55" t="n">
        <v>0</v>
      </c>
      <c r="I1429" s="53" t="n">
        <v>57</v>
      </c>
      <c r="J1429" s="53" t="n">
        <v>81</v>
      </c>
      <c r="K1429" s="53" t="n">
        <v>0</v>
      </c>
      <c r="L1429" s="53" t="n">
        <v>0</v>
      </c>
      <c r="M1429" s="33">
        <f>F1429-E1429</f>
        <v/>
      </c>
      <c r="N1429" s="33">
        <f>L1429-K1429</f>
        <v/>
      </c>
    </row>
    <row r="1430">
      <c r="A1430" s="58" t="inlineStr">
        <is>
          <t>152013 C &amp; D Liquors</t>
        </is>
      </c>
      <c r="B1430" s="58" t="inlineStr">
        <is>
          <t>Essex</t>
        </is>
      </c>
      <c r="C1430" s="58" t="inlineStr">
        <is>
          <t>Hakan Sadik</t>
        </is>
      </c>
      <c r="D1430" s="58" t="inlineStr">
        <is>
          <t>Off-premise</t>
        </is>
      </c>
      <c r="E1430" s="53" t="n">
        <v>0</v>
      </c>
      <c r="F1430" s="53" t="n">
        <v>0</v>
      </c>
      <c r="G1430" s="55" t="n">
        <v>0</v>
      </c>
      <c r="H1430" s="55" t="n">
        <v>0</v>
      </c>
      <c r="I1430" s="53" t="n">
        <v>106</v>
      </c>
      <c r="J1430" s="53" t="n">
        <v>184</v>
      </c>
      <c r="K1430" s="53" t="n">
        <v>0</v>
      </c>
      <c r="L1430" s="53" t="n">
        <v>0</v>
      </c>
      <c r="M1430" s="33">
        <f>F1430-E1430</f>
        <v/>
      </c>
      <c r="N1430" s="33">
        <f>L1430-K1430</f>
        <v/>
      </c>
    </row>
    <row r="1431">
      <c r="A1431" s="58" t="inlineStr">
        <is>
          <t>152027 Roseville Liquors &amp; Wines</t>
        </is>
      </c>
      <c r="B1431" s="58" t="inlineStr">
        <is>
          <t>Essex</t>
        </is>
      </c>
      <c r="C1431" s="58" t="inlineStr">
        <is>
          <t>Hakan Sadik</t>
        </is>
      </c>
      <c r="D1431" s="58" t="inlineStr">
        <is>
          <t>Off-premise</t>
        </is>
      </c>
      <c r="E1431" s="53" t="n">
        <v>0</v>
      </c>
      <c r="F1431" s="53" t="n">
        <v>0</v>
      </c>
      <c r="G1431" s="55" t="n">
        <v>0</v>
      </c>
      <c r="H1431" s="55" t="n">
        <v>0</v>
      </c>
      <c r="I1431" s="53" t="n">
        <v>50</v>
      </c>
      <c r="J1431" s="53" t="n">
        <v>57</v>
      </c>
      <c r="K1431" s="53" t="n">
        <v>0</v>
      </c>
      <c r="L1431" s="53" t="n">
        <v>0</v>
      </c>
      <c r="M1431" s="33">
        <f>F1431-E1431</f>
        <v/>
      </c>
      <c r="N1431" s="33">
        <f>L1431-K1431</f>
        <v/>
      </c>
    </row>
    <row r="1432">
      <c r="A1432" s="58" t="inlineStr">
        <is>
          <t>170070 Levy @ Sports Illustrated Stadium</t>
        </is>
      </c>
      <c r="B1432" s="58" t="inlineStr">
        <is>
          <t>Hudson</t>
        </is>
      </c>
      <c r="C1432" s="58" t="inlineStr">
        <is>
          <t>Hakan Sadik</t>
        </is>
      </c>
      <c r="D1432" s="58" t="inlineStr">
        <is>
          <t>On-premise</t>
        </is>
      </c>
      <c r="E1432" s="53" t="n">
        <v>0</v>
      </c>
      <c r="F1432" s="53" t="n">
        <v>0</v>
      </c>
      <c r="G1432" s="55" t="n">
        <v>0</v>
      </c>
      <c r="H1432" s="55" t="n">
        <v>0</v>
      </c>
      <c r="I1432" s="53" t="n">
        <v>0</v>
      </c>
      <c r="J1432" s="53" t="n">
        <v>100</v>
      </c>
      <c r="K1432" s="53" t="n">
        <v>0</v>
      </c>
      <c r="L1432" s="53" t="n">
        <v>0</v>
      </c>
      <c r="M1432" s="33">
        <f>F1432-E1432</f>
        <v/>
      </c>
      <c r="N1432" s="33">
        <f>L1432-K1432</f>
        <v/>
      </c>
    </row>
    <row r="1433">
      <c r="A1433" s="58" t="inlineStr">
        <is>
          <t>150191 Home Wines &amp; Liquors (927 Newark)</t>
        </is>
      </c>
      <c r="B1433" s="58" t="inlineStr">
        <is>
          <t>Essex</t>
        </is>
      </c>
      <c r="C1433" s="58" t="inlineStr">
        <is>
          <t>Hakan Sadik</t>
        </is>
      </c>
      <c r="D1433" s="58" t="inlineStr">
        <is>
          <t>Off-premise</t>
        </is>
      </c>
      <c r="E1433" s="53" t="n">
        <v>0</v>
      </c>
      <c r="F1433" s="53" t="n">
        <v>0</v>
      </c>
      <c r="G1433" s="55" t="n">
        <v>0</v>
      </c>
      <c r="H1433" s="55" t="n">
        <v>0</v>
      </c>
      <c r="I1433" s="53" t="n">
        <v>292</v>
      </c>
      <c r="J1433" s="53" t="n">
        <v>270</v>
      </c>
      <c r="K1433" s="53" t="n">
        <v>0</v>
      </c>
      <c r="L1433" s="53" t="n">
        <v>0</v>
      </c>
      <c r="M1433" s="33">
        <f>F1433-E1433</f>
        <v/>
      </c>
      <c r="N1433" s="33">
        <f>L1433-K1433</f>
        <v/>
      </c>
    </row>
    <row r="1434">
      <c r="A1434" s="58" t="inlineStr">
        <is>
          <t>152008 Chancellor Newark</t>
        </is>
      </c>
      <c r="B1434" s="58" t="inlineStr">
        <is>
          <t>Essex</t>
        </is>
      </c>
      <c r="C1434" s="58" t="inlineStr">
        <is>
          <t>Hakan Sadik</t>
        </is>
      </c>
      <c r="D1434" s="58" t="inlineStr">
        <is>
          <t>Off-premise</t>
        </is>
      </c>
      <c r="E1434" s="53" t="n">
        <v>0</v>
      </c>
      <c r="F1434" s="53" t="n">
        <v>0</v>
      </c>
      <c r="G1434" s="55" t="n">
        <v>0</v>
      </c>
      <c r="H1434" s="55" t="n">
        <v>0</v>
      </c>
      <c r="I1434" s="53" t="n">
        <v>129</v>
      </c>
      <c r="J1434" s="53" t="n">
        <v>129</v>
      </c>
      <c r="K1434" s="53" t="n">
        <v>0</v>
      </c>
      <c r="L1434" s="53" t="n">
        <v>0</v>
      </c>
      <c r="M1434" s="33">
        <f>F1434-E1434</f>
        <v/>
      </c>
      <c r="N1434" s="33">
        <f>L1434-K1434</f>
        <v/>
      </c>
    </row>
    <row r="1435">
      <c r="A1435" s="58" t="inlineStr">
        <is>
          <t>152011 Royal Liquor Ii</t>
        </is>
      </c>
      <c r="B1435" s="58" t="inlineStr">
        <is>
          <t>Essex</t>
        </is>
      </c>
      <c r="C1435" s="58" t="inlineStr">
        <is>
          <t>Hakan Sadik</t>
        </is>
      </c>
      <c r="D1435" s="58" t="inlineStr">
        <is>
          <t>Off-premise</t>
        </is>
      </c>
      <c r="E1435" s="53" t="n">
        <v>0</v>
      </c>
      <c r="F1435" s="53" t="n">
        <v>0</v>
      </c>
      <c r="G1435" s="55" t="n">
        <v>0</v>
      </c>
      <c r="H1435" s="55" t="n">
        <v>0</v>
      </c>
      <c r="I1435" s="53" t="n">
        <v>147</v>
      </c>
      <c r="J1435" s="53" t="n">
        <v>96</v>
      </c>
      <c r="K1435" s="53" t="n">
        <v>0</v>
      </c>
      <c r="L1435" s="53" t="n">
        <v>0</v>
      </c>
      <c r="M1435" s="33">
        <f>F1435-E1435</f>
        <v/>
      </c>
      <c r="N1435" s="33">
        <f>L1435-K1435</f>
        <v/>
      </c>
    </row>
    <row r="1436">
      <c r="A1436" s="58" t="inlineStr">
        <is>
          <t>152035 City Line Super Liquor</t>
        </is>
      </c>
      <c r="B1436" s="58" t="inlineStr">
        <is>
          <t>Essex</t>
        </is>
      </c>
      <c r="C1436" s="58" t="inlineStr">
        <is>
          <t>Hakan Sadik</t>
        </is>
      </c>
      <c r="D1436" s="58" t="inlineStr">
        <is>
          <t>Off-premise</t>
        </is>
      </c>
      <c r="E1436" s="53" t="n">
        <v>0</v>
      </c>
      <c r="F1436" s="53" t="n">
        <v>0</v>
      </c>
      <c r="G1436" s="55" t="n">
        <v>0</v>
      </c>
      <c r="H1436" s="55" t="n">
        <v>0</v>
      </c>
      <c r="I1436" s="53" t="n">
        <v>195</v>
      </c>
      <c r="J1436" s="53" t="n">
        <v>176</v>
      </c>
      <c r="K1436" s="53" t="n">
        <v>0</v>
      </c>
      <c r="L1436" s="53" t="n">
        <v>0</v>
      </c>
      <c r="M1436" s="33">
        <f>F1436-E1436</f>
        <v/>
      </c>
      <c r="N1436" s="33">
        <f>L1436-K1436</f>
        <v/>
      </c>
    </row>
    <row r="1437">
      <c r="A1437" s="58" t="inlineStr">
        <is>
          <t>150655 Lufthansa Business Lounge</t>
        </is>
      </c>
      <c r="B1437" s="58" t="inlineStr">
        <is>
          <t>Essex</t>
        </is>
      </c>
      <c r="C1437" s="58" t="inlineStr">
        <is>
          <t>Hakan Sadik</t>
        </is>
      </c>
      <c r="D1437" s="58" t="inlineStr">
        <is>
          <t>On-premise</t>
        </is>
      </c>
      <c r="E1437" s="53" t="n">
        <v>0</v>
      </c>
      <c r="F1437" s="53" t="n">
        <v>0</v>
      </c>
      <c r="G1437" s="55" t="n">
        <v>0</v>
      </c>
      <c r="H1437" s="55" t="n">
        <v>0</v>
      </c>
      <c r="I1437" s="53" t="n">
        <v>246</v>
      </c>
      <c r="J1437" s="53" t="n">
        <v>259</v>
      </c>
      <c r="K1437" s="53" t="n">
        <v>0</v>
      </c>
      <c r="L1437" s="53" t="n">
        <v>0</v>
      </c>
      <c r="M1437" s="33">
        <f>F1437-E1437</f>
        <v/>
      </c>
      <c r="N1437" s="33">
        <f>L1437-K1437</f>
        <v/>
      </c>
    </row>
    <row r="1438">
      <c r="A1438" s="58" t="inlineStr">
        <is>
          <t>150185 Redds Biergarten</t>
        </is>
      </c>
      <c r="B1438" s="58" t="inlineStr">
        <is>
          <t>Essex</t>
        </is>
      </c>
      <c r="C1438" s="58" t="inlineStr">
        <is>
          <t>Hakan Sadik</t>
        </is>
      </c>
      <c r="D1438" s="58" t="inlineStr">
        <is>
          <t>On-premise</t>
        </is>
      </c>
      <c r="E1438" s="53" t="n">
        <v>0</v>
      </c>
      <c r="F1438" s="53" t="n">
        <v>0</v>
      </c>
      <c r="G1438" s="55" t="n">
        <v>0</v>
      </c>
      <c r="H1438" s="55" t="n">
        <v>0</v>
      </c>
      <c r="I1438" s="53" t="n">
        <v>444</v>
      </c>
      <c r="J1438" s="53" t="n">
        <v>279</v>
      </c>
      <c r="K1438" s="53" t="n">
        <v>0</v>
      </c>
      <c r="L1438" s="53" t="n">
        <v>0</v>
      </c>
      <c r="M1438" s="33">
        <f>F1438-E1438</f>
        <v/>
      </c>
      <c r="N1438" s="33">
        <f>L1438-K1438</f>
        <v/>
      </c>
    </row>
    <row r="1439">
      <c r="A1439" s="58" t="inlineStr">
        <is>
          <t>150626 Pub At Njit</t>
        </is>
      </c>
      <c r="B1439" s="58" t="inlineStr">
        <is>
          <t>Essex</t>
        </is>
      </c>
      <c r="C1439" s="58" t="inlineStr">
        <is>
          <t>Hakan Sadik</t>
        </is>
      </c>
      <c r="D1439" s="58" t="inlineStr">
        <is>
          <t>On-premise</t>
        </is>
      </c>
      <c r="E1439" s="53" t="n">
        <v>0</v>
      </c>
      <c r="F1439" s="53" t="n">
        <v>0</v>
      </c>
      <c r="G1439" s="55" t="n">
        <v>0</v>
      </c>
      <c r="H1439" s="55" t="n">
        <v>0</v>
      </c>
      <c r="I1439" s="53" t="n">
        <v>23</v>
      </c>
      <c r="J1439" s="53" t="n">
        <v>23</v>
      </c>
      <c r="K1439" s="53" t="n">
        <v>0</v>
      </c>
      <c r="L1439" s="53" t="n">
        <v>0</v>
      </c>
      <c r="M1439" s="33">
        <f>F1439-E1439</f>
        <v/>
      </c>
      <c r="N1439" s="33">
        <f>L1439-K1439</f>
        <v/>
      </c>
    </row>
    <row r="1440">
      <c r="A1440" s="58" t="inlineStr">
        <is>
          <t>150062 United Liquor</t>
        </is>
      </c>
      <c r="B1440" s="58" t="inlineStr">
        <is>
          <t>Essex</t>
        </is>
      </c>
      <c r="C1440" s="58" t="inlineStr">
        <is>
          <t>Hakan Sadik</t>
        </is>
      </c>
      <c r="D1440" s="58" t="inlineStr">
        <is>
          <t>Off-premise</t>
        </is>
      </c>
      <c r="E1440" s="53" t="n">
        <v>0</v>
      </c>
      <c r="F1440" s="53" t="n">
        <v>0</v>
      </c>
      <c r="G1440" s="55" t="n">
        <v>0</v>
      </c>
      <c r="H1440" s="55" t="n">
        <v>0</v>
      </c>
      <c r="I1440" s="53" t="n">
        <v>189</v>
      </c>
      <c r="J1440" s="53" t="n">
        <v>186</v>
      </c>
      <c r="K1440" s="53" t="n">
        <v>0</v>
      </c>
      <c r="L1440" s="53" t="n">
        <v>0</v>
      </c>
      <c r="M1440" s="33">
        <f>F1440-E1440</f>
        <v/>
      </c>
      <c r="N1440" s="33">
        <f>L1440-K1440</f>
        <v/>
      </c>
    </row>
    <row r="1441">
      <c r="A1441" s="58" t="inlineStr">
        <is>
          <t>150065 Vailsburg Wine/Liq (A)</t>
        </is>
      </c>
      <c r="B1441" s="58" t="inlineStr">
        <is>
          <t>Essex</t>
        </is>
      </c>
      <c r="C1441" s="58" t="inlineStr">
        <is>
          <t>Hakan Sadik</t>
        </is>
      </c>
      <c r="D1441" s="58" t="inlineStr">
        <is>
          <t>Off-premise</t>
        </is>
      </c>
      <c r="E1441" s="53" t="n">
        <v>0</v>
      </c>
      <c r="F1441" s="53" t="n">
        <v>0</v>
      </c>
      <c r="G1441" s="55" t="n">
        <v>0</v>
      </c>
      <c r="H1441" s="55" t="n">
        <v>0</v>
      </c>
      <c r="I1441" s="53" t="n">
        <v>246</v>
      </c>
      <c r="J1441" s="53" t="n">
        <v>220</v>
      </c>
      <c r="K1441" s="53" t="n">
        <v>0</v>
      </c>
      <c r="L1441" s="53" t="n">
        <v>0</v>
      </c>
      <c r="M1441" s="33">
        <f>F1441-E1441</f>
        <v/>
      </c>
      <c r="N1441" s="33">
        <f>L1441-K1441</f>
        <v/>
      </c>
    </row>
    <row r="1442">
      <c r="A1442" s="58" t="inlineStr">
        <is>
          <t>150009 Gaslight Brewery &amp; Rest.</t>
        </is>
      </c>
      <c r="B1442" s="58" t="inlineStr">
        <is>
          <t>Essex</t>
        </is>
      </c>
      <c r="C1442" s="58" t="inlineStr">
        <is>
          <t>Hakan Sadik</t>
        </is>
      </c>
      <c r="D1442" s="58" t="inlineStr">
        <is>
          <t>On-premise</t>
        </is>
      </c>
      <c r="E1442" s="53" t="n">
        <v>0</v>
      </c>
      <c r="F1442" s="53" t="n">
        <v>0</v>
      </c>
      <c r="G1442" s="55" t="n">
        <v>0</v>
      </c>
      <c r="H1442" s="55" t="n">
        <v>0</v>
      </c>
      <c r="I1442" s="53" t="n">
        <v>24</v>
      </c>
      <c r="J1442" s="53" t="n">
        <v>0</v>
      </c>
      <c r="K1442" s="53" t="n">
        <v>0</v>
      </c>
      <c r="L1442" s="53" t="n">
        <v>0</v>
      </c>
      <c r="M1442" s="33">
        <f>F1442-E1442</f>
        <v/>
      </c>
      <c r="N1442" s="33">
        <f>L1442-K1442</f>
        <v/>
      </c>
    </row>
    <row r="1443">
      <c r="A1443" s="58" t="inlineStr">
        <is>
          <t>150245 Levy @ The Prudential Center</t>
        </is>
      </c>
      <c r="B1443" s="58" t="inlineStr">
        <is>
          <t>Essex</t>
        </is>
      </c>
      <c r="C1443" s="58" t="inlineStr">
        <is>
          <t>Hakan Sadik</t>
        </is>
      </c>
      <c r="D1443" s="58" t="inlineStr">
        <is>
          <t>On-premise</t>
        </is>
      </c>
      <c r="E1443" s="53" t="n">
        <v>0</v>
      </c>
      <c r="F1443" s="53" t="n">
        <v>0</v>
      </c>
      <c r="G1443" s="55" t="n">
        <v>0</v>
      </c>
      <c r="H1443" s="55" t="n">
        <v>0</v>
      </c>
      <c r="I1443" s="53" t="n">
        <v>0</v>
      </c>
      <c r="J1443" s="53" t="n">
        <v>145</v>
      </c>
      <c r="K1443" s="53" t="n">
        <v>0</v>
      </c>
      <c r="L1443" s="53" t="n">
        <v>0</v>
      </c>
      <c r="M1443" s="33">
        <f>F1443-E1443</f>
        <v/>
      </c>
      <c r="N1443" s="33">
        <f>L1443-K1443</f>
        <v/>
      </c>
    </row>
    <row r="1444">
      <c r="A1444" s="58" t="inlineStr">
        <is>
          <t>150063 Victory Wine &amp; Liquor</t>
        </is>
      </c>
      <c r="B1444" s="58" t="inlineStr">
        <is>
          <t>Essex</t>
        </is>
      </c>
      <c r="C1444" s="58" t="inlineStr">
        <is>
          <t>Hakan Sadik</t>
        </is>
      </c>
      <c r="D1444" s="58" t="inlineStr">
        <is>
          <t>Off-premise</t>
        </is>
      </c>
      <c r="E1444" s="53" t="n">
        <v>0</v>
      </c>
      <c r="F1444" s="53" t="n">
        <v>0</v>
      </c>
      <c r="G1444" s="55" t="n">
        <v>0</v>
      </c>
      <c r="H1444" s="55" t="n">
        <v>0</v>
      </c>
      <c r="I1444" s="53" t="n">
        <v>379</v>
      </c>
      <c r="J1444" s="53" t="n">
        <v>339</v>
      </c>
      <c r="K1444" s="53" t="n">
        <v>0</v>
      </c>
      <c r="L1444" s="53" t="n">
        <v>0</v>
      </c>
      <c r="M1444" s="33">
        <f>F1444-E1444</f>
        <v/>
      </c>
      <c r="N1444" s="33">
        <f>L1444-K1444</f>
        <v/>
      </c>
    </row>
    <row r="1445">
      <c r="A1445" s="58" t="inlineStr">
        <is>
          <t>150603 Quality Liquors</t>
        </is>
      </c>
      <c r="B1445" s="58" t="inlineStr">
        <is>
          <t>Essex</t>
        </is>
      </c>
      <c r="C1445" s="58" t="inlineStr">
        <is>
          <t>Hakan Sadik</t>
        </is>
      </c>
      <c r="D1445" s="58" t="inlineStr">
        <is>
          <t>Off-premise</t>
        </is>
      </c>
      <c r="E1445" s="53" t="n">
        <v>0</v>
      </c>
      <c r="F1445" s="53" t="n">
        <v>0</v>
      </c>
      <c r="G1445" s="55" t="n">
        <v>0</v>
      </c>
      <c r="H1445" s="55" t="n">
        <v>0</v>
      </c>
      <c r="I1445" s="53" t="n">
        <v>492</v>
      </c>
      <c r="J1445" s="53" t="n">
        <v>426</v>
      </c>
      <c r="K1445" s="53" t="n">
        <v>0</v>
      </c>
      <c r="L1445" s="53" t="n">
        <v>0</v>
      </c>
      <c r="M1445" s="33">
        <f>F1445-E1445</f>
        <v/>
      </c>
      <c r="N1445" s="33">
        <f>L1445-K1445</f>
        <v/>
      </c>
    </row>
    <row r="1446">
      <c r="A1446" s="58" t="inlineStr">
        <is>
          <t>150639 Azcona Liquors</t>
        </is>
      </c>
      <c r="B1446" s="58" t="inlineStr">
        <is>
          <t>Essex</t>
        </is>
      </c>
      <c r="C1446" s="58" t="inlineStr">
        <is>
          <t>Hakan Sadik</t>
        </is>
      </c>
      <c r="D1446" s="58" t="inlineStr">
        <is>
          <t>Off-premise</t>
        </is>
      </c>
      <c r="E1446" s="53" t="n">
        <v>0</v>
      </c>
      <c r="F1446" s="53" t="n">
        <v>0</v>
      </c>
      <c r="G1446" s="55" t="n">
        <v>0</v>
      </c>
      <c r="H1446" s="55" t="n">
        <v>0</v>
      </c>
      <c r="I1446" s="53" t="n">
        <v>165</v>
      </c>
      <c r="J1446" s="53" t="n">
        <v>142</v>
      </c>
      <c r="K1446" s="53" t="n">
        <v>0</v>
      </c>
      <c r="L1446" s="53" t="n">
        <v>0</v>
      </c>
      <c r="M1446" s="33">
        <f>F1446-E1446</f>
        <v/>
      </c>
      <c r="N1446" s="33">
        <f>L1446-K1446</f>
        <v/>
      </c>
    </row>
    <row r="1447">
      <c r="A1447" s="58" t="inlineStr">
        <is>
          <t>150061 Heller &amp; Heller (East Orange)</t>
        </is>
      </c>
      <c r="B1447" s="58" t="inlineStr">
        <is>
          <t>Essex</t>
        </is>
      </c>
      <c r="C1447" s="58" t="inlineStr">
        <is>
          <t>Hakan Sadik</t>
        </is>
      </c>
      <c r="D1447" s="58" t="inlineStr">
        <is>
          <t>Off-premise</t>
        </is>
      </c>
      <c r="E1447" s="53" t="n">
        <v>0</v>
      </c>
      <c r="F1447" s="53" t="n">
        <v>0</v>
      </c>
      <c r="G1447" s="55" t="n">
        <v>0</v>
      </c>
      <c r="H1447" s="55" t="n">
        <v>0</v>
      </c>
      <c r="I1447" s="53" t="n">
        <v>52</v>
      </c>
      <c r="J1447" s="53" t="n">
        <v>0</v>
      </c>
      <c r="K1447" s="53" t="n">
        <v>0</v>
      </c>
      <c r="L1447" s="53" t="n">
        <v>0</v>
      </c>
      <c r="M1447" s="33">
        <f>F1447-E1447</f>
        <v/>
      </c>
      <c r="N1447" s="33">
        <f>L1447-K1447</f>
        <v/>
      </c>
    </row>
    <row r="1448">
      <c r="A1448" s="58" t="inlineStr">
        <is>
          <t>150064 New Silver Key Liquor</t>
        </is>
      </c>
      <c r="B1448" s="58" t="inlineStr">
        <is>
          <t>Essex</t>
        </is>
      </c>
      <c r="C1448" s="58" t="inlineStr">
        <is>
          <t>Hakan Sadik</t>
        </is>
      </c>
      <c r="D1448" s="58" t="inlineStr">
        <is>
          <t>Off-premise</t>
        </is>
      </c>
      <c r="E1448" s="53" t="n">
        <v>0</v>
      </c>
      <c r="F1448" s="53" t="n">
        <v>0</v>
      </c>
      <c r="G1448" s="55" t="n">
        <v>0</v>
      </c>
      <c r="H1448" s="55" t="n">
        <v>0</v>
      </c>
      <c r="I1448" s="53" t="n">
        <v>51</v>
      </c>
      <c r="J1448" s="53" t="n">
        <v>27</v>
      </c>
      <c r="K1448" s="53" t="n">
        <v>0</v>
      </c>
      <c r="L1448" s="53" t="n">
        <v>0</v>
      </c>
      <c r="M1448" s="33">
        <f>F1448-E1448</f>
        <v/>
      </c>
      <c r="N1448" s="33">
        <f>L1448-K1448</f>
        <v/>
      </c>
    </row>
    <row r="1449">
      <c r="A1449" s="58" t="inlineStr">
        <is>
          <t>150068 Rajashree Wine &amp; Liq</t>
        </is>
      </c>
      <c r="B1449" s="58" t="inlineStr">
        <is>
          <t>Essex</t>
        </is>
      </c>
      <c r="C1449" s="58" t="inlineStr">
        <is>
          <t>Hakan Sadik</t>
        </is>
      </c>
      <c r="D1449" s="58" t="inlineStr">
        <is>
          <t>Off-premise</t>
        </is>
      </c>
      <c r="E1449" s="53" t="n">
        <v>0</v>
      </c>
      <c r="F1449" s="53" t="n">
        <v>0</v>
      </c>
      <c r="G1449" s="55" t="n">
        <v>0</v>
      </c>
      <c r="H1449" s="55" t="n">
        <v>0</v>
      </c>
      <c r="I1449" s="53" t="n">
        <v>48</v>
      </c>
      <c r="J1449" s="53" t="n">
        <v>27</v>
      </c>
      <c r="K1449" s="53" t="n">
        <v>0</v>
      </c>
      <c r="L1449" s="53" t="n">
        <v>0</v>
      </c>
      <c r="M1449" s="33">
        <f>F1449-E1449</f>
        <v/>
      </c>
      <c r="N1449" s="33">
        <f>L1449-K1449</f>
        <v/>
      </c>
    </row>
    <row r="1450">
      <c r="A1450" s="58" t="inlineStr">
        <is>
          <t>150220 New JD Liquors</t>
        </is>
      </c>
      <c r="B1450" s="58" t="inlineStr">
        <is>
          <t>Essex</t>
        </is>
      </c>
      <c r="C1450" s="58" t="inlineStr">
        <is>
          <t>Hakan Sadik</t>
        </is>
      </c>
      <c r="D1450" s="58" t="inlineStr">
        <is>
          <t>Off-premise</t>
        </is>
      </c>
      <c r="E1450" s="53" t="n">
        <v>0</v>
      </c>
      <c r="F1450" s="53" t="n">
        <v>0</v>
      </c>
      <c r="G1450" s="55" t="n">
        <v>0</v>
      </c>
      <c r="H1450" s="55" t="n">
        <v>0</v>
      </c>
      <c r="I1450" s="53" t="n">
        <v>45</v>
      </c>
      <c r="J1450" s="53" t="n">
        <v>49</v>
      </c>
      <c r="K1450" s="53" t="n">
        <v>0</v>
      </c>
      <c r="L1450" s="53" t="n">
        <v>0</v>
      </c>
      <c r="M1450" s="33">
        <f>F1450-E1450</f>
        <v/>
      </c>
      <c r="N1450" s="33">
        <f>L1450-K1450</f>
        <v/>
      </c>
    </row>
    <row r="1451">
      <c r="A1451" s="58" t="inlineStr">
        <is>
          <t>150222 Tremont Liquors</t>
        </is>
      </c>
      <c r="B1451" s="58" t="inlineStr">
        <is>
          <t>Essex</t>
        </is>
      </c>
      <c r="C1451" s="58" t="inlineStr">
        <is>
          <t>Hakan Sadik</t>
        </is>
      </c>
      <c r="D1451" s="58" t="inlineStr">
        <is>
          <t>Off-premise</t>
        </is>
      </c>
      <c r="E1451" s="53" t="n">
        <v>0</v>
      </c>
      <c r="F1451" s="53" t="n">
        <v>0</v>
      </c>
      <c r="G1451" s="55" t="n">
        <v>0</v>
      </c>
      <c r="H1451" s="55" t="n">
        <v>0</v>
      </c>
      <c r="I1451" s="53" t="n">
        <v>55</v>
      </c>
      <c r="J1451" s="53" t="n">
        <v>50</v>
      </c>
      <c r="K1451" s="53" t="n">
        <v>0</v>
      </c>
      <c r="L1451" s="53" t="n">
        <v>0</v>
      </c>
      <c r="M1451" s="33">
        <f>F1451-E1451</f>
        <v/>
      </c>
      <c r="N1451" s="33">
        <f>L1451-K1451</f>
        <v/>
      </c>
    </row>
    <row r="1452">
      <c r="A1452" s="58" t="inlineStr">
        <is>
          <t>150223 New Gold Rose Liquors</t>
        </is>
      </c>
      <c r="B1452" s="58" t="inlineStr">
        <is>
          <t>Essex</t>
        </is>
      </c>
      <c r="C1452" s="58" t="inlineStr">
        <is>
          <t>Hakan Sadik</t>
        </is>
      </c>
      <c r="D1452" s="58" t="inlineStr">
        <is>
          <t>Off-premise</t>
        </is>
      </c>
      <c r="E1452" s="53" t="n">
        <v>0</v>
      </c>
      <c r="F1452" s="53" t="n">
        <v>0</v>
      </c>
      <c r="G1452" s="55" t="n">
        <v>0</v>
      </c>
      <c r="H1452" s="55" t="n">
        <v>0</v>
      </c>
      <c r="I1452" s="53" t="n">
        <v>112</v>
      </c>
      <c r="J1452" s="53" t="n">
        <v>105</v>
      </c>
      <c r="K1452" s="53" t="n">
        <v>0</v>
      </c>
      <c r="L1452" s="53" t="n">
        <v>0</v>
      </c>
      <c r="M1452" s="33">
        <f>F1452-E1452</f>
        <v/>
      </c>
      <c r="N1452" s="33">
        <f>L1452-K1452</f>
        <v/>
      </c>
    </row>
    <row r="1453">
      <c r="A1453" s="58" t="inlineStr">
        <is>
          <t>150226 Silver Wine &amp; Liquor</t>
        </is>
      </c>
      <c r="B1453" s="58" t="inlineStr">
        <is>
          <t>Essex</t>
        </is>
      </c>
      <c r="C1453" s="58" t="inlineStr">
        <is>
          <t>Hakan Sadik</t>
        </is>
      </c>
      <c r="D1453" s="58" t="inlineStr">
        <is>
          <t>Off-premise</t>
        </is>
      </c>
      <c r="E1453" s="53" t="n">
        <v>0</v>
      </c>
      <c r="F1453" s="53" t="n">
        <v>0</v>
      </c>
      <c r="G1453" s="55" t="n">
        <v>0</v>
      </c>
      <c r="H1453" s="55" t="n">
        <v>0</v>
      </c>
      <c r="I1453" s="53" t="n">
        <v>111</v>
      </c>
      <c r="J1453" s="53" t="n">
        <v>95</v>
      </c>
      <c r="K1453" s="53" t="n">
        <v>0</v>
      </c>
      <c r="L1453" s="53" t="n">
        <v>0</v>
      </c>
      <c r="M1453" s="33">
        <f>F1453-E1453</f>
        <v/>
      </c>
      <c r="N1453" s="33">
        <f>L1453-K1453</f>
        <v/>
      </c>
    </row>
    <row r="1454">
      <c r="A1454" s="58" t="inlineStr">
        <is>
          <t>150604 Royal Liquors</t>
        </is>
      </c>
      <c r="B1454" s="58" t="inlineStr">
        <is>
          <t>Essex</t>
        </is>
      </c>
      <c r="C1454" s="58" t="inlineStr">
        <is>
          <t>Hakan Sadik</t>
        </is>
      </c>
      <c r="D1454" s="58" t="inlineStr">
        <is>
          <t>Off-premise</t>
        </is>
      </c>
      <c r="E1454" s="53" t="n">
        <v>0</v>
      </c>
      <c r="F1454" s="53" t="n">
        <v>0</v>
      </c>
      <c r="G1454" s="55" t="n">
        <v>0</v>
      </c>
      <c r="H1454" s="55" t="n">
        <v>0</v>
      </c>
      <c r="I1454" s="53" t="n">
        <v>73</v>
      </c>
      <c r="J1454" s="53" t="n">
        <v>50</v>
      </c>
      <c r="K1454" s="53" t="n">
        <v>0</v>
      </c>
      <c r="L1454" s="53" t="n">
        <v>0</v>
      </c>
      <c r="M1454" s="33">
        <f>F1454-E1454</f>
        <v/>
      </c>
      <c r="N1454" s="33">
        <f>L1454-K1454</f>
        <v/>
      </c>
    </row>
    <row r="1455">
      <c r="A1455" s="58" t="inlineStr">
        <is>
          <t>150607 Angel Liquors</t>
        </is>
      </c>
      <c r="B1455" s="58" t="inlineStr">
        <is>
          <t>Essex</t>
        </is>
      </c>
      <c r="C1455" s="58" t="inlineStr">
        <is>
          <t>Hakan Sadik</t>
        </is>
      </c>
      <c r="D1455" s="58" t="inlineStr">
        <is>
          <t>Off-premise</t>
        </is>
      </c>
      <c r="E1455" s="53" t="n">
        <v>0</v>
      </c>
      <c r="F1455" s="53" t="n">
        <v>0</v>
      </c>
      <c r="G1455" s="55" t="n">
        <v>0</v>
      </c>
      <c r="H1455" s="55" t="n">
        <v>0</v>
      </c>
      <c r="I1455" s="53" t="n">
        <v>132</v>
      </c>
      <c r="J1455" s="53" t="n">
        <v>78</v>
      </c>
      <c r="K1455" s="53" t="n">
        <v>0</v>
      </c>
      <c r="L1455" s="53" t="n">
        <v>0</v>
      </c>
      <c r="M1455" s="33">
        <f>F1455-E1455</f>
        <v/>
      </c>
      <c r="N1455" s="33">
        <f>L1455-K1455</f>
        <v/>
      </c>
    </row>
    <row r="1456">
      <c r="A1456" s="58" t="inlineStr">
        <is>
          <t>150613 Coopers Liquor &amp; Deli</t>
        </is>
      </c>
      <c r="B1456" s="58" t="inlineStr">
        <is>
          <t>Essex</t>
        </is>
      </c>
      <c r="C1456" s="58" t="inlineStr">
        <is>
          <t>Hakan Sadik</t>
        </is>
      </c>
      <c r="D1456" s="58" t="inlineStr">
        <is>
          <t>Unmatched</t>
        </is>
      </c>
      <c r="E1456" s="53" t="n">
        <v>0</v>
      </c>
      <c r="F1456" s="53" t="n">
        <v>0</v>
      </c>
      <c r="G1456" s="55" t="n">
        <v>0</v>
      </c>
      <c r="H1456" s="55" t="n">
        <v>0</v>
      </c>
      <c r="I1456" s="53" t="n">
        <v>45</v>
      </c>
      <c r="J1456" s="53" t="n">
        <v>0</v>
      </c>
      <c r="K1456" s="53" t="n">
        <v>0</v>
      </c>
      <c r="L1456" s="53" t="n">
        <v>0</v>
      </c>
      <c r="M1456" s="33">
        <f>F1456-E1456</f>
        <v/>
      </c>
      <c r="N1456" s="33">
        <f>L1456-K1456</f>
        <v/>
      </c>
    </row>
    <row r="1457">
      <c r="A1457" s="58" t="inlineStr">
        <is>
          <t>150616 JRC Liquor</t>
        </is>
      </c>
      <c r="B1457" s="58" t="inlineStr">
        <is>
          <t>Essex</t>
        </is>
      </c>
      <c r="C1457" s="58" t="inlineStr">
        <is>
          <t>Hakan Sadik</t>
        </is>
      </c>
      <c r="D1457" s="58" t="inlineStr">
        <is>
          <t>Off-premise</t>
        </is>
      </c>
      <c r="E1457" s="53" t="n">
        <v>0</v>
      </c>
      <c r="F1457" s="53" t="n">
        <v>0</v>
      </c>
      <c r="G1457" s="55" t="n">
        <v>0</v>
      </c>
      <c r="H1457" s="55" t="n">
        <v>0</v>
      </c>
      <c r="I1457" s="53" t="n">
        <v>310</v>
      </c>
      <c r="J1457" s="53" t="n">
        <v>211</v>
      </c>
      <c r="K1457" s="53" t="n">
        <v>0</v>
      </c>
      <c r="L1457" s="53" t="n">
        <v>0</v>
      </c>
      <c r="M1457" s="33">
        <f>F1457-E1457</f>
        <v/>
      </c>
      <c r="N1457" s="33">
        <f>L1457-K1457</f>
        <v/>
      </c>
    </row>
    <row r="1458">
      <c r="A1458" s="58" t="inlineStr">
        <is>
          <t>150637 Mayfair Wine &amp; Liquors</t>
        </is>
      </c>
      <c r="B1458" s="58" t="inlineStr">
        <is>
          <t>Essex</t>
        </is>
      </c>
      <c r="C1458" s="58" t="inlineStr">
        <is>
          <t>Hakan Sadik</t>
        </is>
      </c>
      <c r="D1458" s="58" t="inlineStr">
        <is>
          <t>Off-premise</t>
        </is>
      </c>
      <c r="E1458" s="53" t="n">
        <v>0</v>
      </c>
      <c r="F1458" s="53" t="n">
        <v>0</v>
      </c>
      <c r="G1458" s="55" t="n">
        <v>0</v>
      </c>
      <c r="H1458" s="55" t="n">
        <v>0</v>
      </c>
      <c r="I1458" s="53" t="n">
        <v>93</v>
      </c>
      <c r="J1458" s="53" t="n">
        <v>86</v>
      </c>
      <c r="K1458" s="53" t="n">
        <v>0</v>
      </c>
      <c r="L1458" s="53" t="n">
        <v>0</v>
      </c>
      <c r="M1458" s="33">
        <f>F1458-E1458</f>
        <v/>
      </c>
      <c r="N1458" s="33">
        <f>L1458-K1458</f>
        <v/>
      </c>
    </row>
    <row r="1459">
      <c r="A1459" s="58" t="inlineStr">
        <is>
          <t>150638 New Silver Key Liq Ii</t>
        </is>
      </c>
      <c r="B1459" s="58" t="inlineStr">
        <is>
          <t>Essex</t>
        </is>
      </c>
      <c r="C1459" s="58" t="inlineStr">
        <is>
          <t>Hakan Sadik</t>
        </is>
      </c>
      <c r="D1459" s="58" t="inlineStr">
        <is>
          <t>Off-premise</t>
        </is>
      </c>
      <c r="E1459" s="53" t="n">
        <v>0</v>
      </c>
      <c r="F1459" s="53" t="n">
        <v>0</v>
      </c>
      <c r="G1459" s="55" t="n">
        <v>0</v>
      </c>
      <c r="H1459" s="55" t="n">
        <v>0</v>
      </c>
      <c r="I1459" s="53" t="n">
        <v>130</v>
      </c>
      <c r="J1459" s="53" t="n">
        <v>138</v>
      </c>
      <c r="K1459" s="53" t="n">
        <v>0</v>
      </c>
      <c r="L1459" s="53" t="n">
        <v>0</v>
      </c>
      <c r="M1459" s="33">
        <f>F1459-E1459</f>
        <v/>
      </c>
      <c r="N1459" s="33">
        <f>L1459-K1459</f>
        <v/>
      </c>
    </row>
    <row r="1460">
      <c r="A1460" s="58" t="inlineStr">
        <is>
          <t>150645 Best Brother Liquor</t>
        </is>
      </c>
      <c r="B1460" s="58" t="inlineStr">
        <is>
          <t>Essex</t>
        </is>
      </c>
      <c r="C1460" s="58" t="inlineStr">
        <is>
          <t>Hakan Sadik</t>
        </is>
      </c>
      <c r="D1460" s="58" t="inlineStr">
        <is>
          <t>Off-premise</t>
        </is>
      </c>
      <c r="E1460" s="53" t="n">
        <v>0</v>
      </c>
      <c r="F1460" s="53" t="n">
        <v>0</v>
      </c>
      <c r="G1460" s="55" t="n">
        <v>0</v>
      </c>
      <c r="H1460" s="55" t="n">
        <v>0</v>
      </c>
      <c r="I1460" s="53" t="n">
        <v>205</v>
      </c>
      <c r="J1460" s="53" t="n">
        <v>191</v>
      </c>
      <c r="K1460" s="53" t="n">
        <v>0</v>
      </c>
      <c r="L1460" s="53" t="n">
        <v>0</v>
      </c>
      <c r="M1460" s="33">
        <f>F1460-E1460</f>
        <v/>
      </c>
      <c r="N1460" s="33">
        <f>L1460-K1460</f>
        <v/>
      </c>
    </row>
    <row r="1461">
      <c r="A1461" s="58" t="inlineStr">
        <is>
          <t>150646 Tonys Liquors #2</t>
        </is>
      </c>
      <c r="B1461" s="58" t="inlineStr">
        <is>
          <t>Essex</t>
        </is>
      </c>
      <c r="C1461" s="58" t="inlineStr">
        <is>
          <t>Hakan Sadik</t>
        </is>
      </c>
      <c r="D1461" s="58" t="inlineStr">
        <is>
          <t>Off-premise</t>
        </is>
      </c>
      <c r="E1461" s="53" t="n">
        <v>0</v>
      </c>
      <c r="F1461" s="53" t="n">
        <v>0</v>
      </c>
      <c r="G1461" s="55" t="n">
        <v>0</v>
      </c>
      <c r="H1461" s="55" t="n">
        <v>0</v>
      </c>
      <c r="I1461" s="53" t="n">
        <v>172</v>
      </c>
      <c r="J1461" s="53" t="n">
        <v>101</v>
      </c>
      <c r="K1461" s="53" t="n">
        <v>0</v>
      </c>
      <c r="L1461" s="53" t="n">
        <v>0</v>
      </c>
      <c r="M1461" s="33">
        <f>F1461-E1461</f>
        <v/>
      </c>
      <c r="N1461" s="33">
        <f>L1461-K1461</f>
        <v/>
      </c>
    </row>
    <row r="1462">
      <c r="A1462" s="58" t="inlineStr">
        <is>
          <t>150647 Home Town Clinton</t>
        </is>
      </c>
      <c r="B1462" s="58" t="inlineStr">
        <is>
          <t>Essex</t>
        </is>
      </c>
      <c r="C1462" s="58" t="inlineStr">
        <is>
          <t>Hakan Sadik</t>
        </is>
      </c>
      <c r="D1462" s="58" t="inlineStr">
        <is>
          <t>Off-premise</t>
        </is>
      </c>
      <c r="E1462" s="53" t="n">
        <v>0</v>
      </c>
      <c r="F1462" s="53" t="n">
        <v>0</v>
      </c>
      <c r="G1462" s="55" t="n">
        <v>0</v>
      </c>
      <c r="H1462" s="55" t="n">
        <v>0</v>
      </c>
      <c r="I1462" s="53" t="n">
        <v>172</v>
      </c>
      <c r="J1462" s="53" t="n">
        <v>126</v>
      </c>
      <c r="K1462" s="53" t="n">
        <v>0</v>
      </c>
      <c r="L1462" s="53" t="n">
        <v>0</v>
      </c>
      <c r="M1462" s="33">
        <f>F1462-E1462</f>
        <v/>
      </c>
      <c r="N1462" s="33">
        <f>L1462-K1462</f>
        <v/>
      </c>
    </row>
    <row r="1463">
      <c r="A1463" s="58" t="inlineStr">
        <is>
          <t>150649 Ralph Liquors</t>
        </is>
      </c>
      <c r="B1463" s="58" t="inlineStr">
        <is>
          <t>Essex</t>
        </is>
      </c>
      <c r="C1463" s="58" t="inlineStr">
        <is>
          <t>Hakan Sadik</t>
        </is>
      </c>
      <c r="D1463" s="58" t="inlineStr">
        <is>
          <t>Off-premise</t>
        </is>
      </c>
      <c r="E1463" s="53" t="n">
        <v>0</v>
      </c>
      <c r="F1463" s="53" t="n">
        <v>0</v>
      </c>
      <c r="G1463" s="55" t="n">
        <v>0</v>
      </c>
      <c r="H1463" s="55" t="n">
        <v>0</v>
      </c>
      <c r="I1463" s="53" t="n">
        <v>403</v>
      </c>
      <c r="J1463" s="53" t="n">
        <v>310</v>
      </c>
      <c r="K1463" s="53" t="n">
        <v>0</v>
      </c>
      <c r="L1463" s="53" t="n">
        <v>0</v>
      </c>
      <c r="M1463" s="33">
        <f>F1463-E1463</f>
        <v/>
      </c>
      <c r="N1463" s="33">
        <f>L1463-K1463</f>
        <v/>
      </c>
    </row>
    <row r="1464">
      <c r="A1464" s="58" t="inlineStr">
        <is>
          <t>150665 Madison Liquor Superette</t>
        </is>
      </c>
      <c r="B1464" s="58" t="inlineStr">
        <is>
          <t>Essex</t>
        </is>
      </c>
      <c r="C1464" s="58" t="inlineStr">
        <is>
          <t>Hakan Sadik</t>
        </is>
      </c>
      <c r="D1464" s="58" t="inlineStr">
        <is>
          <t>Off-premise</t>
        </is>
      </c>
      <c r="E1464" s="53" t="n">
        <v>0</v>
      </c>
      <c r="F1464" s="53" t="n">
        <v>0</v>
      </c>
      <c r="G1464" s="55" t="n">
        <v>0</v>
      </c>
      <c r="H1464" s="55" t="n">
        <v>0</v>
      </c>
      <c r="I1464" s="53" t="n">
        <v>71</v>
      </c>
      <c r="J1464" s="53" t="n">
        <v>50</v>
      </c>
      <c r="K1464" s="53" t="n">
        <v>0</v>
      </c>
      <c r="L1464" s="53" t="n">
        <v>0</v>
      </c>
      <c r="M1464" s="33">
        <f>F1464-E1464</f>
        <v/>
      </c>
      <c r="N1464" s="33">
        <f>L1464-K1464</f>
        <v/>
      </c>
    </row>
    <row r="1465">
      <c r="A1465" s="58" t="inlineStr">
        <is>
          <t>150669 A-1 Payless Liquors</t>
        </is>
      </c>
      <c r="B1465" s="58" t="inlineStr">
        <is>
          <t>Essex</t>
        </is>
      </c>
      <c r="C1465" s="58" t="inlineStr">
        <is>
          <t>Hakan Sadik</t>
        </is>
      </c>
      <c r="D1465" s="58" t="inlineStr">
        <is>
          <t>Off-premise</t>
        </is>
      </c>
      <c r="E1465" s="53" t="n">
        <v>0</v>
      </c>
      <c r="F1465" s="53" t="n">
        <v>0</v>
      </c>
      <c r="G1465" s="55" t="n">
        <v>0</v>
      </c>
      <c r="H1465" s="55" t="n">
        <v>0</v>
      </c>
      <c r="I1465" s="53" t="n">
        <v>50</v>
      </c>
      <c r="J1465" s="53" t="n">
        <v>54</v>
      </c>
      <c r="K1465" s="53" t="n">
        <v>0</v>
      </c>
      <c r="L1465" s="53" t="n">
        <v>0</v>
      </c>
      <c r="M1465" s="33">
        <f>F1465-E1465</f>
        <v/>
      </c>
      <c r="N1465" s="33">
        <f>L1465-K1465</f>
        <v/>
      </c>
    </row>
    <row r="1466">
      <c r="A1466" s="58" t="inlineStr">
        <is>
          <t>150672 Muellers Star Liquors</t>
        </is>
      </c>
      <c r="B1466" s="58" t="inlineStr">
        <is>
          <t>Essex</t>
        </is>
      </c>
      <c r="C1466" s="58" t="inlineStr">
        <is>
          <t>Hakan Sadik</t>
        </is>
      </c>
      <c r="D1466" s="58" t="inlineStr">
        <is>
          <t>Off-premise</t>
        </is>
      </c>
      <c r="E1466" s="53" t="n">
        <v>0</v>
      </c>
      <c r="F1466" s="53" t="n">
        <v>0</v>
      </c>
      <c r="G1466" s="55" t="n">
        <v>0</v>
      </c>
      <c r="H1466" s="55" t="n">
        <v>0</v>
      </c>
      <c r="I1466" s="53" t="n">
        <v>103</v>
      </c>
      <c r="J1466" s="53" t="n">
        <v>37</v>
      </c>
      <c r="K1466" s="53" t="n">
        <v>0</v>
      </c>
      <c r="L1466" s="53" t="n">
        <v>0</v>
      </c>
      <c r="M1466" s="33">
        <f>F1466-E1466</f>
        <v/>
      </c>
      <c r="N1466" s="33">
        <f>L1466-K1466</f>
        <v/>
      </c>
    </row>
    <row r="1467">
      <c r="A1467" s="58" t="inlineStr">
        <is>
          <t>152000 Royal Liquors 3</t>
        </is>
      </c>
      <c r="B1467" s="58" t="inlineStr">
        <is>
          <t>Essex</t>
        </is>
      </c>
      <c r="C1467" s="58" t="inlineStr">
        <is>
          <t>Hakan Sadik</t>
        </is>
      </c>
      <c r="D1467" s="58" t="inlineStr">
        <is>
          <t>Off-premise</t>
        </is>
      </c>
      <c r="E1467" s="53" t="n">
        <v>0</v>
      </c>
      <c r="F1467" s="53" t="n">
        <v>0</v>
      </c>
      <c r="G1467" s="55" t="n">
        <v>0</v>
      </c>
      <c r="H1467" s="55" t="n">
        <v>0</v>
      </c>
      <c r="I1467" s="53" t="n">
        <v>116</v>
      </c>
      <c r="J1467" s="53" t="n">
        <v>124</v>
      </c>
      <c r="K1467" s="53" t="n">
        <v>0</v>
      </c>
      <c r="L1467" s="53" t="n">
        <v>0</v>
      </c>
      <c r="M1467" s="33">
        <f>F1467-E1467</f>
        <v/>
      </c>
      <c r="N1467" s="33">
        <f>L1467-K1467</f>
        <v/>
      </c>
    </row>
    <row r="1468">
      <c r="A1468" s="58" t="inlineStr">
        <is>
          <t>152001 Manny's Liquors</t>
        </is>
      </c>
      <c r="B1468" s="58" t="inlineStr">
        <is>
          <t>Essex</t>
        </is>
      </c>
      <c r="C1468" s="58" t="inlineStr">
        <is>
          <t>Hakan Sadik</t>
        </is>
      </c>
      <c r="D1468" s="58" t="inlineStr">
        <is>
          <t>Off-premise</t>
        </is>
      </c>
      <c r="E1468" s="53" t="n">
        <v>0</v>
      </c>
      <c r="F1468" s="53" t="n">
        <v>0</v>
      </c>
      <c r="G1468" s="55" t="n">
        <v>0</v>
      </c>
      <c r="H1468" s="55" t="n">
        <v>0</v>
      </c>
      <c r="I1468" s="53" t="n">
        <v>211</v>
      </c>
      <c r="J1468" s="53" t="n">
        <v>226</v>
      </c>
      <c r="K1468" s="53" t="n">
        <v>0</v>
      </c>
      <c r="L1468" s="53" t="n">
        <v>0</v>
      </c>
      <c r="M1468" s="33">
        <f>F1468-E1468</f>
        <v/>
      </c>
      <c r="N1468" s="33">
        <f>L1468-K1468</f>
        <v/>
      </c>
    </row>
    <row r="1469">
      <c r="A1469" s="58" t="inlineStr">
        <is>
          <t>152003 Hawthorne Quality Liquors</t>
        </is>
      </c>
      <c r="B1469" s="58" t="inlineStr">
        <is>
          <t>Essex</t>
        </is>
      </c>
      <c r="C1469" s="58" t="inlineStr">
        <is>
          <t>Hakan Sadik</t>
        </is>
      </c>
      <c r="D1469" s="58" t="inlineStr">
        <is>
          <t>Off-premise</t>
        </is>
      </c>
      <c r="E1469" s="53" t="n">
        <v>0</v>
      </c>
      <c r="F1469" s="53" t="n">
        <v>0</v>
      </c>
      <c r="G1469" s="55" t="n">
        <v>0</v>
      </c>
      <c r="H1469" s="55" t="n">
        <v>0</v>
      </c>
      <c r="I1469" s="53" t="n">
        <v>101</v>
      </c>
      <c r="J1469" s="53" t="n">
        <v>115</v>
      </c>
      <c r="K1469" s="53" t="n">
        <v>0</v>
      </c>
      <c r="L1469" s="53" t="n">
        <v>0</v>
      </c>
      <c r="M1469" s="33">
        <f>F1469-E1469</f>
        <v/>
      </c>
      <c r="N1469" s="33">
        <f>L1469-K1469</f>
        <v/>
      </c>
    </row>
    <row r="1470">
      <c r="A1470" s="58" t="inlineStr">
        <is>
          <t>152005 Quality Liquors #2</t>
        </is>
      </c>
      <c r="B1470" s="58" t="inlineStr">
        <is>
          <t>Essex</t>
        </is>
      </c>
      <c r="C1470" s="58" t="inlineStr">
        <is>
          <t>Hakan Sadik</t>
        </is>
      </c>
      <c r="D1470" s="58" t="inlineStr">
        <is>
          <t>Off-premise</t>
        </is>
      </c>
      <c r="E1470" s="53" t="n">
        <v>0</v>
      </c>
      <c r="F1470" s="53" t="n">
        <v>0</v>
      </c>
      <c r="G1470" s="55" t="n">
        <v>0</v>
      </c>
      <c r="H1470" s="55" t="n">
        <v>0</v>
      </c>
      <c r="I1470" s="53" t="n">
        <v>177</v>
      </c>
      <c r="J1470" s="53" t="n">
        <v>90</v>
      </c>
      <c r="K1470" s="53" t="n">
        <v>0</v>
      </c>
      <c r="L1470" s="53" t="n">
        <v>0</v>
      </c>
      <c r="M1470" s="33">
        <f>F1470-E1470</f>
        <v/>
      </c>
      <c r="N1470" s="33">
        <f>L1470-K1470</f>
        <v/>
      </c>
    </row>
    <row r="1471">
      <c r="A1471" s="58" t="inlineStr">
        <is>
          <t>152006 Skyline Liquors #2</t>
        </is>
      </c>
      <c r="B1471" s="58" t="inlineStr">
        <is>
          <t>Essex</t>
        </is>
      </c>
      <c r="C1471" s="58" t="inlineStr">
        <is>
          <t>Hakan Sadik</t>
        </is>
      </c>
      <c r="D1471" s="58" t="inlineStr">
        <is>
          <t>Off-premise</t>
        </is>
      </c>
      <c r="E1471" s="53" t="n">
        <v>0</v>
      </c>
      <c r="F1471" s="53" t="n">
        <v>0</v>
      </c>
      <c r="G1471" s="55" t="n">
        <v>0</v>
      </c>
      <c r="H1471" s="55" t="n">
        <v>0</v>
      </c>
      <c r="I1471" s="53" t="n">
        <v>163</v>
      </c>
      <c r="J1471" s="53" t="n">
        <v>251</v>
      </c>
      <c r="K1471" s="53" t="n">
        <v>0</v>
      </c>
      <c r="L1471" s="53" t="n">
        <v>0</v>
      </c>
      <c r="M1471" s="33">
        <f>F1471-E1471</f>
        <v/>
      </c>
      <c r="N1471" s="33">
        <f>L1471-K1471</f>
        <v/>
      </c>
    </row>
    <row r="1472">
      <c r="A1472" s="58" t="inlineStr">
        <is>
          <t>152007 All Brothers Liquors #3 (Newark)</t>
        </is>
      </c>
      <c r="B1472" s="58" t="inlineStr">
        <is>
          <t>Essex</t>
        </is>
      </c>
      <c r="C1472" s="58" t="inlineStr">
        <is>
          <t>Hakan Sadik</t>
        </is>
      </c>
      <c r="D1472" s="58" t="inlineStr">
        <is>
          <t>Off-premise</t>
        </is>
      </c>
      <c r="E1472" s="53" t="n">
        <v>0</v>
      </c>
      <c r="F1472" s="53" t="n">
        <v>0</v>
      </c>
      <c r="G1472" s="55" t="n">
        <v>0</v>
      </c>
      <c r="H1472" s="55" t="n">
        <v>0</v>
      </c>
      <c r="I1472" s="53" t="n">
        <v>221</v>
      </c>
      <c r="J1472" s="53" t="n">
        <v>123</v>
      </c>
      <c r="K1472" s="53" t="n">
        <v>0</v>
      </c>
      <c r="L1472" s="53" t="n">
        <v>0</v>
      </c>
      <c r="M1472" s="33">
        <f>F1472-E1472</f>
        <v/>
      </c>
      <c r="N1472" s="33">
        <f>L1472-K1472</f>
        <v/>
      </c>
    </row>
    <row r="1473">
      <c r="A1473" s="58" t="inlineStr">
        <is>
          <t>152009 Family Liquors</t>
        </is>
      </c>
      <c r="B1473" s="58" t="inlineStr">
        <is>
          <t>Essex</t>
        </is>
      </c>
      <c r="C1473" s="58" t="inlineStr">
        <is>
          <t>Hakan Sadik</t>
        </is>
      </c>
      <c r="D1473" s="58" t="inlineStr">
        <is>
          <t>Off-premise</t>
        </is>
      </c>
      <c r="E1473" s="53" t="n">
        <v>0</v>
      </c>
      <c r="F1473" s="53" t="n">
        <v>0</v>
      </c>
      <c r="G1473" s="55" t="n">
        <v>0</v>
      </c>
      <c r="H1473" s="55" t="n">
        <v>0</v>
      </c>
      <c r="I1473" s="53" t="n">
        <v>28</v>
      </c>
      <c r="J1473" s="53" t="n">
        <v>22</v>
      </c>
      <c r="K1473" s="53" t="n">
        <v>0</v>
      </c>
      <c r="L1473" s="53" t="n">
        <v>0</v>
      </c>
      <c r="M1473" s="33">
        <f>F1473-E1473</f>
        <v/>
      </c>
      <c r="N1473" s="33">
        <f>L1473-K1473</f>
        <v/>
      </c>
    </row>
    <row r="1474">
      <c r="A1474" s="58" t="inlineStr">
        <is>
          <t>152012 Oasis Liquors &amp; Bar</t>
        </is>
      </c>
      <c r="B1474" s="58" t="inlineStr">
        <is>
          <t>Essex</t>
        </is>
      </c>
      <c r="C1474" s="58" t="inlineStr">
        <is>
          <t>Hakan Sadik</t>
        </is>
      </c>
      <c r="D1474" s="58" t="inlineStr">
        <is>
          <t>Off-premise</t>
        </is>
      </c>
      <c r="E1474" s="53" t="n">
        <v>0</v>
      </c>
      <c r="F1474" s="53" t="n">
        <v>0</v>
      </c>
      <c r="G1474" s="55" t="n">
        <v>0</v>
      </c>
      <c r="H1474" s="55" t="n">
        <v>0</v>
      </c>
      <c r="I1474" s="53" t="n">
        <v>73</v>
      </c>
      <c r="J1474" s="53" t="n">
        <v>52</v>
      </c>
      <c r="K1474" s="53" t="n">
        <v>0</v>
      </c>
      <c r="L1474" s="53" t="n">
        <v>0</v>
      </c>
      <c r="M1474" s="33">
        <f>F1474-E1474</f>
        <v/>
      </c>
      <c r="N1474" s="33">
        <f>L1474-K1474</f>
        <v/>
      </c>
    </row>
    <row r="1475">
      <c r="A1475" s="58" t="inlineStr">
        <is>
          <t>152014 Haber Liquors</t>
        </is>
      </c>
      <c r="B1475" s="58" t="inlineStr">
        <is>
          <t>Essex</t>
        </is>
      </c>
      <c r="C1475" s="58" t="inlineStr">
        <is>
          <t>Hakan Sadik</t>
        </is>
      </c>
      <c r="D1475" s="58" t="inlineStr">
        <is>
          <t>Off-premise</t>
        </is>
      </c>
      <c r="E1475" s="53" t="n">
        <v>0</v>
      </c>
      <c r="F1475" s="53" t="n">
        <v>0</v>
      </c>
      <c r="G1475" s="55" t="n">
        <v>0</v>
      </c>
      <c r="H1475" s="55" t="n">
        <v>0</v>
      </c>
      <c r="I1475" s="53" t="n">
        <v>94</v>
      </c>
      <c r="J1475" s="53" t="n">
        <v>83</v>
      </c>
      <c r="K1475" s="53" t="n">
        <v>0</v>
      </c>
      <c r="L1475" s="53" t="n">
        <v>0</v>
      </c>
      <c r="M1475" s="33">
        <f>F1475-E1475</f>
        <v/>
      </c>
      <c r="N1475" s="33">
        <f>L1475-K1475</f>
        <v/>
      </c>
    </row>
    <row r="1476">
      <c r="A1476" s="58" t="inlineStr">
        <is>
          <t>152015 954 Liquors</t>
        </is>
      </c>
      <c r="B1476" s="58" t="inlineStr">
        <is>
          <t>Essex</t>
        </is>
      </c>
      <c r="C1476" s="58" t="inlineStr">
        <is>
          <t>Hakan Sadik</t>
        </is>
      </c>
      <c r="D1476" s="58" t="inlineStr">
        <is>
          <t>Off-premise</t>
        </is>
      </c>
      <c r="E1476" s="53" t="n">
        <v>0</v>
      </c>
      <c r="F1476" s="53" t="n">
        <v>0</v>
      </c>
      <c r="G1476" s="55" t="n">
        <v>0</v>
      </c>
      <c r="H1476" s="55" t="n">
        <v>0</v>
      </c>
      <c r="I1476" s="53" t="n">
        <v>243</v>
      </c>
      <c r="J1476" s="53" t="n">
        <v>210</v>
      </c>
      <c r="K1476" s="53" t="n">
        <v>0</v>
      </c>
      <c r="L1476" s="53" t="n">
        <v>0</v>
      </c>
      <c r="M1476" s="33">
        <f>F1476-E1476</f>
        <v/>
      </c>
      <c r="N1476" s="33">
        <f>L1476-K1476</f>
        <v/>
      </c>
    </row>
    <row r="1477">
      <c r="A1477" s="58" t="inlineStr">
        <is>
          <t>152019 New Silver Key Iii</t>
        </is>
      </c>
      <c r="B1477" s="58" t="inlineStr">
        <is>
          <t>Essex</t>
        </is>
      </c>
      <c r="C1477" s="58" t="inlineStr">
        <is>
          <t>Hakan Sadik</t>
        </is>
      </c>
      <c r="D1477" s="58" t="inlineStr">
        <is>
          <t>Off-premise</t>
        </is>
      </c>
      <c r="E1477" s="53" t="n">
        <v>0</v>
      </c>
      <c r="F1477" s="53" t="n">
        <v>0</v>
      </c>
      <c r="G1477" s="55" t="n">
        <v>0</v>
      </c>
      <c r="H1477" s="55" t="n">
        <v>0</v>
      </c>
      <c r="I1477" s="53" t="n">
        <v>126</v>
      </c>
      <c r="J1477" s="53" t="n">
        <v>70</v>
      </c>
      <c r="K1477" s="53" t="n">
        <v>0</v>
      </c>
      <c r="L1477" s="53" t="n">
        <v>0</v>
      </c>
      <c r="M1477" s="33">
        <f>F1477-E1477</f>
        <v/>
      </c>
      <c r="N1477" s="33">
        <f>L1477-K1477</f>
        <v/>
      </c>
    </row>
    <row r="1478">
      <c r="A1478" s="58" t="inlineStr">
        <is>
          <t>152025 New Owl Liquors</t>
        </is>
      </c>
      <c r="B1478" s="58" t="inlineStr">
        <is>
          <t>Essex</t>
        </is>
      </c>
      <c r="C1478" s="58" t="inlineStr">
        <is>
          <t>Hakan Sadik</t>
        </is>
      </c>
      <c r="D1478" s="58" t="inlineStr">
        <is>
          <t>Off-premise</t>
        </is>
      </c>
      <c r="E1478" s="53" t="n">
        <v>0</v>
      </c>
      <c r="F1478" s="53" t="n">
        <v>0</v>
      </c>
      <c r="G1478" s="55" t="n">
        <v>0</v>
      </c>
      <c r="H1478" s="55" t="n">
        <v>0</v>
      </c>
      <c r="I1478" s="53" t="n">
        <v>132</v>
      </c>
      <c r="J1478" s="53" t="n">
        <v>112</v>
      </c>
      <c r="K1478" s="53" t="n">
        <v>0</v>
      </c>
      <c r="L1478" s="53" t="n">
        <v>0</v>
      </c>
      <c r="M1478" s="33">
        <f>F1478-E1478</f>
        <v/>
      </c>
      <c r="N1478" s="33">
        <f>L1478-K1478</f>
        <v/>
      </c>
    </row>
    <row r="1479">
      <c r="A1479" s="58" t="inlineStr">
        <is>
          <t>152029 Skyline Liquors Iii</t>
        </is>
      </c>
      <c r="B1479" s="58" t="inlineStr">
        <is>
          <t>Essex</t>
        </is>
      </c>
      <c r="C1479" s="58" t="inlineStr">
        <is>
          <t>Hakan Sadik</t>
        </is>
      </c>
      <c r="D1479" s="58" t="inlineStr">
        <is>
          <t>Off-premise</t>
        </is>
      </c>
      <c r="E1479" s="53" t="n">
        <v>0</v>
      </c>
      <c r="F1479" s="53" t="n">
        <v>0</v>
      </c>
      <c r="G1479" s="55" t="n">
        <v>0</v>
      </c>
      <c r="H1479" s="55" t="n">
        <v>0</v>
      </c>
      <c r="I1479" s="53" t="n">
        <v>107</v>
      </c>
      <c r="J1479" s="53" t="n">
        <v>76</v>
      </c>
      <c r="K1479" s="53" t="n">
        <v>0</v>
      </c>
      <c r="L1479" s="53" t="n">
        <v>0</v>
      </c>
      <c r="M1479" s="33">
        <f>F1479-E1479</f>
        <v/>
      </c>
      <c r="N1479" s="33">
        <f>L1479-K1479</f>
        <v/>
      </c>
    </row>
    <row r="1480">
      <c r="A1480" s="58" t="inlineStr">
        <is>
          <t>152031 Edwin Liquors</t>
        </is>
      </c>
      <c r="B1480" s="58" t="inlineStr">
        <is>
          <t>Essex</t>
        </is>
      </c>
      <c r="C1480" s="58" t="inlineStr">
        <is>
          <t>Hakan Sadik</t>
        </is>
      </c>
      <c r="D1480" s="58" t="inlineStr">
        <is>
          <t>Off-premise</t>
        </is>
      </c>
      <c r="E1480" s="53" t="n">
        <v>0</v>
      </c>
      <c r="F1480" s="53" t="n">
        <v>0</v>
      </c>
      <c r="G1480" s="55" t="n">
        <v>0</v>
      </c>
      <c r="H1480" s="55" t="n">
        <v>0</v>
      </c>
      <c r="I1480" s="53" t="n">
        <v>58</v>
      </c>
      <c r="J1480" s="53" t="n">
        <v>47</v>
      </c>
      <c r="K1480" s="53" t="n">
        <v>0</v>
      </c>
      <c r="L1480" s="53" t="n">
        <v>0</v>
      </c>
      <c r="M1480" s="33">
        <f>F1480-E1480</f>
        <v/>
      </c>
      <c r="N1480" s="33">
        <f>L1480-K1480</f>
        <v/>
      </c>
    </row>
    <row r="1481">
      <c r="A1481" s="58" t="inlineStr">
        <is>
          <t>152038 Norfolk Liquors</t>
        </is>
      </c>
      <c r="B1481" s="58" t="inlineStr">
        <is>
          <t>Essex</t>
        </is>
      </c>
      <c r="C1481" s="58" t="inlineStr">
        <is>
          <t>Hakan Sadik</t>
        </is>
      </c>
      <c r="D1481" s="58" t="inlineStr">
        <is>
          <t>Off-premise</t>
        </is>
      </c>
      <c r="E1481" s="53" t="n">
        <v>0</v>
      </c>
      <c r="F1481" s="53" t="n">
        <v>0</v>
      </c>
      <c r="G1481" s="55" t="n">
        <v>0</v>
      </c>
      <c r="H1481" s="55" t="n">
        <v>0</v>
      </c>
      <c r="I1481" s="53" t="n">
        <v>19</v>
      </c>
      <c r="J1481" s="53" t="n">
        <v>21</v>
      </c>
      <c r="K1481" s="53" t="n">
        <v>0</v>
      </c>
      <c r="L1481" s="53" t="n">
        <v>0</v>
      </c>
      <c r="M1481" s="33">
        <f>F1481-E1481</f>
        <v/>
      </c>
      <c r="N1481" s="33">
        <f>L1481-K1481</f>
        <v/>
      </c>
    </row>
    <row r="1482">
      <c r="A1482" s="58" t="inlineStr">
        <is>
          <t>152048 D &amp; S Liquors</t>
        </is>
      </c>
      <c r="B1482" s="58" t="inlineStr">
        <is>
          <t>Essex</t>
        </is>
      </c>
      <c r="C1482" s="58" t="inlineStr">
        <is>
          <t>Hakan Sadik</t>
        </is>
      </c>
      <c r="D1482" s="58" t="inlineStr">
        <is>
          <t>Off-premise</t>
        </is>
      </c>
      <c r="E1482" s="53" t="n">
        <v>0</v>
      </c>
      <c r="F1482" s="53" t="n">
        <v>0</v>
      </c>
      <c r="G1482" s="55" t="n">
        <v>0</v>
      </c>
      <c r="H1482" s="55" t="n">
        <v>0</v>
      </c>
      <c r="I1482" s="53" t="n">
        <v>113</v>
      </c>
      <c r="J1482" s="53" t="n">
        <v>136</v>
      </c>
      <c r="K1482" s="53" t="n">
        <v>0</v>
      </c>
      <c r="L1482" s="53" t="n">
        <v>0</v>
      </c>
      <c r="M1482" s="33">
        <f>F1482-E1482</f>
        <v/>
      </c>
      <c r="N1482" s="33">
        <f>L1482-K1482</f>
        <v/>
      </c>
    </row>
    <row r="1483">
      <c r="A1483" s="58" t="inlineStr">
        <is>
          <t>150067 T&amp;T Liquors (A)</t>
        </is>
      </c>
      <c r="B1483" s="58" t="inlineStr">
        <is>
          <t>Essex</t>
        </is>
      </c>
      <c r="C1483" s="58" t="inlineStr">
        <is>
          <t>Hakan Sadik</t>
        </is>
      </c>
      <c r="D1483" s="58" t="inlineStr">
        <is>
          <t>Off-premise</t>
        </is>
      </c>
      <c r="E1483" s="53" t="n">
        <v>0</v>
      </c>
      <c r="F1483" s="53" t="n">
        <v>0</v>
      </c>
      <c r="G1483" s="55" t="n">
        <v>0</v>
      </c>
      <c r="H1483" s="55" t="n">
        <v>0</v>
      </c>
      <c r="I1483" s="53" t="n">
        <v>70</v>
      </c>
      <c r="J1483" s="53" t="n">
        <v>12</v>
      </c>
      <c r="K1483" s="53" t="n">
        <v>0</v>
      </c>
      <c r="L1483" s="53" t="n">
        <v>0</v>
      </c>
      <c r="M1483" s="33">
        <f>F1483-E1483</f>
        <v/>
      </c>
      <c r="N1483" s="33">
        <f>L1483-K1483</f>
        <v/>
      </c>
    </row>
    <row r="1484">
      <c r="A1484" s="58" t="inlineStr">
        <is>
          <t>152030 Austin Liquor</t>
        </is>
      </c>
      <c r="B1484" s="58" t="inlineStr">
        <is>
          <t>Essex</t>
        </is>
      </c>
      <c r="C1484" s="58" t="inlineStr">
        <is>
          <t>Hakan Sadik</t>
        </is>
      </c>
      <c r="D1484" s="58" t="inlineStr">
        <is>
          <t>Off-premise</t>
        </is>
      </c>
      <c r="E1484" s="53" t="n">
        <v>0</v>
      </c>
      <c r="F1484" s="53" t="n">
        <v>0</v>
      </c>
      <c r="G1484" s="55" t="n">
        <v>0</v>
      </c>
      <c r="H1484" s="55" t="n">
        <v>0</v>
      </c>
      <c r="I1484" s="53" t="n">
        <v>23</v>
      </c>
      <c r="J1484" s="53" t="n">
        <v>5</v>
      </c>
      <c r="K1484" s="53" t="n">
        <v>0</v>
      </c>
      <c r="L1484" s="53" t="n">
        <v>0</v>
      </c>
      <c r="M1484" s="33">
        <f>F1484-E1484</f>
        <v/>
      </c>
      <c r="N1484" s="33">
        <f>L1484-K1484</f>
        <v/>
      </c>
    </row>
    <row r="1485">
      <c r="A1485" s="58" t="inlineStr">
        <is>
          <t>150606 Skyline Liquors</t>
        </is>
      </c>
      <c r="B1485" s="58" t="inlineStr">
        <is>
          <t>Essex</t>
        </is>
      </c>
      <c r="C1485" s="58" t="inlineStr">
        <is>
          <t>Hakan Sadik</t>
        </is>
      </c>
      <c r="D1485" s="58" t="inlineStr">
        <is>
          <t>Off-premise</t>
        </is>
      </c>
      <c r="E1485" s="53" t="n">
        <v>0</v>
      </c>
      <c r="F1485" s="53" t="n">
        <v>0</v>
      </c>
      <c r="G1485" s="55" t="n">
        <v>0</v>
      </c>
      <c r="H1485" s="55" t="n">
        <v>0</v>
      </c>
      <c r="I1485" s="53" t="n">
        <v>6</v>
      </c>
      <c r="J1485" s="53" t="n">
        <v>0</v>
      </c>
      <c r="K1485" s="53" t="n">
        <v>0</v>
      </c>
      <c r="L1485" s="53" t="n">
        <v>0</v>
      </c>
      <c r="M1485" s="33">
        <f>F1485-E1485</f>
        <v/>
      </c>
      <c r="N1485" s="33">
        <f>L1485-K1485</f>
        <v/>
      </c>
    </row>
    <row r="1486">
      <c r="A1486" s="58" t="inlineStr">
        <is>
          <t>150054 Mad For Chicken Newark</t>
        </is>
      </c>
      <c r="B1486" s="58" t="inlineStr">
        <is>
          <t>Essex</t>
        </is>
      </c>
      <c r="C1486" s="58" t="inlineStr">
        <is>
          <t>Hakan Sadik</t>
        </is>
      </c>
      <c r="D1486" s="58" t="inlineStr">
        <is>
          <t>On-premise</t>
        </is>
      </c>
      <c r="E1486" s="53" t="n">
        <v>0</v>
      </c>
      <c r="F1486" s="53" t="n">
        <v>0</v>
      </c>
      <c r="G1486" s="55" t="n">
        <v>0</v>
      </c>
      <c r="H1486" s="55" t="n">
        <v>0</v>
      </c>
      <c r="I1486" s="53" t="n">
        <v>9</v>
      </c>
      <c r="J1486" s="53" t="n">
        <v>0</v>
      </c>
      <c r="K1486" s="53" t="n">
        <v>0</v>
      </c>
      <c r="L1486" s="53" t="n">
        <v>0</v>
      </c>
      <c r="M1486" s="33">
        <f>F1486-E1486</f>
        <v/>
      </c>
      <c r="N1486" s="33">
        <f>L1486-K1486</f>
        <v/>
      </c>
    </row>
    <row r="1487">
      <c r="A1487" s="58" t="inlineStr">
        <is>
          <t>150215 Castaway Restaurant</t>
        </is>
      </c>
      <c r="B1487" s="58" t="inlineStr">
        <is>
          <t>Essex</t>
        </is>
      </c>
      <c r="C1487" s="58" t="inlineStr">
        <is>
          <t>Hakan Sadik</t>
        </is>
      </c>
      <c r="D1487" s="58" t="inlineStr">
        <is>
          <t>On-premise</t>
        </is>
      </c>
      <c r="E1487" s="53" t="n">
        <v>0</v>
      </c>
      <c r="F1487" s="53" t="n">
        <v>0</v>
      </c>
      <c r="G1487" s="55" t="n">
        <v>0</v>
      </c>
      <c r="H1487" s="55" t="n">
        <v>0</v>
      </c>
      <c r="I1487" s="53" t="n">
        <v>68</v>
      </c>
      <c r="J1487" s="53" t="n">
        <v>0</v>
      </c>
      <c r="K1487" s="53" t="n">
        <v>0</v>
      </c>
      <c r="L1487" s="53" t="n">
        <v>0</v>
      </c>
      <c r="M1487" s="33">
        <f>F1487-E1487</f>
        <v/>
      </c>
      <c r="N1487" s="33">
        <f>L1487-K1487</f>
        <v/>
      </c>
    </row>
    <row r="1488">
      <c r="A1488" s="58" t="inlineStr">
        <is>
          <t>150148 St.James Gate Public House</t>
        </is>
      </c>
      <c r="B1488" s="58" t="inlineStr">
        <is>
          <t>Essex</t>
        </is>
      </c>
      <c r="C1488" s="58" t="inlineStr">
        <is>
          <t>Hakan Sadik</t>
        </is>
      </c>
      <c r="D1488" s="58" t="inlineStr">
        <is>
          <t>On-premise</t>
        </is>
      </c>
      <c r="E1488" s="53" t="n">
        <v>0</v>
      </c>
      <c r="F1488" s="53" t="n">
        <v>0</v>
      </c>
      <c r="G1488" s="55" t="n">
        <v>0</v>
      </c>
      <c r="H1488" s="55" t="n">
        <v>0</v>
      </c>
      <c r="I1488" s="53" t="n">
        <v>76</v>
      </c>
      <c r="J1488" s="53" t="n">
        <v>55</v>
      </c>
      <c r="K1488" s="53" t="n">
        <v>0</v>
      </c>
      <c r="L1488" s="53" t="n">
        <v>0</v>
      </c>
      <c r="M1488" s="33">
        <f>F1488-E1488</f>
        <v/>
      </c>
      <c r="N1488" s="33">
        <f>L1488-K1488</f>
        <v/>
      </c>
    </row>
    <row r="1489">
      <c r="A1489" s="58" t="inlineStr">
        <is>
          <t>171118 Antique Bar And Bakery</t>
        </is>
      </c>
      <c r="B1489" s="58" t="inlineStr">
        <is>
          <t>Hudson</t>
        </is>
      </c>
      <c r="C1489" s="58" t="inlineStr">
        <is>
          <t>Jaime Colonna</t>
        </is>
      </c>
      <c r="D1489" s="58" t="inlineStr">
        <is>
          <t>On-premise</t>
        </is>
      </c>
      <c r="E1489" s="53" t="n">
        <v>0</v>
      </c>
      <c r="F1489" s="53" t="n">
        <v>0</v>
      </c>
      <c r="G1489" s="55" t="n">
        <v>0</v>
      </c>
      <c r="H1489" s="55" t="n">
        <v>0</v>
      </c>
      <c r="I1489" s="53" t="n">
        <v>79</v>
      </c>
      <c r="J1489" s="53" t="n">
        <v>44</v>
      </c>
      <c r="K1489" s="53" t="n">
        <v>0</v>
      </c>
      <c r="L1489" s="53" t="n">
        <v>0</v>
      </c>
      <c r="M1489" s="33">
        <f>F1489-E1489</f>
        <v/>
      </c>
      <c r="N1489" s="33">
        <f>L1489-K1489</f>
        <v/>
      </c>
    </row>
    <row r="1490">
      <c r="A1490" s="58" t="inlineStr">
        <is>
          <t>170008 Zeppelin Hall (Z)</t>
        </is>
      </c>
      <c r="B1490" s="58" t="inlineStr">
        <is>
          <t>Hudson</t>
        </is>
      </c>
      <c r="C1490" s="58" t="inlineStr">
        <is>
          <t>Jaime Colonna</t>
        </is>
      </c>
      <c r="D1490" s="58" t="inlineStr">
        <is>
          <t>On-premise</t>
        </is>
      </c>
      <c r="E1490" s="53" t="n">
        <v>0</v>
      </c>
      <c r="F1490" s="53" t="n">
        <v>0</v>
      </c>
      <c r="G1490" s="55" t="n">
        <v>0</v>
      </c>
      <c r="H1490" s="55" t="n">
        <v>0</v>
      </c>
      <c r="I1490" s="53" t="n">
        <v>924</v>
      </c>
      <c r="J1490" s="53" t="n">
        <v>1517</v>
      </c>
      <c r="K1490" s="53" t="n">
        <v>0</v>
      </c>
      <c r="L1490" s="53" t="n">
        <v>0</v>
      </c>
      <c r="M1490" s="33">
        <f>F1490-E1490</f>
        <v/>
      </c>
      <c r="N1490" s="33">
        <f>L1490-K1490</f>
        <v/>
      </c>
    </row>
    <row r="1491">
      <c r="A1491" s="58" t="inlineStr">
        <is>
          <t>170132 Cork City Pub</t>
        </is>
      </c>
      <c r="B1491" s="58" t="inlineStr">
        <is>
          <t>Hudson</t>
        </is>
      </c>
      <c r="C1491" s="58" t="inlineStr">
        <is>
          <t>Jaime Colonna</t>
        </is>
      </c>
      <c r="D1491" s="58" t="inlineStr">
        <is>
          <t>On-premise</t>
        </is>
      </c>
      <c r="E1491" s="53" t="n">
        <v>0</v>
      </c>
      <c r="F1491" s="53" t="n">
        <v>0</v>
      </c>
      <c r="G1491" s="55" t="n">
        <v>0</v>
      </c>
      <c r="H1491" s="55" t="n">
        <v>0</v>
      </c>
      <c r="I1491" s="53" t="n">
        <v>198</v>
      </c>
      <c r="J1491" s="53" t="n">
        <v>199</v>
      </c>
      <c r="K1491" s="53" t="n">
        <v>0</v>
      </c>
      <c r="L1491" s="53" t="n">
        <v>0</v>
      </c>
      <c r="M1491" s="33">
        <f>F1491-E1491</f>
        <v/>
      </c>
      <c r="N1491" s="33">
        <f>L1491-K1491</f>
        <v/>
      </c>
    </row>
    <row r="1492">
      <c r="A1492" s="58" t="inlineStr">
        <is>
          <t>170204 Pint (Z)</t>
        </is>
      </c>
      <c r="B1492" s="58" t="inlineStr">
        <is>
          <t>Hudson</t>
        </is>
      </c>
      <c r="C1492" s="58" t="inlineStr">
        <is>
          <t>Jaime Colonna</t>
        </is>
      </c>
      <c r="D1492" s="58" t="inlineStr">
        <is>
          <t>On-premise</t>
        </is>
      </c>
      <c r="E1492" s="53" t="n">
        <v>0</v>
      </c>
      <c r="F1492" s="53" t="n">
        <v>0</v>
      </c>
      <c r="G1492" s="55" t="n">
        <v>0</v>
      </c>
      <c r="H1492" s="55" t="n">
        <v>0</v>
      </c>
      <c r="I1492" s="53" t="n">
        <v>49</v>
      </c>
      <c r="J1492" s="53" t="n">
        <v>46</v>
      </c>
      <c r="K1492" s="53" t="n">
        <v>0</v>
      </c>
      <c r="L1492" s="53" t="n">
        <v>0</v>
      </c>
      <c r="M1492" s="33">
        <f>F1492-E1492</f>
        <v/>
      </c>
      <c r="N1492" s="33">
        <f>L1492-K1492</f>
        <v/>
      </c>
    </row>
    <row r="1493">
      <c r="A1493" s="58" t="inlineStr">
        <is>
          <t>170223 Ohara's Downtown</t>
        </is>
      </c>
      <c r="B1493" s="58" t="inlineStr">
        <is>
          <t>Hudson</t>
        </is>
      </c>
      <c r="C1493" s="58" t="inlineStr">
        <is>
          <t>Jaime Colonna</t>
        </is>
      </c>
      <c r="D1493" s="58" t="inlineStr">
        <is>
          <t>On-premise</t>
        </is>
      </c>
      <c r="E1493" s="53" t="n">
        <v>0</v>
      </c>
      <c r="F1493" s="53" t="n">
        <v>0</v>
      </c>
      <c r="G1493" s="55" t="n">
        <v>0</v>
      </c>
      <c r="H1493" s="55" t="n">
        <v>0</v>
      </c>
      <c r="I1493" s="53" t="n">
        <v>48</v>
      </c>
      <c r="J1493" s="53" t="n">
        <v>61</v>
      </c>
      <c r="K1493" s="53" t="n">
        <v>0</v>
      </c>
      <c r="L1493" s="53" t="n">
        <v>0</v>
      </c>
      <c r="M1493" s="33">
        <f>F1493-E1493</f>
        <v/>
      </c>
      <c r="N1493" s="33">
        <f>L1493-K1493</f>
        <v/>
      </c>
    </row>
    <row r="1494">
      <c r="A1494" s="58" t="inlineStr">
        <is>
          <t>170332 Abbey's Pub</t>
        </is>
      </c>
      <c r="B1494" s="58" t="inlineStr">
        <is>
          <t>Hudson</t>
        </is>
      </c>
      <c r="C1494" s="58" t="inlineStr">
        <is>
          <t>Jaime Colonna</t>
        </is>
      </c>
      <c r="D1494" s="58" t="inlineStr">
        <is>
          <t>On-premise</t>
        </is>
      </c>
      <c r="E1494" s="53" t="n">
        <v>0</v>
      </c>
      <c r="F1494" s="53" t="n">
        <v>0</v>
      </c>
      <c r="G1494" s="55" t="n">
        <v>0</v>
      </c>
      <c r="H1494" s="55" t="n">
        <v>0</v>
      </c>
      <c r="I1494" s="53" t="n">
        <v>33</v>
      </c>
      <c r="J1494" s="53" t="n">
        <v>30</v>
      </c>
      <c r="K1494" s="53" t="n">
        <v>0</v>
      </c>
      <c r="L1494" s="53" t="n">
        <v>0</v>
      </c>
      <c r="M1494" s="33">
        <f>F1494-E1494</f>
        <v/>
      </c>
      <c r="N1494" s="33">
        <f>L1494-K1494</f>
        <v/>
      </c>
    </row>
    <row r="1495">
      <c r="A1495" s="58" t="inlineStr">
        <is>
          <t>171018 Urban Coal House</t>
        </is>
      </c>
      <c r="B1495" s="58" t="inlineStr">
        <is>
          <t>Hudson</t>
        </is>
      </c>
      <c r="C1495" s="58" t="inlineStr">
        <is>
          <t>Jaime Colonna</t>
        </is>
      </c>
      <c r="D1495" s="58" t="inlineStr">
        <is>
          <t>On-premise</t>
        </is>
      </c>
      <c r="E1495" s="53" t="n">
        <v>0</v>
      </c>
      <c r="F1495" s="53" t="n">
        <v>0</v>
      </c>
      <c r="G1495" s="55" t="n">
        <v>0</v>
      </c>
      <c r="H1495" s="55" t="n">
        <v>0</v>
      </c>
      <c r="I1495" s="53" t="n">
        <v>97</v>
      </c>
      <c r="J1495" s="53" t="n">
        <v>145</v>
      </c>
      <c r="K1495" s="53" t="n">
        <v>0</v>
      </c>
      <c r="L1495" s="53" t="n">
        <v>0</v>
      </c>
      <c r="M1495" s="33">
        <f>F1495-E1495</f>
        <v/>
      </c>
      <c r="N1495" s="33">
        <f>L1495-K1495</f>
        <v/>
      </c>
    </row>
    <row r="1496">
      <c r="A1496" s="58" t="inlineStr">
        <is>
          <t>170241 American Legion Hoboken Post107</t>
        </is>
      </c>
      <c r="B1496" s="58" t="inlineStr">
        <is>
          <t>Hudson</t>
        </is>
      </c>
      <c r="C1496" s="58" t="inlineStr">
        <is>
          <t>Jaime Colonna</t>
        </is>
      </c>
      <c r="D1496" s="58" t="inlineStr">
        <is>
          <t>On-premise</t>
        </is>
      </c>
      <c r="E1496" s="53" t="n">
        <v>0</v>
      </c>
      <c r="F1496" s="53" t="n">
        <v>0</v>
      </c>
      <c r="G1496" s="55" t="n">
        <v>0</v>
      </c>
      <c r="H1496" s="55" t="n">
        <v>0</v>
      </c>
      <c r="I1496" s="53" t="n">
        <v>13</v>
      </c>
      <c r="J1496" s="53" t="n">
        <v>21</v>
      </c>
      <c r="K1496" s="53" t="n">
        <v>0</v>
      </c>
      <c r="L1496" s="53" t="n">
        <v>0</v>
      </c>
      <c r="M1496" s="33">
        <f>F1496-E1496</f>
        <v/>
      </c>
      <c r="N1496" s="33">
        <f>L1496-K1496</f>
        <v/>
      </c>
    </row>
    <row r="1497">
      <c r="A1497" s="58" t="inlineStr">
        <is>
          <t>173043 The Shannon</t>
        </is>
      </c>
      <c r="B1497" s="58" t="inlineStr">
        <is>
          <t>Hudson</t>
        </is>
      </c>
      <c r="C1497" s="58" t="inlineStr">
        <is>
          <t>Jaime Colonna</t>
        </is>
      </c>
      <c r="D1497" s="58" t="inlineStr">
        <is>
          <t>On-premise</t>
        </is>
      </c>
      <c r="E1497" s="53" t="n">
        <v>0</v>
      </c>
      <c r="F1497" s="53" t="n">
        <v>0</v>
      </c>
      <c r="G1497" s="55" t="n">
        <v>0</v>
      </c>
      <c r="H1497" s="55" t="n">
        <v>0</v>
      </c>
      <c r="I1497" s="53" t="n">
        <v>0</v>
      </c>
      <c r="J1497" s="53" t="n">
        <v>20</v>
      </c>
      <c r="K1497" s="53" t="n">
        <v>0</v>
      </c>
      <c r="L1497" s="53" t="n">
        <v>0</v>
      </c>
      <c r="M1497" s="33">
        <f>F1497-E1497</f>
        <v/>
      </c>
      <c r="N1497" s="33">
        <f>L1497-K1497</f>
        <v/>
      </c>
    </row>
    <row r="1498">
      <c r="A1498" s="58" t="inlineStr">
        <is>
          <t>170275 Buddy's</t>
        </is>
      </c>
      <c r="B1498" s="58" t="inlineStr">
        <is>
          <t>Hudson</t>
        </is>
      </c>
      <c r="C1498" s="58" t="inlineStr">
        <is>
          <t>Jaime Colonna</t>
        </is>
      </c>
      <c r="D1498" s="58" t="inlineStr">
        <is>
          <t>On-premise</t>
        </is>
      </c>
      <c r="E1498" s="53" t="n">
        <v>0</v>
      </c>
      <c r="F1498" s="53" t="n">
        <v>0</v>
      </c>
      <c r="G1498" s="55" t="n">
        <v>0</v>
      </c>
      <c r="H1498" s="55" t="n">
        <v>0</v>
      </c>
      <c r="I1498" s="53" t="n">
        <v>39</v>
      </c>
      <c r="J1498" s="53" t="n">
        <v>46</v>
      </c>
      <c r="K1498" s="53" t="n">
        <v>0</v>
      </c>
      <c r="L1498" s="53" t="n">
        <v>0</v>
      </c>
      <c r="M1498" s="33">
        <f>F1498-E1498</f>
        <v/>
      </c>
      <c r="N1498" s="33">
        <f>L1498-K1498</f>
        <v/>
      </c>
    </row>
    <row r="1499">
      <c r="A1499" s="58" t="inlineStr">
        <is>
          <t>173069 Curry On</t>
        </is>
      </c>
      <c r="B1499" s="58" t="inlineStr">
        <is>
          <t>Hudson</t>
        </is>
      </c>
      <c r="C1499" s="58" t="inlineStr">
        <is>
          <t>Jaime Colonna</t>
        </is>
      </c>
      <c r="D1499" s="58" t="inlineStr">
        <is>
          <t>On-premise</t>
        </is>
      </c>
      <c r="E1499" s="53" t="n">
        <v>0</v>
      </c>
      <c r="F1499" s="53" t="n">
        <v>0</v>
      </c>
      <c r="G1499" s="55" t="n">
        <v>0</v>
      </c>
      <c r="H1499" s="55" t="n">
        <v>0</v>
      </c>
      <c r="I1499" s="53" t="n">
        <v>21</v>
      </c>
      <c r="J1499" s="53" t="n">
        <v>12</v>
      </c>
      <c r="K1499" s="53" t="n">
        <v>0</v>
      </c>
      <c r="L1499" s="53" t="n">
        <v>0</v>
      </c>
      <c r="M1499" s="33">
        <f>F1499-E1499</f>
        <v/>
      </c>
      <c r="N1499" s="33">
        <f>L1499-K1499</f>
        <v/>
      </c>
    </row>
    <row r="1500">
      <c r="A1500" s="58" t="inlineStr">
        <is>
          <t>170282 The Hoboken Biergarten</t>
        </is>
      </c>
      <c r="B1500" s="58" t="inlineStr">
        <is>
          <t>Hudson</t>
        </is>
      </c>
      <c r="C1500" s="58" t="inlineStr">
        <is>
          <t>Jaime Colonna</t>
        </is>
      </c>
      <c r="D1500" s="58" t="inlineStr">
        <is>
          <t>On-premise</t>
        </is>
      </c>
      <c r="E1500" s="53" t="n">
        <v>0</v>
      </c>
      <c r="F1500" s="53" t="n">
        <v>0</v>
      </c>
      <c r="G1500" s="55" t="n">
        <v>0</v>
      </c>
      <c r="H1500" s="55" t="n">
        <v>0</v>
      </c>
      <c r="I1500" s="53" t="n">
        <v>790</v>
      </c>
      <c r="J1500" s="53" t="n">
        <v>1670</v>
      </c>
      <c r="K1500" s="53" t="n">
        <v>0</v>
      </c>
      <c r="L1500" s="53" t="n">
        <v>0</v>
      </c>
      <c r="M1500" s="33">
        <f>F1500-E1500</f>
        <v/>
      </c>
      <c r="N1500" s="33">
        <f>L1500-K1500</f>
        <v/>
      </c>
    </row>
    <row r="1501">
      <c r="A1501" s="58" t="inlineStr">
        <is>
          <t>170469 Pier 13</t>
        </is>
      </c>
      <c r="B1501" s="58" t="inlineStr">
        <is>
          <t>Hudson</t>
        </is>
      </c>
      <c r="C1501" s="58" t="inlineStr">
        <is>
          <t>Jaime Colonna</t>
        </is>
      </c>
      <c r="D1501" s="58" t="inlineStr">
        <is>
          <t>On-premise</t>
        </is>
      </c>
      <c r="E1501" s="53" t="n">
        <v>0</v>
      </c>
      <c r="F1501" s="53" t="n">
        <v>0</v>
      </c>
      <c r="G1501" s="55" t="n">
        <v>0</v>
      </c>
      <c r="H1501" s="55" t="n">
        <v>0</v>
      </c>
      <c r="I1501" s="53" t="n">
        <v>676</v>
      </c>
      <c r="J1501" s="53" t="n">
        <v>430</v>
      </c>
      <c r="K1501" s="53" t="n">
        <v>0</v>
      </c>
      <c r="L1501" s="53" t="n">
        <v>0</v>
      </c>
      <c r="M1501" s="33">
        <f>F1501-E1501</f>
        <v/>
      </c>
      <c r="N1501" s="33">
        <f>L1501-K1501</f>
        <v/>
      </c>
    </row>
    <row r="1502">
      <c r="A1502" s="58" t="inlineStr">
        <is>
          <t>171413 Green Rock Tap &amp; Grill</t>
        </is>
      </c>
      <c r="B1502" s="58" t="inlineStr">
        <is>
          <t>Hudson</t>
        </is>
      </c>
      <c r="C1502" s="58" t="inlineStr">
        <is>
          <t>Jaime Colonna</t>
        </is>
      </c>
      <c r="D1502" s="58" t="inlineStr">
        <is>
          <t>On-premise</t>
        </is>
      </c>
      <c r="E1502" s="53" t="n">
        <v>0</v>
      </c>
      <c r="F1502" s="53" t="n">
        <v>0</v>
      </c>
      <c r="G1502" s="55" t="n">
        <v>0</v>
      </c>
      <c r="H1502" s="55" t="n">
        <v>0</v>
      </c>
      <c r="I1502" s="53" t="n">
        <v>7</v>
      </c>
      <c r="J1502" s="53" t="n">
        <v>21</v>
      </c>
      <c r="K1502" s="53" t="n">
        <v>0</v>
      </c>
      <c r="L1502" s="53" t="n">
        <v>0</v>
      </c>
      <c r="M1502" s="33">
        <f>F1502-E1502</f>
        <v/>
      </c>
      <c r="N1502" s="33">
        <f>L1502-K1502</f>
        <v/>
      </c>
    </row>
    <row r="1503">
      <c r="A1503" s="58" t="inlineStr">
        <is>
          <t>173015 Madd Hatter</t>
        </is>
      </c>
      <c r="B1503" s="58" t="inlineStr">
        <is>
          <t>Hudson</t>
        </is>
      </c>
      <c r="C1503" s="58" t="inlineStr">
        <is>
          <t>Jaime Colonna</t>
        </is>
      </c>
      <c r="D1503" s="58" t="inlineStr">
        <is>
          <t>Unmatched</t>
        </is>
      </c>
      <c r="E1503" s="53" t="n">
        <v>0</v>
      </c>
      <c r="F1503" s="53" t="n">
        <v>0</v>
      </c>
      <c r="G1503" s="55" t="n">
        <v>0</v>
      </c>
      <c r="H1503" s="55" t="n">
        <v>0</v>
      </c>
      <c r="I1503" s="53" t="n">
        <v>10</v>
      </c>
      <c r="J1503" s="53" t="n">
        <v>0</v>
      </c>
      <c r="K1503" s="53" t="n">
        <v>0</v>
      </c>
      <c r="L1503" s="53" t="n">
        <v>0</v>
      </c>
      <c r="M1503" s="33">
        <f>F1503-E1503</f>
        <v/>
      </c>
      <c r="N1503" s="33">
        <f>L1503-K1503</f>
        <v/>
      </c>
    </row>
    <row r="1504">
      <c r="A1504" s="58" t="inlineStr">
        <is>
          <t>170155 Bangalore Kitchen</t>
        </is>
      </c>
      <c r="B1504" s="58" t="inlineStr">
        <is>
          <t>Hudson</t>
        </is>
      </c>
      <c r="C1504" s="58" t="inlineStr">
        <is>
          <t>Jaime Colonna</t>
        </is>
      </c>
      <c r="D1504" s="58" t="inlineStr">
        <is>
          <t>On-premise</t>
        </is>
      </c>
      <c r="E1504" s="53" t="n">
        <v>0</v>
      </c>
      <c r="F1504" s="53" t="n">
        <v>0</v>
      </c>
      <c r="G1504" s="55" t="n">
        <v>0</v>
      </c>
      <c r="H1504" s="55" t="n">
        <v>0</v>
      </c>
      <c r="I1504" s="53" t="n">
        <v>0</v>
      </c>
      <c r="J1504" s="53" t="n">
        <v>10</v>
      </c>
      <c r="K1504" s="53" t="n">
        <v>0</v>
      </c>
      <c r="L1504" s="53" t="n">
        <v>0</v>
      </c>
      <c r="M1504" s="33">
        <f>F1504-E1504</f>
        <v/>
      </c>
      <c r="N1504" s="33">
        <f>L1504-K1504</f>
        <v/>
      </c>
    </row>
    <row r="1505">
      <c r="A1505" s="58" t="inlineStr">
        <is>
          <t>170166 BRICK LANE CURRY HOUSE</t>
        </is>
      </c>
      <c r="B1505" s="58" t="inlineStr">
        <is>
          <t>Hudson</t>
        </is>
      </c>
      <c r="C1505" s="58" t="inlineStr">
        <is>
          <t>Jaime Colonna</t>
        </is>
      </c>
      <c r="D1505" s="58" t="inlineStr">
        <is>
          <t>On-premise</t>
        </is>
      </c>
      <c r="E1505" s="53" t="n">
        <v>0</v>
      </c>
      <c r="F1505" s="53" t="n">
        <v>0</v>
      </c>
      <c r="G1505" s="55" t="n">
        <v>0</v>
      </c>
      <c r="H1505" s="55" t="n">
        <v>0</v>
      </c>
      <c r="I1505" s="53" t="n">
        <v>15</v>
      </c>
      <c r="J1505" s="53" t="n">
        <v>9</v>
      </c>
      <c r="K1505" s="53" t="n">
        <v>0</v>
      </c>
      <c r="L1505" s="53" t="n">
        <v>0</v>
      </c>
      <c r="M1505" s="33">
        <f>F1505-E1505</f>
        <v/>
      </c>
      <c r="N1505" s="33">
        <f>L1505-K1505</f>
        <v/>
      </c>
    </row>
    <row r="1506">
      <c r="A1506" s="58" t="inlineStr">
        <is>
          <t>172016 Karma Kafe</t>
        </is>
      </c>
      <c r="B1506" s="58" t="inlineStr">
        <is>
          <t>Hudson</t>
        </is>
      </c>
      <c r="C1506" s="58" t="inlineStr">
        <is>
          <t>Jaime Colonna</t>
        </is>
      </c>
      <c r="D1506" s="58" t="inlineStr">
        <is>
          <t>On-premise</t>
        </is>
      </c>
      <c r="E1506" s="53" t="n">
        <v>0</v>
      </c>
      <c r="F1506" s="53" t="n">
        <v>0</v>
      </c>
      <c r="G1506" s="55" t="n">
        <v>0</v>
      </c>
      <c r="H1506" s="55" t="n">
        <v>0</v>
      </c>
      <c r="I1506" s="53" t="n">
        <v>20</v>
      </c>
      <c r="J1506" s="53" t="n">
        <v>0</v>
      </c>
      <c r="K1506" s="53" t="n">
        <v>0</v>
      </c>
      <c r="L1506" s="53" t="n">
        <v>0</v>
      </c>
      <c r="M1506" s="33">
        <f>F1506-E1506</f>
        <v/>
      </c>
      <c r="N1506" s="33">
        <f>L1506-K1506</f>
        <v/>
      </c>
    </row>
    <row r="1507">
      <c r="A1507" s="58" t="inlineStr">
        <is>
          <t>173042 EMPYREAN INDIAN KITCHEN</t>
        </is>
      </c>
      <c r="B1507" s="58" t="inlineStr">
        <is>
          <t>Hudson</t>
        </is>
      </c>
      <c r="C1507" s="58" t="inlineStr">
        <is>
          <t>Jaime Colonna</t>
        </is>
      </c>
      <c r="D1507" s="58" t="inlineStr">
        <is>
          <t>Unmatched</t>
        </is>
      </c>
      <c r="E1507" s="53" t="n">
        <v>0</v>
      </c>
      <c r="F1507" s="53" t="n">
        <v>0</v>
      </c>
      <c r="G1507" s="55" t="n">
        <v>0</v>
      </c>
      <c r="H1507" s="55" t="n">
        <v>0</v>
      </c>
      <c r="I1507" s="53" t="n">
        <v>10</v>
      </c>
      <c r="J1507" s="53" t="n">
        <v>10</v>
      </c>
      <c r="K1507" s="53" t="n">
        <v>0</v>
      </c>
      <c r="L1507" s="53" t="n">
        <v>0</v>
      </c>
      <c r="M1507" s="33">
        <f>F1507-E1507</f>
        <v/>
      </c>
      <c r="N1507" s="33">
        <f>L1507-K1507</f>
        <v/>
      </c>
    </row>
    <row r="1508">
      <c r="A1508" s="58" t="inlineStr">
        <is>
          <t>173072 Rasoi Restaurant</t>
        </is>
      </c>
      <c r="B1508" s="58" t="inlineStr">
        <is>
          <t>Hudson</t>
        </is>
      </c>
      <c r="C1508" s="58" t="inlineStr">
        <is>
          <t>Jaime Colonna</t>
        </is>
      </c>
      <c r="D1508" s="58" t="inlineStr">
        <is>
          <t>On-premise</t>
        </is>
      </c>
      <c r="E1508" s="53" t="n">
        <v>0</v>
      </c>
      <c r="F1508" s="53" t="n">
        <v>0</v>
      </c>
      <c r="G1508" s="55" t="n">
        <v>0</v>
      </c>
      <c r="H1508" s="55" t="n">
        <v>0</v>
      </c>
      <c r="I1508" s="53" t="n">
        <v>10</v>
      </c>
      <c r="J1508" s="53" t="n">
        <v>10</v>
      </c>
      <c r="K1508" s="53" t="n">
        <v>0</v>
      </c>
      <c r="L1508" s="53" t="n">
        <v>0</v>
      </c>
      <c r="M1508" s="33">
        <f>F1508-E1508</f>
        <v/>
      </c>
      <c r="N1508" s="33">
        <f>L1508-K1508</f>
        <v/>
      </c>
    </row>
    <row r="1509">
      <c r="A1509" s="58" t="inlineStr">
        <is>
          <t>178107 Empyrean Bistro &amp; Bar</t>
        </is>
      </c>
      <c r="B1509" s="58" t="inlineStr">
        <is>
          <t>Hudson</t>
        </is>
      </c>
      <c r="C1509" s="58" t="inlineStr">
        <is>
          <t>Jaime Colonna</t>
        </is>
      </c>
      <c r="D1509" s="58" t="inlineStr">
        <is>
          <t>On-premise</t>
        </is>
      </c>
      <c r="E1509" s="53" t="n">
        <v>0</v>
      </c>
      <c r="F1509" s="53" t="n">
        <v>0</v>
      </c>
      <c r="G1509" s="55" t="n">
        <v>0</v>
      </c>
      <c r="H1509" s="55" t="n">
        <v>0</v>
      </c>
      <c r="I1509" s="53" t="n">
        <v>0</v>
      </c>
      <c r="J1509" s="53" t="n">
        <v>10</v>
      </c>
      <c r="K1509" s="53" t="n">
        <v>0</v>
      </c>
      <c r="L1509" s="53" t="n">
        <v>0</v>
      </c>
      <c r="M1509" s="33">
        <f>F1509-E1509</f>
        <v/>
      </c>
      <c r="N1509" s="33">
        <f>L1509-K1509</f>
        <v/>
      </c>
    </row>
    <row r="1510">
      <c r="A1510" s="58" t="inlineStr">
        <is>
          <t>170265 Metropolis</t>
        </is>
      </c>
      <c r="B1510" s="58" t="inlineStr">
        <is>
          <t>Hudson</t>
        </is>
      </c>
      <c r="C1510" s="58" t="inlineStr">
        <is>
          <t>Jaime Colonna</t>
        </is>
      </c>
      <c r="D1510" s="58" t="inlineStr">
        <is>
          <t>Off-premise</t>
        </is>
      </c>
      <c r="E1510" s="53" t="n">
        <v>0</v>
      </c>
      <c r="F1510" s="53" t="n">
        <v>0</v>
      </c>
      <c r="G1510" s="55" t="n">
        <v>0</v>
      </c>
      <c r="H1510" s="55" t="n">
        <v>0</v>
      </c>
      <c r="I1510" s="53" t="n">
        <v>27</v>
      </c>
      <c r="J1510" s="53" t="n">
        <v>98</v>
      </c>
      <c r="K1510" s="53" t="n">
        <v>0</v>
      </c>
      <c r="L1510" s="53" t="n">
        <v>0</v>
      </c>
      <c r="M1510" s="33">
        <f>F1510-E1510</f>
        <v/>
      </c>
      <c r="N1510" s="33">
        <f>L1510-K1510</f>
        <v/>
      </c>
    </row>
    <row r="1511">
      <c r="A1511" s="58" t="inlineStr">
        <is>
          <t>170467 80 River St Restaurant</t>
        </is>
      </c>
      <c r="B1511" s="58" t="inlineStr">
        <is>
          <t>Hudson</t>
        </is>
      </c>
      <c r="C1511" s="58" t="inlineStr">
        <is>
          <t>Jaime Colonna</t>
        </is>
      </c>
      <c r="D1511" s="58" t="inlineStr">
        <is>
          <t>On-premise</t>
        </is>
      </c>
      <c r="E1511" s="53" t="n">
        <v>0</v>
      </c>
      <c r="F1511" s="53" t="n">
        <v>0</v>
      </c>
      <c r="G1511" s="55" t="n">
        <v>0</v>
      </c>
      <c r="H1511" s="55" t="n">
        <v>0</v>
      </c>
      <c r="I1511" s="53" t="n">
        <v>0</v>
      </c>
      <c r="J1511" s="53" t="n">
        <v>14</v>
      </c>
      <c r="K1511" s="53" t="n">
        <v>0</v>
      </c>
      <c r="L1511" s="53" t="n">
        <v>0</v>
      </c>
      <c r="M1511" s="33">
        <f>F1511-E1511</f>
        <v/>
      </c>
      <c r="N1511" s="33">
        <f>L1511-K1511</f>
        <v/>
      </c>
    </row>
    <row r="1512">
      <c r="A1512" s="58" t="inlineStr">
        <is>
          <t>171012 Shepherd/Knucklehead Hobo</t>
        </is>
      </c>
      <c r="B1512" s="58" t="inlineStr">
        <is>
          <t>Hudson</t>
        </is>
      </c>
      <c r="C1512" s="58" t="inlineStr">
        <is>
          <t>Jaime Colonna</t>
        </is>
      </c>
      <c r="D1512" s="58" t="inlineStr">
        <is>
          <t>On-premise</t>
        </is>
      </c>
      <c r="E1512" s="53" t="n">
        <v>0</v>
      </c>
      <c r="F1512" s="53" t="n">
        <v>0</v>
      </c>
      <c r="G1512" s="55" t="n">
        <v>0</v>
      </c>
      <c r="H1512" s="55" t="n">
        <v>0</v>
      </c>
      <c r="I1512" s="53" t="n">
        <v>42</v>
      </c>
      <c r="J1512" s="53" t="n">
        <v>27</v>
      </c>
      <c r="K1512" s="53" t="n">
        <v>0</v>
      </c>
      <c r="L1512" s="53" t="n">
        <v>0</v>
      </c>
      <c r="M1512" s="33">
        <f>F1512-E1512</f>
        <v/>
      </c>
      <c r="N1512" s="33">
        <f>L1512-K1512</f>
        <v/>
      </c>
    </row>
    <row r="1513">
      <c r="A1513" s="58" t="inlineStr">
        <is>
          <t>173059 The Stewed Cow</t>
        </is>
      </c>
      <c r="B1513" s="58" t="inlineStr">
        <is>
          <t>Hudson</t>
        </is>
      </c>
      <c r="C1513" s="58" t="inlineStr">
        <is>
          <t>Jaime Colonna</t>
        </is>
      </c>
      <c r="D1513" s="58" t="inlineStr">
        <is>
          <t>On-premise</t>
        </is>
      </c>
      <c r="E1513" s="53" t="n">
        <v>0</v>
      </c>
      <c r="F1513" s="53" t="n">
        <v>0</v>
      </c>
      <c r="G1513" s="55" t="n">
        <v>0</v>
      </c>
      <c r="H1513" s="55" t="n">
        <v>0</v>
      </c>
      <c r="I1513" s="53" t="n">
        <v>0</v>
      </c>
      <c r="J1513" s="53" t="n">
        <v>7</v>
      </c>
      <c r="K1513" s="53" t="n">
        <v>0</v>
      </c>
      <c r="L1513" s="53" t="n">
        <v>0</v>
      </c>
      <c r="M1513" s="33">
        <f>F1513-E1513</f>
        <v/>
      </c>
      <c r="N1513" s="33">
        <f>L1513-K1513</f>
        <v/>
      </c>
    </row>
    <row r="1514">
      <c r="A1514" s="58" t="inlineStr">
        <is>
          <t>170147 White Star Bar</t>
        </is>
      </c>
      <c r="B1514" s="58" t="inlineStr">
        <is>
          <t>Hudson</t>
        </is>
      </c>
      <c r="C1514" s="58" t="inlineStr">
        <is>
          <t>Jaime Colonna</t>
        </is>
      </c>
      <c r="D1514" s="58" t="inlineStr">
        <is>
          <t>On-premise</t>
        </is>
      </c>
      <c r="E1514" s="53" t="n">
        <v>0</v>
      </c>
      <c r="F1514" s="53" t="n">
        <v>0</v>
      </c>
      <c r="G1514" s="55" t="n">
        <v>0</v>
      </c>
      <c r="H1514" s="55" t="n">
        <v>0</v>
      </c>
      <c r="I1514" s="53" t="n">
        <v>27</v>
      </c>
      <c r="J1514" s="53" t="n">
        <v>43</v>
      </c>
      <c r="K1514" s="53" t="n">
        <v>0</v>
      </c>
      <c r="L1514" s="53" t="n">
        <v>0</v>
      </c>
      <c r="M1514" s="33">
        <f>F1514-E1514</f>
        <v/>
      </c>
      <c r="N1514" s="33">
        <f>L1514-K1514</f>
        <v/>
      </c>
    </row>
    <row r="1515">
      <c r="A1515" s="58" t="inlineStr">
        <is>
          <t>170154 White Star Harbor Bar(P)</t>
        </is>
      </c>
      <c r="B1515" s="58" t="inlineStr">
        <is>
          <t>Hudson</t>
        </is>
      </c>
      <c r="C1515" s="58" t="inlineStr">
        <is>
          <t>Jaime Colonna</t>
        </is>
      </c>
      <c r="D1515" s="58" t="inlineStr">
        <is>
          <t>On-premise</t>
        </is>
      </c>
      <c r="E1515" s="53" t="n">
        <v>0</v>
      </c>
      <c r="F1515" s="53" t="n">
        <v>0</v>
      </c>
      <c r="G1515" s="55" t="n">
        <v>0</v>
      </c>
      <c r="H1515" s="55" t="n">
        <v>0</v>
      </c>
      <c r="I1515" s="53" t="n">
        <v>133</v>
      </c>
      <c r="J1515" s="53" t="n">
        <v>153</v>
      </c>
      <c r="K1515" s="53" t="n">
        <v>0</v>
      </c>
      <c r="L1515" s="53" t="n">
        <v>0</v>
      </c>
      <c r="M1515" s="33">
        <f>F1515-E1515</f>
        <v/>
      </c>
      <c r="N1515" s="33">
        <f>L1515-K1515</f>
        <v/>
      </c>
    </row>
    <row r="1516">
      <c r="A1516" s="58" t="inlineStr">
        <is>
          <t>170221 Hudson Hall(A)</t>
        </is>
      </c>
      <c r="B1516" s="58" t="inlineStr">
        <is>
          <t>Hudson</t>
        </is>
      </c>
      <c r="C1516" s="58" t="inlineStr">
        <is>
          <t>Jaime Colonna</t>
        </is>
      </c>
      <c r="D1516" s="58" t="inlineStr">
        <is>
          <t>On-premise</t>
        </is>
      </c>
      <c r="E1516" s="53" t="n">
        <v>0</v>
      </c>
      <c r="F1516" s="53" t="n">
        <v>0</v>
      </c>
      <c r="G1516" s="55" t="n">
        <v>0</v>
      </c>
      <c r="H1516" s="55" t="n">
        <v>0</v>
      </c>
      <c r="I1516" s="53" t="n">
        <v>52</v>
      </c>
      <c r="J1516" s="53" t="n">
        <v>70</v>
      </c>
      <c r="K1516" s="53" t="n">
        <v>0</v>
      </c>
      <c r="L1516" s="53" t="n">
        <v>0</v>
      </c>
      <c r="M1516" s="33">
        <f>F1516-E1516</f>
        <v/>
      </c>
      <c r="N1516" s="33">
        <f>L1516-K1516</f>
        <v/>
      </c>
    </row>
    <row r="1517">
      <c r="A1517" s="58" t="inlineStr">
        <is>
          <t>170471 Union Hall</t>
        </is>
      </c>
      <c r="B1517" s="58" t="inlineStr">
        <is>
          <t>Hudson</t>
        </is>
      </c>
      <c r="C1517" s="58" t="inlineStr">
        <is>
          <t>Jaime Colonna</t>
        </is>
      </c>
      <c r="D1517" s="58" t="inlineStr">
        <is>
          <t>On-premise</t>
        </is>
      </c>
      <c r="E1517" s="53" t="n">
        <v>0</v>
      </c>
      <c r="F1517" s="53" t="n">
        <v>0</v>
      </c>
      <c r="G1517" s="55" t="n">
        <v>0</v>
      </c>
      <c r="H1517" s="55" t="n">
        <v>0</v>
      </c>
      <c r="I1517" s="53" t="n">
        <v>67</v>
      </c>
      <c r="J1517" s="53" t="n">
        <v>0</v>
      </c>
      <c r="K1517" s="53" t="n">
        <v>0</v>
      </c>
      <c r="L1517" s="53" t="n">
        <v>0</v>
      </c>
      <c r="M1517" s="33">
        <f>F1517-E1517</f>
        <v/>
      </c>
      <c r="N1517" s="33">
        <f>L1517-K1517</f>
        <v/>
      </c>
    </row>
    <row r="1518">
      <c r="A1518" s="58" t="inlineStr">
        <is>
          <t>170032 Texas-Arizona (A)</t>
        </is>
      </c>
      <c r="B1518" s="58" t="inlineStr">
        <is>
          <t>Hudson</t>
        </is>
      </c>
      <c r="C1518" s="58" t="inlineStr">
        <is>
          <t>Jaime Colonna</t>
        </is>
      </c>
      <c r="D1518" s="58" t="inlineStr">
        <is>
          <t>On-premise</t>
        </is>
      </c>
      <c r="E1518" s="53" t="n">
        <v>0</v>
      </c>
      <c r="F1518" s="53" t="n">
        <v>0</v>
      </c>
      <c r="G1518" s="55" t="n">
        <v>0</v>
      </c>
      <c r="H1518" s="55" t="n">
        <v>0</v>
      </c>
      <c r="I1518" s="53" t="n">
        <v>7</v>
      </c>
      <c r="J1518" s="53" t="n">
        <v>51</v>
      </c>
      <c r="K1518" s="53" t="n">
        <v>0</v>
      </c>
      <c r="L1518" s="53" t="n">
        <v>0</v>
      </c>
      <c r="M1518" s="33">
        <f>F1518-E1518</f>
        <v/>
      </c>
      <c r="N1518" s="33">
        <f>L1518-K1518</f>
        <v/>
      </c>
    </row>
    <row r="1519">
      <c r="A1519" s="58" t="inlineStr">
        <is>
          <t>170045 Cork Wines &amp; Spirits (Hoboken)</t>
        </is>
      </c>
      <c r="B1519" s="58" t="inlineStr">
        <is>
          <t>Hudson</t>
        </is>
      </c>
      <c r="C1519" s="58" t="inlineStr">
        <is>
          <t>Jaime Colonna</t>
        </is>
      </c>
      <c r="D1519" s="58" t="inlineStr">
        <is>
          <t>Off-premise</t>
        </is>
      </c>
      <c r="E1519" s="53" t="n">
        <v>0</v>
      </c>
      <c r="F1519" s="53" t="n">
        <v>0</v>
      </c>
      <c r="G1519" s="55" t="n">
        <v>0</v>
      </c>
      <c r="H1519" s="55" t="n">
        <v>0</v>
      </c>
      <c r="I1519" s="53" t="n">
        <v>0</v>
      </c>
      <c r="J1519" s="53" t="n">
        <v>0</v>
      </c>
      <c r="K1519" s="53" t="n">
        <v>0</v>
      </c>
      <c r="L1519" s="53" t="n">
        <v>0</v>
      </c>
      <c r="M1519" s="33">
        <f>F1519-E1519</f>
        <v/>
      </c>
      <c r="N1519" s="33">
        <f>L1519-K1519</f>
        <v/>
      </c>
    </row>
    <row r="1520">
      <c r="A1520" s="58" t="inlineStr">
        <is>
          <t>170300 Ray's Liquors</t>
        </is>
      </c>
      <c r="B1520" s="58" t="inlineStr">
        <is>
          <t>Hudson</t>
        </is>
      </c>
      <c r="C1520" s="58" t="inlineStr">
        <is>
          <t>Jaime Colonna</t>
        </is>
      </c>
      <c r="D1520" s="58" t="inlineStr">
        <is>
          <t>Off-premise</t>
        </is>
      </c>
      <c r="E1520" s="53" t="n">
        <v>0</v>
      </c>
      <c r="F1520" s="53" t="n">
        <v>0</v>
      </c>
      <c r="G1520" s="55" t="n">
        <v>0</v>
      </c>
      <c r="H1520" s="55" t="n">
        <v>0</v>
      </c>
      <c r="I1520" s="53" t="n">
        <v>130</v>
      </c>
      <c r="J1520" s="53" t="n">
        <v>91</v>
      </c>
      <c r="K1520" s="53" t="n">
        <v>0</v>
      </c>
      <c r="L1520" s="53" t="n">
        <v>0</v>
      </c>
      <c r="M1520" s="33">
        <f>F1520-E1520</f>
        <v/>
      </c>
      <c r="N1520" s="33">
        <f>L1520-K1520</f>
        <v/>
      </c>
    </row>
    <row r="1521">
      <c r="A1521" s="58" t="inlineStr">
        <is>
          <t>179012 Plank Road Inn (A)</t>
        </is>
      </c>
      <c r="B1521" s="58" t="inlineStr">
        <is>
          <t>Hudson</t>
        </is>
      </c>
      <c r="C1521" s="58" t="inlineStr">
        <is>
          <t>Jaime Colonna</t>
        </is>
      </c>
      <c r="D1521" s="58" t="inlineStr">
        <is>
          <t>On-premise</t>
        </is>
      </c>
      <c r="E1521" s="53" t="n">
        <v>0</v>
      </c>
      <c r="F1521" s="53" t="n">
        <v>0</v>
      </c>
      <c r="G1521" s="55" t="n">
        <v>0</v>
      </c>
      <c r="H1521" s="55" t="n">
        <v>0</v>
      </c>
      <c r="I1521" s="53" t="n">
        <v>17</v>
      </c>
      <c r="J1521" s="53" t="n">
        <v>8</v>
      </c>
      <c r="K1521" s="53" t="n">
        <v>0</v>
      </c>
      <c r="L1521" s="53" t="n">
        <v>0</v>
      </c>
      <c r="M1521" s="33">
        <f>F1521-E1521</f>
        <v/>
      </c>
      <c r="N1521" s="33">
        <f>L1521-K1521</f>
        <v/>
      </c>
    </row>
    <row r="1522">
      <c r="A1522" s="58" t="inlineStr">
        <is>
          <t>170042 O'nieal's (A)</t>
        </is>
      </c>
      <c r="B1522" s="58" t="inlineStr">
        <is>
          <t>Hudson</t>
        </is>
      </c>
      <c r="C1522" s="58" t="inlineStr">
        <is>
          <t>Jaime Colonna</t>
        </is>
      </c>
      <c r="D1522" s="58" t="inlineStr">
        <is>
          <t>On-premise</t>
        </is>
      </c>
      <c r="E1522" s="53" t="n">
        <v>0</v>
      </c>
      <c r="F1522" s="53" t="n">
        <v>0</v>
      </c>
      <c r="G1522" s="55" t="n">
        <v>0</v>
      </c>
      <c r="H1522" s="55" t="n">
        <v>0</v>
      </c>
      <c r="I1522" s="53" t="n">
        <v>57</v>
      </c>
      <c r="J1522" s="53" t="n">
        <v>17</v>
      </c>
      <c r="K1522" s="53" t="n">
        <v>0</v>
      </c>
      <c r="L1522" s="53" t="n">
        <v>0</v>
      </c>
      <c r="M1522" s="33">
        <f>F1522-E1522</f>
        <v/>
      </c>
      <c r="N1522" s="33">
        <f>L1522-K1522</f>
        <v/>
      </c>
    </row>
    <row r="1523">
      <c r="A1523" s="58" t="inlineStr">
        <is>
          <t>170118 Madison Bar &amp; Grill</t>
        </is>
      </c>
      <c r="B1523" s="58" t="inlineStr">
        <is>
          <t>Hudson</t>
        </is>
      </c>
      <c r="C1523" s="58" t="inlineStr">
        <is>
          <t>Jaime Colonna</t>
        </is>
      </c>
      <c r="D1523" s="58" t="inlineStr">
        <is>
          <t>On-premise</t>
        </is>
      </c>
      <c r="E1523" s="53" t="n">
        <v>0</v>
      </c>
      <c r="F1523" s="53" t="n">
        <v>0</v>
      </c>
      <c r="G1523" s="55" t="n">
        <v>0</v>
      </c>
      <c r="H1523" s="55" t="n">
        <v>0</v>
      </c>
      <c r="I1523" s="53" t="n">
        <v>21</v>
      </c>
      <c r="J1523" s="53" t="n">
        <v>154</v>
      </c>
      <c r="K1523" s="53" t="n">
        <v>0</v>
      </c>
      <c r="L1523" s="53" t="n">
        <v>0</v>
      </c>
      <c r="M1523" s="33">
        <f>F1523-E1523</f>
        <v/>
      </c>
      <c r="N1523" s="33">
        <f>L1523-K1523</f>
        <v/>
      </c>
    </row>
    <row r="1524">
      <c r="A1524" s="58" t="inlineStr">
        <is>
          <t>170156 City Bistro (A)</t>
        </is>
      </c>
      <c r="B1524" s="58" t="inlineStr">
        <is>
          <t>Hudson</t>
        </is>
      </c>
      <c r="C1524" s="58" t="inlineStr">
        <is>
          <t>Jaime Colonna</t>
        </is>
      </c>
      <c r="D1524" s="58" t="inlineStr">
        <is>
          <t>On-premise</t>
        </is>
      </c>
      <c r="E1524" s="53" t="n">
        <v>0</v>
      </c>
      <c r="F1524" s="53" t="n">
        <v>0</v>
      </c>
      <c r="G1524" s="55" t="n">
        <v>0</v>
      </c>
      <c r="H1524" s="55" t="n">
        <v>0</v>
      </c>
      <c r="I1524" s="53" t="n">
        <v>50</v>
      </c>
      <c r="J1524" s="53" t="n">
        <v>14</v>
      </c>
      <c r="K1524" s="53" t="n">
        <v>0</v>
      </c>
      <c r="L1524" s="53" t="n">
        <v>0</v>
      </c>
      <c r="M1524" s="33">
        <f>F1524-E1524</f>
        <v/>
      </c>
      <c r="N1524" s="33">
        <f>L1524-K1524</f>
        <v/>
      </c>
    </row>
    <row r="1525">
      <c r="A1525" s="58" t="inlineStr">
        <is>
          <t>170280 Stingray Lounge</t>
        </is>
      </c>
      <c r="B1525" s="58" t="inlineStr">
        <is>
          <t>Hudson</t>
        </is>
      </c>
      <c r="C1525" s="58" t="inlineStr">
        <is>
          <t>Jaime Colonna</t>
        </is>
      </c>
      <c r="D1525" s="58" t="inlineStr">
        <is>
          <t>On-premise</t>
        </is>
      </c>
      <c r="E1525" s="53" t="n">
        <v>0</v>
      </c>
      <c r="F1525" s="53" t="n">
        <v>0</v>
      </c>
      <c r="G1525" s="55" t="n">
        <v>0</v>
      </c>
      <c r="H1525" s="55" t="n">
        <v>0</v>
      </c>
      <c r="I1525" s="53" t="n">
        <v>8</v>
      </c>
      <c r="J1525" s="53" t="n">
        <v>16</v>
      </c>
      <c r="K1525" s="53" t="n">
        <v>0</v>
      </c>
      <c r="L1525" s="53" t="n">
        <v>0</v>
      </c>
      <c r="M1525" s="33">
        <f>F1525-E1525</f>
        <v/>
      </c>
      <c r="N1525" s="33">
        <f>L1525-K1525</f>
        <v/>
      </c>
    </row>
    <row r="1526">
      <c r="A1526" s="58" t="inlineStr">
        <is>
          <t>171011 Belo Bar</t>
        </is>
      </c>
      <c r="B1526" s="58" t="inlineStr">
        <is>
          <t>Hudson</t>
        </is>
      </c>
      <c r="C1526" s="58" t="inlineStr">
        <is>
          <t>Jaime Colonna</t>
        </is>
      </c>
      <c r="D1526" s="58" t="inlineStr">
        <is>
          <t>On-premise</t>
        </is>
      </c>
      <c r="E1526" s="53" t="n">
        <v>0</v>
      </c>
      <c r="F1526" s="53" t="n">
        <v>0</v>
      </c>
      <c r="G1526" s="55" t="n">
        <v>0</v>
      </c>
      <c r="H1526" s="55" t="n">
        <v>0</v>
      </c>
      <c r="I1526" s="53" t="n">
        <v>15</v>
      </c>
      <c r="J1526" s="53" t="n">
        <v>15</v>
      </c>
      <c r="K1526" s="53" t="n">
        <v>0</v>
      </c>
      <c r="L1526" s="53" t="n">
        <v>0</v>
      </c>
      <c r="M1526" s="33">
        <f>F1526-E1526</f>
        <v/>
      </c>
      <c r="N1526" s="33">
        <f>L1526-K1526</f>
        <v/>
      </c>
    </row>
    <row r="1527">
      <c r="A1527" s="58" t="inlineStr">
        <is>
          <t>173037 Hudson Golf - Hoboken</t>
        </is>
      </c>
      <c r="B1527" s="58" t="inlineStr">
        <is>
          <t>Hudson</t>
        </is>
      </c>
      <c r="C1527" s="58" t="inlineStr">
        <is>
          <t>Jaime Colonna</t>
        </is>
      </c>
      <c r="D1527" s="58" t="inlineStr">
        <is>
          <t>On-premise</t>
        </is>
      </c>
      <c r="E1527" s="53" t="n">
        <v>0</v>
      </c>
      <c r="F1527" s="53" t="n">
        <v>0</v>
      </c>
      <c r="G1527" s="55" t="n">
        <v>0</v>
      </c>
      <c r="H1527" s="55" t="n">
        <v>0</v>
      </c>
      <c r="I1527" s="53" t="n">
        <v>21</v>
      </c>
      <c r="J1527" s="53" t="n">
        <v>9</v>
      </c>
      <c r="K1527" s="53" t="n">
        <v>0</v>
      </c>
      <c r="L1527" s="53" t="n">
        <v>0</v>
      </c>
      <c r="M1527" s="33">
        <f>F1527-E1527</f>
        <v/>
      </c>
      <c r="N1527" s="33">
        <f>L1527-K1527</f>
        <v/>
      </c>
    </row>
    <row r="1528">
      <c r="A1528" s="58" t="inlineStr">
        <is>
          <t>173053 Finnegans</t>
        </is>
      </c>
      <c r="B1528" s="58" t="inlineStr">
        <is>
          <t>Hudson</t>
        </is>
      </c>
      <c r="C1528" s="58" t="inlineStr">
        <is>
          <t>Jaime Colonna</t>
        </is>
      </c>
      <c r="D1528" s="58" t="inlineStr">
        <is>
          <t>On-premise</t>
        </is>
      </c>
      <c r="E1528" s="53" t="n">
        <v>0</v>
      </c>
      <c r="F1528" s="53" t="n">
        <v>0</v>
      </c>
      <c r="G1528" s="55" t="n">
        <v>0</v>
      </c>
      <c r="H1528" s="55" t="n">
        <v>0</v>
      </c>
      <c r="I1528" s="53" t="n">
        <v>71</v>
      </c>
      <c r="J1528" s="53" t="n">
        <v>83</v>
      </c>
      <c r="K1528" s="53" t="n">
        <v>0</v>
      </c>
      <c r="L1528" s="53" t="n">
        <v>0</v>
      </c>
      <c r="M1528" s="33">
        <f>F1528-E1528</f>
        <v/>
      </c>
      <c r="N1528" s="33">
        <f>L1528-K1528</f>
        <v/>
      </c>
    </row>
    <row r="1529">
      <c r="A1529" s="58" t="inlineStr">
        <is>
          <t>173078 Cheese+Wine</t>
        </is>
      </c>
      <c r="B1529" s="58" t="inlineStr">
        <is>
          <t>Hudson</t>
        </is>
      </c>
      <c r="C1529" s="58" t="inlineStr">
        <is>
          <t>Jaime Colonna</t>
        </is>
      </c>
      <c r="D1529" s="58" t="inlineStr">
        <is>
          <t>On-premise</t>
        </is>
      </c>
      <c r="E1529" s="53" t="n">
        <v>0</v>
      </c>
      <c r="F1529" s="53" t="n">
        <v>0</v>
      </c>
      <c r="G1529" s="55" t="n">
        <v>0</v>
      </c>
      <c r="H1529" s="55" t="n">
        <v>0</v>
      </c>
      <c r="I1529" s="53" t="n">
        <v>24</v>
      </c>
      <c r="J1529" s="53" t="n">
        <v>19</v>
      </c>
      <c r="K1529" s="53" t="n">
        <v>0</v>
      </c>
      <c r="L1529" s="53" t="n">
        <v>0</v>
      </c>
      <c r="M1529" s="33">
        <f>F1529-E1529</f>
        <v/>
      </c>
      <c r="N1529" s="33">
        <f>L1529-K1529</f>
        <v/>
      </c>
    </row>
    <row r="1530">
      <c r="A1530" s="58" t="inlineStr">
        <is>
          <t>173079 Snack Bar</t>
        </is>
      </c>
      <c r="B1530" s="58" t="inlineStr">
        <is>
          <t>Hudson</t>
        </is>
      </c>
      <c r="C1530" s="58" t="inlineStr">
        <is>
          <t>Jaime Colonna</t>
        </is>
      </c>
      <c r="D1530" s="58" t="inlineStr">
        <is>
          <t>On-premise</t>
        </is>
      </c>
      <c r="E1530" s="53" t="n">
        <v>0</v>
      </c>
      <c r="F1530" s="53" t="n">
        <v>0</v>
      </c>
      <c r="G1530" s="55" t="n">
        <v>0</v>
      </c>
      <c r="H1530" s="55" t="n">
        <v>0</v>
      </c>
      <c r="I1530" s="53" t="n">
        <v>0</v>
      </c>
      <c r="J1530" s="53" t="n">
        <v>26</v>
      </c>
      <c r="K1530" s="53" t="n">
        <v>0</v>
      </c>
      <c r="L1530" s="53" t="n">
        <v>0</v>
      </c>
      <c r="M1530" s="33">
        <f>F1530-E1530</f>
        <v/>
      </c>
      <c r="N1530" s="33">
        <f>L1530-K1530</f>
        <v/>
      </c>
    </row>
    <row r="1531">
      <c r="A1531" s="58" t="inlineStr">
        <is>
          <t>170264 Boots and Bones</t>
        </is>
      </c>
      <c r="B1531" s="58" t="inlineStr">
        <is>
          <t>Hudson</t>
        </is>
      </c>
      <c r="C1531" s="58" t="inlineStr">
        <is>
          <t>Jaime Colonna</t>
        </is>
      </c>
      <c r="D1531" s="58" t="inlineStr">
        <is>
          <t>On-premise</t>
        </is>
      </c>
      <c r="E1531" s="53" t="n">
        <v>0</v>
      </c>
      <c r="F1531" s="53" t="n">
        <v>0</v>
      </c>
      <c r="G1531" s="55" t="n">
        <v>0</v>
      </c>
      <c r="H1531" s="55" t="n">
        <v>0</v>
      </c>
      <c r="I1531" s="53" t="n">
        <v>29</v>
      </c>
      <c r="J1531" s="53" t="n">
        <v>17</v>
      </c>
      <c r="K1531" s="53" t="n">
        <v>0</v>
      </c>
      <c r="L1531" s="53" t="n">
        <v>0</v>
      </c>
      <c r="M1531" s="33">
        <f>F1531-E1531</f>
        <v/>
      </c>
      <c r="N1531" s="33">
        <f>L1531-K1531</f>
        <v/>
      </c>
    </row>
    <row r="1532">
      <c r="A1532" s="58" t="inlineStr">
        <is>
          <t>170278 Hyatt House Jersey City</t>
        </is>
      </c>
      <c r="B1532" s="58" t="inlineStr">
        <is>
          <t>Hudson</t>
        </is>
      </c>
      <c r="C1532" s="58" t="inlineStr">
        <is>
          <t>Jaime Colonna</t>
        </is>
      </c>
      <c r="D1532" s="58" t="inlineStr">
        <is>
          <t>On-premise</t>
        </is>
      </c>
      <c r="E1532" s="53" t="n">
        <v>0</v>
      </c>
      <c r="F1532" s="53" t="n">
        <v>0</v>
      </c>
      <c r="G1532" s="55" t="n">
        <v>0</v>
      </c>
      <c r="H1532" s="55" t="n">
        <v>0</v>
      </c>
      <c r="I1532" s="53" t="n">
        <v>25</v>
      </c>
      <c r="J1532" s="53" t="n">
        <v>0</v>
      </c>
      <c r="K1532" s="53" t="n">
        <v>0</v>
      </c>
      <c r="L1532" s="53" t="n">
        <v>0</v>
      </c>
      <c r="M1532" s="33">
        <f>F1532-E1532</f>
        <v/>
      </c>
      <c r="N1532" s="33">
        <f>L1532-K1532</f>
        <v/>
      </c>
    </row>
    <row r="1533">
      <c r="A1533" s="58" t="inlineStr">
        <is>
          <t>170288 Canopy Jersey City</t>
        </is>
      </c>
      <c r="B1533" s="58" t="inlineStr">
        <is>
          <t>Hudson</t>
        </is>
      </c>
      <c r="C1533" s="58" t="inlineStr">
        <is>
          <t>Jaime Colonna</t>
        </is>
      </c>
      <c r="D1533" s="58" t="inlineStr">
        <is>
          <t>On-premise</t>
        </is>
      </c>
      <c r="E1533" s="53" t="n">
        <v>0</v>
      </c>
      <c r="F1533" s="53" t="n">
        <v>0</v>
      </c>
      <c r="G1533" s="55" t="n">
        <v>0</v>
      </c>
      <c r="H1533" s="55" t="n">
        <v>0</v>
      </c>
      <c r="I1533" s="53" t="n">
        <v>3</v>
      </c>
      <c r="J1533" s="53" t="n">
        <v>0</v>
      </c>
      <c r="K1533" s="53" t="n">
        <v>0</v>
      </c>
      <c r="L1533" s="53" t="n">
        <v>0</v>
      </c>
      <c r="M1533" s="33">
        <f>F1533-E1533</f>
        <v/>
      </c>
      <c r="N1533" s="33">
        <f>L1533-K1533</f>
        <v/>
      </c>
    </row>
    <row r="1534">
      <c r="A1534" s="58" t="inlineStr">
        <is>
          <t>170294 Halifax Restaurant</t>
        </is>
      </c>
      <c r="B1534" s="58" t="inlineStr">
        <is>
          <t>Hudson</t>
        </is>
      </c>
      <c r="C1534" s="58" t="inlineStr">
        <is>
          <t>Jaime Colonna</t>
        </is>
      </c>
      <c r="D1534" s="58" t="inlineStr">
        <is>
          <t>On-premise</t>
        </is>
      </c>
      <c r="E1534" s="53" t="n">
        <v>0</v>
      </c>
      <c r="F1534" s="53" t="n">
        <v>0</v>
      </c>
      <c r="G1534" s="55" t="n">
        <v>0</v>
      </c>
      <c r="H1534" s="55" t="n">
        <v>0</v>
      </c>
      <c r="I1534" s="53" t="n">
        <v>0</v>
      </c>
      <c r="J1534" s="53" t="n">
        <v>8</v>
      </c>
      <c r="K1534" s="53" t="n">
        <v>0</v>
      </c>
      <c r="L1534" s="53" t="n">
        <v>0</v>
      </c>
      <c r="M1534" s="33">
        <f>F1534-E1534</f>
        <v/>
      </c>
      <c r="N1534" s="33">
        <f>L1534-K1534</f>
        <v/>
      </c>
    </row>
    <row r="1535">
      <c r="A1535" s="58" t="inlineStr">
        <is>
          <t>170167 South House</t>
        </is>
      </c>
      <c r="B1535" s="58" t="inlineStr">
        <is>
          <t>Hudson</t>
        </is>
      </c>
      <c r="C1535" s="58" t="inlineStr">
        <is>
          <t>Jaime Colonna</t>
        </is>
      </c>
      <c r="D1535" s="58" t="inlineStr">
        <is>
          <t>On-premise</t>
        </is>
      </c>
      <c r="E1535" s="53" t="n">
        <v>0</v>
      </c>
      <c r="F1535" s="53" t="n">
        <v>0</v>
      </c>
      <c r="G1535" s="55" t="n">
        <v>0</v>
      </c>
      <c r="H1535" s="55" t="n">
        <v>0</v>
      </c>
      <c r="I1535" s="53" t="n">
        <v>10</v>
      </c>
      <c r="J1535" s="53" t="n">
        <v>10</v>
      </c>
      <c r="K1535" s="53" t="n">
        <v>0</v>
      </c>
      <c r="L1535" s="53" t="n">
        <v>0</v>
      </c>
      <c r="M1535" s="33">
        <f>F1535-E1535</f>
        <v/>
      </c>
      <c r="N1535" s="33">
        <f>L1535-K1535</f>
        <v/>
      </c>
    </row>
    <row r="1536">
      <c r="A1536" s="58" t="inlineStr">
        <is>
          <t>170235 Lucky 7 Tavern</t>
        </is>
      </c>
      <c r="B1536" s="58" t="inlineStr">
        <is>
          <t>Hudson</t>
        </is>
      </c>
      <c r="C1536" s="58" t="inlineStr">
        <is>
          <t>Jaime Colonna</t>
        </is>
      </c>
      <c r="D1536" s="58" t="inlineStr">
        <is>
          <t>On-premise</t>
        </is>
      </c>
      <c r="E1536" s="53" t="n">
        <v>0</v>
      </c>
      <c r="F1536" s="53" t="n">
        <v>0</v>
      </c>
      <c r="G1536" s="55" t="n">
        <v>0</v>
      </c>
      <c r="H1536" s="55" t="n">
        <v>0</v>
      </c>
      <c r="I1536" s="53" t="n">
        <v>268</v>
      </c>
      <c r="J1536" s="53" t="n">
        <v>341</v>
      </c>
      <c r="K1536" s="53" t="n">
        <v>0</v>
      </c>
      <c r="L1536" s="53" t="n">
        <v>0</v>
      </c>
      <c r="M1536" s="33">
        <f>F1536-E1536</f>
        <v/>
      </c>
      <c r="N1536" s="33">
        <f>L1536-K1536</f>
        <v/>
      </c>
    </row>
    <row r="1537">
      <c r="A1537" s="58" t="inlineStr">
        <is>
          <t>170313 Astor Bar &amp; Grill</t>
        </is>
      </c>
      <c r="B1537" s="58" t="inlineStr">
        <is>
          <t>Hudson</t>
        </is>
      </c>
      <c r="C1537" s="58" t="inlineStr">
        <is>
          <t>Jaime Colonna</t>
        </is>
      </c>
      <c r="D1537" s="58" t="inlineStr">
        <is>
          <t>On-premise</t>
        </is>
      </c>
      <c r="E1537" s="53" t="n">
        <v>0</v>
      </c>
      <c r="F1537" s="53" t="n">
        <v>0</v>
      </c>
      <c r="G1537" s="55" t="n">
        <v>0</v>
      </c>
      <c r="H1537" s="55" t="n">
        <v>0</v>
      </c>
      <c r="I1537" s="53" t="n">
        <v>28</v>
      </c>
      <c r="J1537" s="53" t="n">
        <v>48</v>
      </c>
      <c r="K1537" s="53" t="n">
        <v>0</v>
      </c>
      <c r="L1537" s="53" t="n">
        <v>0</v>
      </c>
      <c r="M1537" s="33">
        <f>F1537-E1537</f>
        <v/>
      </c>
      <c r="N1537" s="33">
        <f>L1537-K1537</f>
        <v/>
      </c>
    </row>
    <row r="1538">
      <c r="A1538" s="58" t="inlineStr">
        <is>
          <t>170153 Molos Rest</t>
        </is>
      </c>
      <c r="B1538" s="58" t="inlineStr">
        <is>
          <t>Hudson</t>
        </is>
      </c>
      <c r="C1538" s="58" t="inlineStr">
        <is>
          <t>Jaime Colonna</t>
        </is>
      </c>
      <c r="D1538" s="58" t="inlineStr">
        <is>
          <t>On-premise</t>
        </is>
      </c>
      <c r="E1538" s="53" t="n">
        <v>0</v>
      </c>
      <c r="F1538" s="53" t="n">
        <v>0</v>
      </c>
      <c r="G1538" s="55" t="n">
        <v>0</v>
      </c>
      <c r="H1538" s="55" t="n">
        <v>0</v>
      </c>
      <c r="I1538" s="53" t="n">
        <v>34</v>
      </c>
      <c r="J1538" s="53" t="n">
        <v>42</v>
      </c>
      <c r="K1538" s="53" t="n">
        <v>0</v>
      </c>
      <c r="L1538" s="53" t="n">
        <v>0</v>
      </c>
      <c r="M1538" s="33">
        <f>F1538-E1538</f>
        <v/>
      </c>
      <c r="N1538" s="33">
        <f>L1538-K1538</f>
        <v/>
      </c>
    </row>
    <row r="1539">
      <c r="A1539" s="58" t="inlineStr">
        <is>
          <t>173068 The Hutten Tavern</t>
        </is>
      </c>
      <c r="B1539" s="58" t="inlineStr">
        <is>
          <t>Hudson</t>
        </is>
      </c>
      <c r="C1539" s="58" t="inlineStr">
        <is>
          <t>Jaime Colonna</t>
        </is>
      </c>
      <c r="D1539" s="58" t="inlineStr">
        <is>
          <t>On-premise</t>
        </is>
      </c>
      <c r="E1539" s="53" t="n">
        <v>0</v>
      </c>
      <c r="F1539" s="53" t="n">
        <v>0</v>
      </c>
      <c r="G1539" s="55" t="n">
        <v>0</v>
      </c>
      <c r="H1539" s="55" t="n">
        <v>0</v>
      </c>
      <c r="I1539" s="53" t="n">
        <v>0</v>
      </c>
      <c r="J1539" s="53" t="n">
        <v>21</v>
      </c>
      <c r="K1539" s="53" t="n">
        <v>0</v>
      </c>
      <c r="L1539" s="53" t="n">
        <v>0</v>
      </c>
      <c r="M1539" s="33">
        <f>F1539-E1539</f>
        <v/>
      </c>
      <c r="N1539" s="33">
        <f>L1539-K1539</f>
        <v/>
      </c>
    </row>
    <row r="1540">
      <c r="A1540" s="58" t="inlineStr">
        <is>
          <t>170236 Taphaus</t>
        </is>
      </c>
      <c r="B1540" s="58" t="inlineStr">
        <is>
          <t>Hudson</t>
        </is>
      </c>
      <c r="C1540" s="58" t="inlineStr">
        <is>
          <t>Jaime Colonna</t>
        </is>
      </c>
      <c r="D1540" s="58" t="inlineStr">
        <is>
          <t>On-premise</t>
        </is>
      </c>
      <c r="E1540" s="53" t="n">
        <v>0</v>
      </c>
      <c r="F1540" s="53" t="n">
        <v>0</v>
      </c>
      <c r="G1540" s="55" t="n">
        <v>0</v>
      </c>
      <c r="H1540" s="55" t="n">
        <v>0</v>
      </c>
      <c r="I1540" s="53" t="n">
        <v>76</v>
      </c>
      <c r="J1540" s="53" t="n">
        <v>7</v>
      </c>
      <c r="K1540" s="53" t="n">
        <v>0</v>
      </c>
      <c r="L1540" s="53" t="n">
        <v>0</v>
      </c>
      <c r="M1540" s="33">
        <f>F1540-E1540</f>
        <v/>
      </c>
      <c r="N1540" s="33">
        <f>L1540-K1540</f>
        <v/>
      </c>
    </row>
    <row r="1541">
      <c r="A1541" s="58" t="inlineStr">
        <is>
          <t>173054 10th &amp; Willow Bar &amp; Grill</t>
        </is>
      </c>
      <c r="B1541" s="58" t="inlineStr">
        <is>
          <t>Hudson</t>
        </is>
      </c>
      <c r="C1541" s="58" t="inlineStr">
        <is>
          <t>Jaime Colonna</t>
        </is>
      </c>
      <c r="D1541" s="58" t="inlineStr">
        <is>
          <t>On-premise</t>
        </is>
      </c>
      <c r="E1541" s="53" t="n">
        <v>0</v>
      </c>
      <c r="F1541" s="53" t="n">
        <v>0</v>
      </c>
      <c r="G1541" s="55" t="n">
        <v>0</v>
      </c>
      <c r="H1541" s="55" t="n">
        <v>0</v>
      </c>
      <c r="I1541" s="53" t="n">
        <v>7</v>
      </c>
      <c r="J1541" s="53" t="n">
        <v>28</v>
      </c>
      <c r="K1541" s="53" t="n">
        <v>0</v>
      </c>
      <c r="L1541" s="53" t="n">
        <v>0</v>
      </c>
      <c r="M1541" s="33">
        <f>F1541-E1541</f>
        <v/>
      </c>
      <c r="N1541" s="33">
        <f>L1541-K1541</f>
        <v/>
      </c>
    </row>
    <row r="1542">
      <c r="A1542" s="58" t="inlineStr">
        <is>
          <t>170059 Mulligan's (P)</t>
        </is>
      </c>
      <c r="B1542" s="58" t="inlineStr">
        <is>
          <t>Hudson</t>
        </is>
      </c>
      <c r="C1542" s="58" t="inlineStr">
        <is>
          <t>Jaime Colonna</t>
        </is>
      </c>
      <c r="D1542" s="58" t="inlineStr">
        <is>
          <t>On-premise</t>
        </is>
      </c>
      <c r="E1542" s="53" t="n">
        <v>0</v>
      </c>
      <c r="F1542" s="53" t="n">
        <v>0</v>
      </c>
      <c r="G1542" s="55" t="n">
        <v>0</v>
      </c>
      <c r="H1542" s="55" t="n">
        <v>0</v>
      </c>
      <c r="I1542" s="53" t="n">
        <v>136</v>
      </c>
      <c r="J1542" s="53" t="n">
        <v>184</v>
      </c>
      <c r="K1542" s="53" t="n">
        <v>0</v>
      </c>
      <c r="L1542" s="53" t="n">
        <v>0</v>
      </c>
      <c r="M1542" s="33">
        <f>F1542-E1542</f>
        <v/>
      </c>
      <c r="N1542" s="33">
        <f>L1542-K1542</f>
        <v/>
      </c>
    </row>
    <row r="1543">
      <c r="A1543" s="58" t="inlineStr">
        <is>
          <t>170126 Carpe Diem</t>
        </is>
      </c>
      <c r="B1543" s="58" t="inlineStr">
        <is>
          <t>Hudson</t>
        </is>
      </c>
      <c r="C1543" s="58" t="inlineStr">
        <is>
          <t>Jaime Colonna</t>
        </is>
      </c>
      <c r="D1543" s="58" t="inlineStr">
        <is>
          <t>On-premise</t>
        </is>
      </c>
      <c r="E1543" s="53" t="n">
        <v>0</v>
      </c>
      <c r="F1543" s="53" t="n">
        <v>0</v>
      </c>
      <c r="G1543" s="55" t="n">
        <v>0</v>
      </c>
      <c r="H1543" s="55" t="n">
        <v>0</v>
      </c>
      <c r="I1543" s="53" t="n">
        <v>10</v>
      </c>
      <c r="J1543" s="53" t="n">
        <v>10</v>
      </c>
      <c r="K1543" s="53" t="n">
        <v>0</v>
      </c>
      <c r="L1543" s="53" t="n">
        <v>0</v>
      </c>
      <c r="M1543" s="33">
        <f>F1543-E1543</f>
        <v/>
      </c>
      <c r="N1543" s="33">
        <f>L1543-K1543</f>
        <v/>
      </c>
    </row>
    <row r="1544">
      <c r="A1544" s="58" t="inlineStr">
        <is>
          <t>170128 Dear Maud</t>
        </is>
      </c>
      <c r="B1544" s="58" t="inlineStr">
        <is>
          <t>Hudson</t>
        </is>
      </c>
      <c r="C1544" s="58" t="inlineStr">
        <is>
          <t>Jaime Colonna</t>
        </is>
      </c>
      <c r="D1544" s="58" t="inlineStr">
        <is>
          <t>On-premise</t>
        </is>
      </c>
      <c r="E1544" s="53" t="n">
        <v>0</v>
      </c>
      <c r="F1544" s="53" t="n">
        <v>0</v>
      </c>
      <c r="G1544" s="55" t="n">
        <v>0</v>
      </c>
      <c r="H1544" s="55" t="n">
        <v>0</v>
      </c>
      <c r="I1544" s="53" t="n">
        <v>41</v>
      </c>
      <c r="J1544" s="53" t="n">
        <v>42</v>
      </c>
      <c r="K1544" s="53" t="n">
        <v>0</v>
      </c>
      <c r="L1544" s="53" t="n">
        <v>0</v>
      </c>
      <c r="M1544" s="33">
        <f>F1544-E1544</f>
        <v/>
      </c>
      <c r="N1544" s="33">
        <f>L1544-K1544</f>
        <v/>
      </c>
    </row>
    <row r="1545">
      <c r="A1545" s="58" t="inlineStr">
        <is>
          <t>170268 The Ashford/Six 26</t>
        </is>
      </c>
      <c r="B1545" s="58" t="inlineStr">
        <is>
          <t>Hudson</t>
        </is>
      </c>
      <c r="C1545" s="58" t="inlineStr">
        <is>
          <t>Jaime Colonna</t>
        </is>
      </c>
      <c r="D1545" s="58" t="inlineStr">
        <is>
          <t>On-premise</t>
        </is>
      </c>
      <c r="E1545" s="53" t="n">
        <v>0</v>
      </c>
      <c r="F1545" s="53" t="n">
        <v>0</v>
      </c>
      <c r="G1545" s="55" t="n">
        <v>0</v>
      </c>
      <c r="H1545" s="55" t="n">
        <v>0</v>
      </c>
      <c r="I1545" s="53" t="n">
        <v>10</v>
      </c>
      <c r="J1545" s="53" t="n">
        <v>43</v>
      </c>
      <c r="K1545" s="53" t="n">
        <v>0</v>
      </c>
      <c r="L1545" s="53" t="n">
        <v>0</v>
      </c>
      <c r="M1545" s="33">
        <f>F1545-E1545</f>
        <v/>
      </c>
      <c r="N1545" s="33">
        <f>L1545-K1545</f>
        <v/>
      </c>
    </row>
    <row r="1546">
      <c r="A1546" s="58" t="inlineStr">
        <is>
          <t>170463 Willie Mcbride's Pub/Rest</t>
        </is>
      </c>
      <c r="B1546" s="58" t="inlineStr">
        <is>
          <t>Hudson</t>
        </is>
      </c>
      <c r="C1546" s="58" t="inlineStr">
        <is>
          <t>Jaime Colonna</t>
        </is>
      </c>
      <c r="D1546" s="58" t="inlineStr">
        <is>
          <t>On-premise</t>
        </is>
      </c>
      <c r="E1546" s="53" t="n">
        <v>0</v>
      </c>
      <c r="F1546" s="53" t="n">
        <v>0</v>
      </c>
      <c r="G1546" s="55" t="n">
        <v>0</v>
      </c>
      <c r="H1546" s="55" t="n">
        <v>0</v>
      </c>
      <c r="I1546" s="53" t="n">
        <v>10</v>
      </c>
      <c r="J1546" s="53" t="n">
        <v>10</v>
      </c>
      <c r="K1546" s="53" t="n">
        <v>0</v>
      </c>
      <c r="L1546" s="53" t="n">
        <v>0</v>
      </c>
      <c r="M1546" s="33">
        <f>F1546-E1546</f>
        <v/>
      </c>
      <c r="N1546" s="33">
        <f>L1546-K1546</f>
        <v/>
      </c>
    </row>
    <row r="1547">
      <c r="A1547" s="58" t="inlineStr">
        <is>
          <t>170170 Grand Vin</t>
        </is>
      </c>
      <c r="B1547" s="58" t="inlineStr">
        <is>
          <t>Hudson</t>
        </is>
      </c>
      <c r="C1547" s="58" t="inlineStr">
        <is>
          <t>Jaime Colonna</t>
        </is>
      </c>
      <c r="D1547" s="58" t="inlineStr">
        <is>
          <t>On-premise</t>
        </is>
      </c>
      <c r="E1547" s="53" t="n">
        <v>0</v>
      </c>
      <c r="F1547" s="53" t="n">
        <v>0</v>
      </c>
      <c r="G1547" s="55" t="n">
        <v>0</v>
      </c>
      <c r="H1547" s="55" t="n">
        <v>0</v>
      </c>
      <c r="I1547" s="53" t="n">
        <v>21</v>
      </c>
      <c r="J1547" s="53" t="n">
        <v>21</v>
      </c>
      <c r="K1547" s="53" t="n">
        <v>0</v>
      </c>
      <c r="L1547" s="53" t="n">
        <v>0</v>
      </c>
      <c r="M1547" s="33">
        <f>F1547-E1547</f>
        <v/>
      </c>
      <c r="N1547" s="33">
        <f>L1547-K1547</f>
        <v/>
      </c>
    </row>
    <row r="1548">
      <c r="A1548" s="58" t="inlineStr">
        <is>
          <t>170249 White Eagle Hall</t>
        </is>
      </c>
      <c r="B1548" s="58" t="inlineStr">
        <is>
          <t>Hudson</t>
        </is>
      </c>
      <c r="C1548" s="58" t="inlineStr">
        <is>
          <t>Jaime Colonna</t>
        </is>
      </c>
      <c r="D1548" s="58" t="inlineStr">
        <is>
          <t>On-premise</t>
        </is>
      </c>
      <c r="E1548" s="53" t="n">
        <v>0</v>
      </c>
      <c r="F1548" s="53" t="n">
        <v>0</v>
      </c>
      <c r="G1548" s="55" t="n">
        <v>0</v>
      </c>
      <c r="H1548" s="55" t="n">
        <v>0</v>
      </c>
      <c r="I1548" s="53" t="n">
        <v>28</v>
      </c>
      <c r="J1548" s="53" t="n">
        <v>0</v>
      </c>
      <c r="K1548" s="53" t="n">
        <v>0</v>
      </c>
      <c r="L1548" s="53" t="n">
        <v>0</v>
      </c>
      <c r="M1548" s="33">
        <f>F1548-E1548</f>
        <v/>
      </c>
      <c r="N1548" s="33">
        <f>L1548-K1548</f>
        <v/>
      </c>
    </row>
    <row r="1549">
      <c r="A1549" s="58" t="inlineStr">
        <is>
          <t>27076 El Asadero Mexican Grill (Passaic)</t>
        </is>
      </c>
      <c r="B1549" s="58" t="inlineStr">
        <is>
          <t>Passaic</t>
        </is>
      </c>
      <c r="C1549" s="58" t="inlineStr">
        <is>
          <t>Javier Melo</t>
        </is>
      </c>
      <c r="D1549" s="58" t="inlineStr">
        <is>
          <t>On-premise</t>
        </is>
      </c>
      <c r="E1549" s="53" t="n">
        <v>0</v>
      </c>
      <c r="F1549" s="53" t="n">
        <v>0</v>
      </c>
      <c r="G1549" s="55" t="n">
        <v>0</v>
      </c>
      <c r="H1549" s="55" t="n">
        <v>0</v>
      </c>
      <c r="I1549" s="53" t="n">
        <v>0</v>
      </c>
      <c r="J1549" s="53" t="n">
        <v>0</v>
      </c>
      <c r="K1549" s="53" t="n">
        <v>0</v>
      </c>
      <c r="L1549" s="53" t="n">
        <v>0</v>
      </c>
      <c r="M1549" s="33">
        <f>F1549-E1549</f>
        <v/>
      </c>
      <c r="N1549" s="33">
        <f>L1549-K1549</f>
        <v/>
      </c>
    </row>
    <row r="1550">
      <c r="A1550" s="58" t="inlineStr">
        <is>
          <t>15083 Amazon Fresh (Woodland Park)</t>
        </is>
      </c>
      <c r="B1550" s="58" t="inlineStr">
        <is>
          <t>Passaic</t>
        </is>
      </c>
      <c r="C1550" s="58" t="inlineStr">
        <is>
          <t>Jim Heaney</t>
        </is>
      </c>
      <c r="D1550" s="58" t="inlineStr">
        <is>
          <t>Unmatched</t>
        </is>
      </c>
      <c r="E1550" s="53" t="n">
        <v>0</v>
      </c>
      <c r="F1550" s="53" t="n">
        <v>0</v>
      </c>
      <c r="G1550" s="55" t="n">
        <v>0</v>
      </c>
      <c r="H1550" s="55" t="n">
        <v>0</v>
      </c>
      <c r="I1550" s="53" t="n">
        <v>50</v>
      </c>
      <c r="J1550" s="53" t="n">
        <v>0</v>
      </c>
      <c r="K1550" s="53" t="n">
        <v>0</v>
      </c>
      <c r="L1550" s="53" t="n">
        <v>0</v>
      </c>
      <c r="M1550" s="33">
        <f>F1550-E1550</f>
        <v/>
      </c>
      <c r="N1550" s="33">
        <f>L1550-K1550</f>
        <v/>
      </c>
    </row>
    <row r="1551">
      <c r="A1551" s="58" t="inlineStr">
        <is>
          <t>190931 Costco 315 Wharton (NA)</t>
        </is>
      </c>
      <c r="B1551" s="58" t="inlineStr">
        <is>
          <t>Morris</t>
        </is>
      </c>
      <c r="C1551" s="58" t="inlineStr">
        <is>
          <t>John Neukum</t>
        </is>
      </c>
      <c r="D1551" s="58" t="inlineStr">
        <is>
          <t>Off-premise</t>
        </is>
      </c>
      <c r="E1551" s="53" t="n">
        <v>0</v>
      </c>
      <c r="F1551" s="53" t="n">
        <v>0</v>
      </c>
      <c r="G1551" s="55" t="n">
        <v>0</v>
      </c>
      <c r="H1551" s="55" t="n">
        <v>0</v>
      </c>
      <c r="I1551" s="53" t="n">
        <v>0</v>
      </c>
      <c r="J1551" s="53" t="n">
        <v>400</v>
      </c>
      <c r="K1551" s="53" t="n">
        <v>0</v>
      </c>
      <c r="L1551" s="53" t="n">
        <v>0</v>
      </c>
      <c r="M1551" s="33">
        <f>F1551-E1551</f>
        <v/>
      </c>
      <c r="N1551" s="33">
        <f>L1551-K1551</f>
        <v/>
      </c>
    </row>
    <row r="1552">
      <c r="A1552" s="58" t="inlineStr">
        <is>
          <t>24059 Costco 306 Clifton (NA)</t>
        </is>
      </c>
      <c r="B1552" s="58" t="inlineStr">
        <is>
          <t>Passaic</t>
        </is>
      </c>
      <c r="C1552" s="58" t="inlineStr">
        <is>
          <t>John Neukum</t>
        </is>
      </c>
      <c r="D1552" s="58" t="inlineStr">
        <is>
          <t>Off-premise</t>
        </is>
      </c>
      <c r="E1552" s="53" t="n">
        <v>0</v>
      </c>
      <c r="F1552" s="53" t="n">
        <v>0</v>
      </c>
      <c r="G1552" s="55" t="n">
        <v>0</v>
      </c>
      <c r="H1552" s="55" t="n">
        <v>0</v>
      </c>
      <c r="I1552" s="53" t="n">
        <v>0</v>
      </c>
      <c r="J1552" s="53" t="n">
        <v>200</v>
      </c>
      <c r="K1552" s="53" t="n">
        <v>0</v>
      </c>
      <c r="L1552" s="53" t="n">
        <v>0</v>
      </c>
      <c r="M1552" s="33">
        <f>F1552-E1552</f>
        <v/>
      </c>
      <c r="N1552" s="33">
        <f>L1552-K1552</f>
        <v/>
      </c>
    </row>
    <row r="1553">
      <c r="A1553" s="58" t="inlineStr">
        <is>
          <t>39019 Costco 1214 Teterboro (NA)</t>
        </is>
      </c>
      <c r="B1553" s="58" t="inlineStr">
        <is>
          <t>Bergen</t>
        </is>
      </c>
      <c r="C1553" s="58" t="inlineStr">
        <is>
          <t>John Neukum</t>
        </is>
      </c>
      <c r="D1553" s="58" t="inlineStr">
        <is>
          <t>Off-premise</t>
        </is>
      </c>
      <c r="E1553" s="53" t="n">
        <v>0</v>
      </c>
      <c r="F1553" s="53" t="n">
        <v>0</v>
      </c>
      <c r="G1553" s="55" t="n">
        <v>0</v>
      </c>
      <c r="H1553" s="55" t="n">
        <v>0</v>
      </c>
      <c r="I1553" s="53" t="n">
        <v>0</v>
      </c>
      <c r="J1553" s="53" t="n">
        <v>497</v>
      </c>
      <c r="K1553" s="53" t="n">
        <v>0</v>
      </c>
      <c r="L1553" s="53" t="n">
        <v>0</v>
      </c>
      <c r="M1553" s="33">
        <f>F1553-E1553</f>
        <v/>
      </c>
      <c r="N1553" s="33">
        <f>L1553-K1553</f>
        <v/>
      </c>
    </row>
    <row r="1554">
      <c r="A1554" s="58" t="inlineStr">
        <is>
          <t>190351 Super Saver Disc. Liq</t>
        </is>
      </c>
      <c r="B1554" s="58" t="inlineStr">
        <is>
          <t>Morris</t>
        </is>
      </c>
      <c r="C1554" s="58" t="inlineStr">
        <is>
          <t>John O'Donoghue</t>
        </is>
      </c>
      <c r="D1554" s="58" t="inlineStr">
        <is>
          <t>Unmatched</t>
        </is>
      </c>
      <c r="E1554" s="53" t="n">
        <v>0</v>
      </c>
      <c r="F1554" s="53" t="n">
        <v>0</v>
      </c>
      <c r="G1554" s="55" t="n">
        <v>0</v>
      </c>
      <c r="H1554" s="55" t="n">
        <v>0</v>
      </c>
      <c r="I1554" s="53" t="n">
        <v>10</v>
      </c>
      <c r="J1554" s="53" t="n">
        <v>10</v>
      </c>
      <c r="K1554" s="53" t="n">
        <v>0</v>
      </c>
      <c r="L1554" s="53" t="n">
        <v>0</v>
      </c>
      <c r="M1554" s="33">
        <f>F1554-E1554</f>
        <v/>
      </c>
      <c r="N1554" s="33">
        <f>L1554-K1554</f>
        <v/>
      </c>
    </row>
    <row r="1555">
      <c r="A1555" s="58" t="inlineStr">
        <is>
          <t>190798 Dover Liquors</t>
        </is>
      </c>
      <c r="B1555" s="58" t="inlineStr">
        <is>
          <t>Morris</t>
        </is>
      </c>
      <c r="C1555" s="58" t="inlineStr">
        <is>
          <t>John O'Donoghue</t>
        </is>
      </c>
      <c r="D1555" s="58" t="inlineStr">
        <is>
          <t>Unmatched</t>
        </is>
      </c>
      <c r="E1555" s="53" t="n">
        <v>0</v>
      </c>
      <c r="F1555" s="53" t="n">
        <v>0</v>
      </c>
      <c r="G1555" s="55" t="n">
        <v>0</v>
      </c>
      <c r="H1555" s="55" t="n">
        <v>0</v>
      </c>
      <c r="I1555" s="53" t="n">
        <v>26</v>
      </c>
      <c r="J1555" s="53" t="n">
        <v>10</v>
      </c>
      <c r="K1555" s="53" t="n">
        <v>0</v>
      </c>
      <c r="L1555" s="53" t="n">
        <v>0</v>
      </c>
      <c r="M1555" s="33">
        <f>F1555-E1555</f>
        <v/>
      </c>
      <c r="N1555" s="33">
        <f>L1555-K1555</f>
        <v/>
      </c>
    </row>
    <row r="1556">
      <c r="A1556" s="58" t="inlineStr">
        <is>
          <t>190801 Neighborhood Liquors</t>
        </is>
      </c>
      <c r="B1556" s="58" t="inlineStr">
        <is>
          <t>Morris</t>
        </is>
      </c>
      <c r="C1556" s="58" t="inlineStr">
        <is>
          <t>John O'Donoghue</t>
        </is>
      </c>
      <c r="D1556" s="58" t="inlineStr">
        <is>
          <t>Unmatched</t>
        </is>
      </c>
      <c r="E1556" s="53" t="n">
        <v>0</v>
      </c>
      <c r="F1556" s="53" t="n">
        <v>0</v>
      </c>
      <c r="G1556" s="55" t="n">
        <v>0</v>
      </c>
      <c r="H1556" s="55" t="n">
        <v>0</v>
      </c>
      <c r="I1556" s="53" t="n">
        <v>54</v>
      </c>
      <c r="J1556" s="53" t="n">
        <v>0</v>
      </c>
      <c r="K1556" s="53" t="n">
        <v>0</v>
      </c>
      <c r="L1556" s="53" t="n">
        <v>0</v>
      </c>
      <c r="M1556" s="33">
        <f>F1556-E1556</f>
        <v/>
      </c>
      <c r="N1556" s="33">
        <f>L1556-K1556</f>
        <v/>
      </c>
    </row>
    <row r="1557">
      <c r="A1557" s="58" t="inlineStr">
        <is>
          <t>150099 Prime 94 Steakhouse &amp; Grill</t>
        </is>
      </c>
      <c r="B1557" s="58" t="inlineStr">
        <is>
          <t>Essex</t>
        </is>
      </c>
      <c r="C1557" s="58" t="inlineStr">
        <is>
          <t>John O'Donoghue</t>
        </is>
      </c>
      <c r="D1557" s="58" t="inlineStr">
        <is>
          <t>On-premise</t>
        </is>
      </c>
      <c r="E1557" s="53" t="n">
        <v>0</v>
      </c>
      <c r="F1557" s="53" t="n">
        <v>0</v>
      </c>
      <c r="G1557" s="55" t="n">
        <v>0</v>
      </c>
      <c r="H1557" s="55" t="n">
        <v>0</v>
      </c>
      <c r="I1557" s="53" t="n">
        <v>50</v>
      </c>
      <c r="J1557" s="53" t="n">
        <v>17</v>
      </c>
      <c r="K1557" s="53" t="n">
        <v>0</v>
      </c>
      <c r="L1557" s="53" t="n">
        <v>0</v>
      </c>
      <c r="M1557" s="33">
        <f>F1557-E1557</f>
        <v/>
      </c>
      <c r="N1557" s="33">
        <f>L1557-K1557</f>
        <v/>
      </c>
    </row>
    <row r="1558">
      <c r="A1558" s="58" t="inlineStr">
        <is>
          <t>190112 Hoovers Tavern</t>
        </is>
      </c>
      <c r="B1558" s="58" t="inlineStr">
        <is>
          <t>Morris</t>
        </is>
      </c>
      <c r="C1558" s="58" t="inlineStr">
        <is>
          <t>John O'Donoghue</t>
        </is>
      </c>
      <c r="D1558" s="58" t="inlineStr">
        <is>
          <t>Unmatched</t>
        </is>
      </c>
      <c r="E1558" s="53" t="n">
        <v>0</v>
      </c>
      <c r="F1558" s="53" t="n">
        <v>0</v>
      </c>
      <c r="G1558" s="55" t="n">
        <v>0</v>
      </c>
      <c r="H1558" s="55" t="n">
        <v>0</v>
      </c>
      <c r="I1558" s="53" t="n">
        <v>68</v>
      </c>
      <c r="J1558" s="53" t="n">
        <v>55</v>
      </c>
      <c r="K1558" s="53" t="n">
        <v>0</v>
      </c>
      <c r="L1558" s="53" t="n">
        <v>0</v>
      </c>
      <c r="M1558" s="33">
        <f>F1558-E1558</f>
        <v/>
      </c>
      <c r="N1558" s="33">
        <f>L1558-K1558</f>
        <v/>
      </c>
    </row>
    <row r="1559">
      <c r="A1559" s="58" t="inlineStr">
        <is>
          <t>190230 Stirling Hotel</t>
        </is>
      </c>
      <c r="B1559" s="58" t="inlineStr">
        <is>
          <t>Morris</t>
        </is>
      </c>
      <c r="C1559" s="58" t="inlineStr">
        <is>
          <t>John O'Donoghue</t>
        </is>
      </c>
      <c r="D1559" s="58" t="inlineStr">
        <is>
          <t>Unmatched</t>
        </is>
      </c>
      <c r="E1559" s="53" t="n">
        <v>0</v>
      </c>
      <c r="F1559" s="53" t="n">
        <v>0</v>
      </c>
      <c r="G1559" s="55" t="n">
        <v>0</v>
      </c>
      <c r="H1559" s="55" t="n">
        <v>0</v>
      </c>
      <c r="I1559" s="53" t="n">
        <v>14</v>
      </c>
      <c r="J1559" s="53" t="n">
        <v>30</v>
      </c>
      <c r="K1559" s="53" t="n">
        <v>0</v>
      </c>
      <c r="L1559" s="53" t="n">
        <v>0</v>
      </c>
      <c r="M1559" s="33">
        <f>F1559-E1559</f>
        <v/>
      </c>
      <c r="N1559" s="33">
        <f>L1559-K1559</f>
        <v/>
      </c>
    </row>
    <row r="1560">
      <c r="A1560" s="58" t="inlineStr">
        <is>
          <t>190505 Old Mill Tavern</t>
        </is>
      </c>
      <c r="B1560" s="58" t="inlineStr">
        <is>
          <t>Morris</t>
        </is>
      </c>
      <c r="C1560" s="58" t="inlineStr">
        <is>
          <t>John O'Donoghue</t>
        </is>
      </c>
      <c r="D1560" s="58" t="inlineStr">
        <is>
          <t>Unmatched</t>
        </is>
      </c>
      <c r="E1560" s="53" t="n">
        <v>0</v>
      </c>
      <c r="F1560" s="53" t="n">
        <v>0</v>
      </c>
      <c r="G1560" s="55" t="n">
        <v>0</v>
      </c>
      <c r="H1560" s="55" t="n">
        <v>0</v>
      </c>
      <c r="I1560" s="53" t="n">
        <v>42</v>
      </c>
      <c r="J1560" s="53" t="n">
        <v>33</v>
      </c>
      <c r="K1560" s="53" t="n">
        <v>0</v>
      </c>
      <c r="L1560" s="53" t="n">
        <v>0</v>
      </c>
      <c r="M1560" s="33">
        <f>F1560-E1560</f>
        <v/>
      </c>
      <c r="N1560" s="33">
        <f>L1560-K1560</f>
        <v/>
      </c>
    </row>
    <row r="1561">
      <c r="A1561" s="58" t="inlineStr">
        <is>
          <t>190656 Kenvil Liquor,Wine &amp; Food</t>
        </is>
      </c>
      <c r="B1561" s="58" t="inlineStr">
        <is>
          <t>Morris</t>
        </is>
      </c>
      <c r="C1561" s="58" t="inlineStr">
        <is>
          <t>John O'Donoghue</t>
        </is>
      </c>
      <c r="D1561" s="58" t="inlineStr">
        <is>
          <t>Unmatched</t>
        </is>
      </c>
      <c r="E1561" s="53" t="n">
        <v>0</v>
      </c>
      <c r="F1561" s="53" t="n">
        <v>0</v>
      </c>
      <c r="G1561" s="55" t="n">
        <v>0</v>
      </c>
      <c r="H1561" s="55" t="n">
        <v>0</v>
      </c>
      <c r="I1561" s="53" t="n">
        <v>125</v>
      </c>
      <c r="J1561" s="53" t="n">
        <v>92</v>
      </c>
      <c r="K1561" s="53" t="n">
        <v>0</v>
      </c>
      <c r="L1561" s="53" t="n">
        <v>0</v>
      </c>
      <c r="M1561" s="33">
        <f>F1561-E1561</f>
        <v/>
      </c>
      <c r="N1561" s="33">
        <f>L1561-K1561</f>
        <v/>
      </c>
    </row>
    <row r="1562">
      <c r="A1562" s="58" t="inlineStr">
        <is>
          <t>190504 El Dorado Wine House</t>
        </is>
      </c>
      <c r="B1562" s="58" t="inlineStr">
        <is>
          <t>Morris</t>
        </is>
      </c>
      <c r="C1562" s="58" t="inlineStr">
        <is>
          <t>John O'Donoghue</t>
        </is>
      </c>
      <c r="D1562" s="58" t="inlineStr">
        <is>
          <t>Unmatched</t>
        </is>
      </c>
      <c r="E1562" s="53" t="n">
        <v>0</v>
      </c>
      <c r="F1562" s="53" t="n">
        <v>0</v>
      </c>
      <c r="G1562" s="55" t="n">
        <v>0</v>
      </c>
      <c r="H1562" s="55" t="n">
        <v>0</v>
      </c>
      <c r="I1562" s="53" t="n">
        <v>56</v>
      </c>
      <c r="J1562" s="53" t="n">
        <v>68</v>
      </c>
      <c r="K1562" s="53" t="n">
        <v>0</v>
      </c>
      <c r="L1562" s="53" t="n">
        <v>0</v>
      </c>
      <c r="M1562" s="33">
        <f>F1562-E1562</f>
        <v/>
      </c>
      <c r="N1562" s="33">
        <f>L1562-K1562</f>
        <v/>
      </c>
    </row>
    <row r="1563">
      <c r="A1563" s="58" t="inlineStr">
        <is>
          <t>190018 Big Ed's (Circle Bowl)</t>
        </is>
      </c>
      <c r="B1563" s="58" t="inlineStr">
        <is>
          <t>Morris</t>
        </is>
      </c>
      <c r="C1563" s="58" t="inlineStr">
        <is>
          <t>John O'Donoghue</t>
        </is>
      </c>
      <c r="D1563" s="58" t="inlineStr">
        <is>
          <t>Unmatched</t>
        </is>
      </c>
      <c r="E1563" s="53" t="n">
        <v>0</v>
      </c>
      <c r="F1563" s="53" t="n">
        <v>0</v>
      </c>
      <c r="G1563" s="55" t="n">
        <v>0</v>
      </c>
      <c r="H1563" s="55" t="n">
        <v>0</v>
      </c>
      <c r="I1563" s="53" t="n">
        <v>147</v>
      </c>
      <c r="J1563" s="53" t="n">
        <v>146</v>
      </c>
      <c r="K1563" s="53" t="n">
        <v>0</v>
      </c>
      <c r="L1563" s="53" t="n">
        <v>0</v>
      </c>
      <c r="M1563" s="33">
        <f>F1563-E1563</f>
        <v/>
      </c>
      <c r="N1563" s="33">
        <f>L1563-K1563</f>
        <v/>
      </c>
    </row>
    <row r="1564">
      <c r="A1564" s="58" t="inlineStr">
        <is>
          <t>190035 Revolution Bar</t>
        </is>
      </c>
      <c r="B1564" s="58" t="inlineStr">
        <is>
          <t>Morris</t>
        </is>
      </c>
      <c r="C1564" s="58" t="inlineStr">
        <is>
          <t>John O'Donoghue</t>
        </is>
      </c>
      <c r="D1564" s="58" t="inlineStr">
        <is>
          <t>Unmatched</t>
        </is>
      </c>
      <c r="E1564" s="53" t="n">
        <v>0</v>
      </c>
      <c r="F1564" s="53" t="n">
        <v>0</v>
      </c>
      <c r="G1564" s="55" t="n">
        <v>0</v>
      </c>
      <c r="H1564" s="55" t="n">
        <v>0</v>
      </c>
      <c r="I1564" s="53" t="n">
        <v>25</v>
      </c>
      <c r="J1564" s="53" t="n">
        <v>42</v>
      </c>
      <c r="K1564" s="53" t="n">
        <v>0</v>
      </c>
      <c r="L1564" s="53" t="n">
        <v>0</v>
      </c>
      <c r="M1564" s="33">
        <f>F1564-E1564</f>
        <v/>
      </c>
      <c r="N1564" s="33">
        <f>L1564-K1564</f>
        <v/>
      </c>
    </row>
    <row r="1565">
      <c r="A1565" s="58" t="inlineStr">
        <is>
          <t>190038 Famished Frog</t>
        </is>
      </c>
      <c r="B1565" s="58" t="inlineStr">
        <is>
          <t>Morris</t>
        </is>
      </c>
      <c r="C1565" s="58" t="inlineStr">
        <is>
          <t>John O'Donoghue</t>
        </is>
      </c>
      <c r="D1565" s="58" t="inlineStr">
        <is>
          <t>Unmatched</t>
        </is>
      </c>
      <c r="E1565" s="53" t="n">
        <v>0</v>
      </c>
      <c r="F1565" s="53" t="n">
        <v>0</v>
      </c>
      <c r="G1565" s="55" t="n">
        <v>0</v>
      </c>
      <c r="H1565" s="55" t="n">
        <v>0</v>
      </c>
      <c r="I1565" s="53" t="n">
        <v>9</v>
      </c>
      <c r="J1565" s="53" t="n">
        <v>0</v>
      </c>
      <c r="K1565" s="53" t="n">
        <v>0</v>
      </c>
      <c r="L1565" s="53" t="n">
        <v>0</v>
      </c>
      <c r="M1565" s="33">
        <f>F1565-E1565</f>
        <v/>
      </c>
      <c r="N1565" s="33">
        <f>L1565-K1565</f>
        <v/>
      </c>
    </row>
    <row r="1566">
      <c r="A1566" s="58" t="inlineStr">
        <is>
          <t>190512 Omg Burger &amp; Brew</t>
        </is>
      </c>
      <c r="B1566" s="58" t="inlineStr">
        <is>
          <t>Morris</t>
        </is>
      </c>
      <c r="C1566" s="58" t="inlineStr">
        <is>
          <t>John O'Donoghue</t>
        </is>
      </c>
      <c r="D1566" s="58" t="inlineStr">
        <is>
          <t>Unmatched</t>
        </is>
      </c>
      <c r="E1566" s="53" t="n">
        <v>0</v>
      </c>
      <c r="F1566" s="53" t="n">
        <v>0</v>
      </c>
      <c r="G1566" s="55" t="n">
        <v>0</v>
      </c>
      <c r="H1566" s="55" t="n">
        <v>0</v>
      </c>
      <c r="I1566" s="53" t="n">
        <v>26</v>
      </c>
      <c r="J1566" s="53" t="n">
        <v>26</v>
      </c>
      <c r="K1566" s="53" t="n">
        <v>0</v>
      </c>
      <c r="L1566" s="53" t="n">
        <v>0</v>
      </c>
      <c r="M1566" s="33">
        <f>F1566-E1566</f>
        <v/>
      </c>
      <c r="N1566" s="33">
        <f>L1566-K1566</f>
        <v/>
      </c>
    </row>
    <row r="1567">
      <c r="A1567" s="58" t="inlineStr">
        <is>
          <t>190671 Country Farms</t>
        </is>
      </c>
      <c r="B1567" s="58" t="inlineStr">
        <is>
          <t>Morris</t>
        </is>
      </c>
      <c r="C1567" s="58" t="inlineStr">
        <is>
          <t>John O'Donoghue</t>
        </is>
      </c>
      <c r="D1567" s="58" t="inlineStr">
        <is>
          <t>Unmatched</t>
        </is>
      </c>
      <c r="E1567" s="53" t="n">
        <v>0</v>
      </c>
      <c r="F1567" s="53" t="n">
        <v>0</v>
      </c>
      <c r="G1567" s="55" t="n">
        <v>0</v>
      </c>
      <c r="H1567" s="55" t="n">
        <v>0</v>
      </c>
      <c r="I1567" s="53" t="n">
        <v>10</v>
      </c>
      <c r="J1567" s="53" t="n">
        <v>22</v>
      </c>
      <c r="K1567" s="53" t="n">
        <v>0</v>
      </c>
      <c r="L1567" s="53" t="n">
        <v>0</v>
      </c>
      <c r="M1567" s="33">
        <f>F1567-E1567</f>
        <v/>
      </c>
      <c r="N1567" s="33">
        <f>L1567-K1567</f>
        <v/>
      </c>
    </row>
    <row r="1568">
      <c r="A1568" s="58" t="inlineStr">
        <is>
          <t>192162 Chimney Rock Inn Whippany</t>
        </is>
      </c>
      <c r="B1568" s="58" t="inlineStr">
        <is>
          <t>Morris</t>
        </is>
      </c>
      <c r="C1568" s="58" t="inlineStr">
        <is>
          <t>John O'Donoghue</t>
        </is>
      </c>
      <c r="D1568" s="58" t="inlineStr">
        <is>
          <t>Unmatched</t>
        </is>
      </c>
      <c r="E1568" s="53" t="n">
        <v>0</v>
      </c>
      <c r="F1568" s="53" t="n">
        <v>0</v>
      </c>
      <c r="G1568" s="55" t="n">
        <v>0</v>
      </c>
      <c r="H1568" s="55" t="n">
        <v>0</v>
      </c>
      <c r="I1568" s="53" t="n">
        <v>0</v>
      </c>
      <c r="J1568" s="53" t="n">
        <v>21</v>
      </c>
      <c r="K1568" s="53" t="n">
        <v>0</v>
      </c>
      <c r="L1568" s="53" t="n">
        <v>0</v>
      </c>
      <c r="M1568" s="33">
        <f>F1568-E1568</f>
        <v/>
      </c>
      <c r="N1568" s="33">
        <f>L1568-K1568</f>
        <v/>
      </c>
    </row>
    <row r="1569">
      <c r="A1569" s="58" t="inlineStr">
        <is>
          <t>190003 Thomas Liq</t>
        </is>
      </c>
      <c r="B1569" s="58" t="inlineStr">
        <is>
          <t>Morris</t>
        </is>
      </c>
      <c r="C1569" s="58" t="inlineStr">
        <is>
          <t>John O'Donoghue</t>
        </is>
      </c>
      <c r="D1569" s="58" t="inlineStr">
        <is>
          <t>Unmatched</t>
        </is>
      </c>
      <c r="E1569" s="53" t="n">
        <v>0</v>
      </c>
      <c r="F1569" s="53" t="n">
        <v>0</v>
      </c>
      <c r="G1569" s="55" t="n">
        <v>0</v>
      </c>
      <c r="H1569" s="55" t="n">
        <v>0</v>
      </c>
      <c r="I1569" s="53" t="n">
        <v>85</v>
      </c>
      <c r="J1569" s="53" t="n">
        <v>33</v>
      </c>
      <c r="K1569" s="53" t="n">
        <v>0</v>
      </c>
      <c r="L1569" s="53" t="n">
        <v>0</v>
      </c>
      <c r="M1569" s="33">
        <f>F1569-E1569</f>
        <v/>
      </c>
      <c r="N1569" s="33">
        <f>L1569-K1569</f>
        <v/>
      </c>
    </row>
    <row r="1570">
      <c r="A1570" s="58" t="inlineStr">
        <is>
          <t>190796 The Office Bar/Los Arrieros</t>
        </is>
      </c>
      <c r="B1570" s="58" t="inlineStr">
        <is>
          <t>Morris</t>
        </is>
      </c>
      <c r="C1570" s="58" t="inlineStr">
        <is>
          <t>John O'Donoghue</t>
        </is>
      </c>
      <c r="D1570" s="58" t="inlineStr">
        <is>
          <t>Unmatched</t>
        </is>
      </c>
      <c r="E1570" s="53" t="n">
        <v>0</v>
      </c>
      <c r="F1570" s="53" t="n">
        <v>0</v>
      </c>
      <c r="G1570" s="55" t="n">
        <v>0</v>
      </c>
      <c r="H1570" s="55" t="n">
        <v>0</v>
      </c>
      <c r="I1570" s="53" t="n">
        <v>20</v>
      </c>
      <c r="J1570" s="53" t="n">
        <v>29</v>
      </c>
      <c r="K1570" s="53" t="n">
        <v>0</v>
      </c>
      <c r="L1570" s="53" t="n">
        <v>0</v>
      </c>
      <c r="M1570" s="33">
        <f>F1570-E1570</f>
        <v/>
      </c>
      <c r="N1570" s="33">
        <f>L1570-K1570</f>
        <v/>
      </c>
    </row>
    <row r="1571">
      <c r="A1571" s="58" t="inlineStr">
        <is>
          <t>192008 At The Hop</t>
        </is>
      </c>
      <c r="B1571" s="58" t="inlineStr">
        <is>
          <t>Morris</t>
        </is>
      </c>
      <c r="C1571" s="58" t="inlineStr">
        <is>
          <t>John O'Donoghue</t>
        </is>
      </c>
      <c r="D1571" s="58" t="inlineStr">
        <is>
          <t>Unmatched</t>
        </is>
      </c>
      <c r="E1571" s="53" t="n">
        <v>0</v>
      </c>
      <c r="F1571" s="53" t="n">
        <v>0</v>
      </c>
      <c r="G1571" s="55" t="n">
        <v>0</v>
      </c>
      <c r="H1571" s="55" t="n">
        <v>0</v>
      </c>
      <c r="I1571" s="53" t="n">
        <v>11</v>
      </c>
      <c r="J1571" s="53" t="n">
        <v>23</v>
      </c>
      <c r="K1571" s="53" t="n">
        <v>0</v>
      </c>
      <c r="L1571" s="53" t="n">
        <v>0</v>
      </c>
      <c r="M1571" s="33">
        <f>F1571-E1571</f>
        <v/>
      </c>
      <c r="N1571" s="33">
        <f>L1571-K1571</f>
        <v/>
      </c>
    </row>
    <row r="1572">
      <c r="A1572" s="58" t="inlineStr">
        <is>
          <t>192141 Margarita's Bar &amp; Grill</t>
        </is>
      </c>
      <c r="B1572" s="58" t="inlineStr">
        <is>
          <t>Morris</t>
        </is>
      </c>
      <c r="C1572" s="58" t="inlineStr">
        <is>
          <t>John O'Donoghue</t>
        </is>
      </c>
      <c r="D1572" s="58" t="inlineStr">
        <is>
          <t>Unmatched</t>
        </is>
      </c>
      <c r="E1572" s="53" t="n">
        <v>0</v>
      </c>
      <c r="F1572" s="53" t="n">
        <v>0</v>
      </c>
      <c r="G1572" s="55" t="n">
        <v>0</v>
      </c>
      <c r="H1572" s="55" t="n">
        <v>0</v>
      </c>
      <c r="I1572" s="53" t="n">
        <v>17</v>
      </c>
      <c r="J1572" s="53" t="n">
        <v>31</v>
      </c>
      <c r="K1572" s="53" t="n">
        <v>0</v>
      </c>
      <c r="L1572" s="53" t="n">
        <v>0</v>
      </c>
      <c r="M1572" s="33">
        <f>F1572-E1572</f>
        <v/>
      </c>
      <c r="N1572" s="33">
        <f>L1572-K1572</f>
        <v/>
      </c>
    </row>
    <row r="1573">
      <c r="A1573" s="58" t="inlineStr">
        <is>
          <t>192161 Pancho Villa Rodeo</t>
        </is>
      </c>
      <c r="B1573" s="58" t="inlineStr">
        <is>
          <t>Morris</t>
        </is>
      </c>
      <c r="C1573" s="58" t="inlineStr">
        <is>
          <t>John O'Donoghue</t>
        </is>
      </c>
      <c r="D1573" s="58" t="inlineStr">
        <is>
          <t>Unmatched</t>
        </is>
      </c>
      <c r="E1573" s="53" t="n">
        <v>0</v>
      </c>
      <c r="F1573" s="53" t="n">
        <v>0</v>
      </c>
      <c r="G1573" s="55" t="n">
        <v>0</v>
      </c>
      <c r="H1573" s="55" t="n">
        <v>0</v>
      </c>
      <c r="I1573" s="53" t="n">
        <v>0</v>
      </c>
      <c r="J1573" s="53" t="n">
        <v>82</v>
      </c>
      <c r="K1573" s="53" t="n">
        <v>0</v>
      </c>
      <c r="L1573" s="53" t="n">
        <v>0</v>
      </c>
      <c r="M1573" s="33">
        <f>F1573-E1573</f>
        <v/>
      </c>
      <c r="N1573" s="33">
        <f>L1573-K1573</f>
        <v/>
      </c>
    </row>
    <row r="1574">
      <c r="A1574" s="58" t="inlineStr">
        <is>
          <t>250313 Noches de Columbia (Randolph)</t>
        </is>
      </c>
      <c r="B1574" s="58" t="inlineStr">
        <is>
          <t>Morris</t>
        </is>
      </c>
      <c r="C1574" s="58" t="inlineStr">
        <is>
          <t>John O'Donoghue</t>
        </is>
      </c>
      <c r="D1574" s="58" t="inlineStr">
        <is>
          <t>Unmatched</t>
        </is>
      </c>
      <c r="E1574" s="53" t="n">
        <v>0</v>
      </c>
      <c r="F1574" s="53" t="n">
        <v>0</v>
      </c>
      <c r="G1574" s="55" t="n">
        <v>0</v>
      </c>
      <c r="H1574" s="55" t="n">
        <v>0</v>
      </c>
      <c r="I1574" s="53" t="n">
        <v>46</v>
      </c>
      <c r="J1574" s="53" t="n">
        <v>50</v>
      </c>
      <c r="K1574" s="53" t="n">
        <v>0</v>
      </c>
      <c r="L1574" s="53" t="n">
        <v>0</v>
      </c>
      <c r="M1574" s="33">
        <f>F1574-E1574</f>
        <v/>
      </c>
      <c r="N1574" s="33">
        <f>L1574-K1574</f>
        <v/>
      </c>
    </row>
    <row r="1575">
      <c r="A1575" s="58" t="inlineStr">
        <is>
          <t>190797 Basket Of Cheer (Dover)</t>
        </is>
      </c>
      <c r="B1575" s="58" t="inlineStr">
        <is>
          <t>Morris</t>
        </is>
      </c>
      <c r="C1575" s="58" t="inlineStr">
        <is>
          <t>John O'Donoghue</t>
        </is>
      </c>
      <c r="D1575" s="58" t="inlineStr">
        <is>
          <t>Unmatched</t>
        </is>
      </c>
      <c r="E1575" s="53" t="n">
        <v>0</v>
      </c>
      <c r="F1575" s="53" t="n">
        <v>0</v>
      </c>
      <c r="G1575" s="55" t="n">
        <v>0</v>
      </c>
      <c r="H1575" s="55" t="n">
        <v>0</v>
      </c>
      <c r="I1575" s="53" t="n">
        <v>136</v>
      </c>
      <c r="J1575" s="53" t="n">
        <v>133</v>
      </c>
      <c r="K1575" s="53" t="n">
        <v>0</v>
      </c>
      <c r="L1575" s="53" t="n">
        <v>0</v>
      </c>
      <c r="M1575" s="33">
        <f>F1575-E1575</f>
        <v/>
      </c>
      <c r="N1575" s="33">
        <f>L1575-K1575</f>
        <v/>
      </c>
    </row>
    <row r="1576">
      <c r="A1576" s="58" t="inlineStr">
        <is>
          <t>190431 SOCIAL HUB BY DHABA</t>
        </is>
      </c>
      <c r="B1576" s="58" t="inlineStr">
        <is>
          <t>Morris</t>
        </is>
      </c>
      <c r="C1576" s="58" t="inlineStr">
        <is>
          <t>John O'Donoghue</t>
        </is>
      </c>
      <c r="D1576" s="58" t="inlineStr">
        <is>
          <t>Unmatched</t>
        </is>
      </c>
      <c r="E1576" s="53" t="n">
        <v>0</v>
      </c>
      <c r="F1576" s="53" t="n">
        <v>0</v>
      </c>
      <c r="G1576" s="55" t="n">
        <v>0</v>
      </c>
      <c r="H1576" s="55" t="n">
        <v>0</v>
      </c>
      <c r="I1576" s="53" t="n">
        <v>20</v>
      </c>
      <c r="J1576" s="53" t="n">
        <v>10</v>
      </c>
      <c r="K1576" s="53" t="n">
        <v>0</v>
      </c>
      <c r="L1576" s="53" t="n">
        <v>0</v>
      </c>
      <c r="M1576" s="33">
        <f>F1576-E1576</f>
        <v/>
      </c>
      <c r="N1576" s="33">
        <f>L1576-K1576</f>
        <v/>
      </c>
    </row>
    <row r="1577">
      <c r="A1577" s="58" t="inlineStr">
        <is>
          <t>190004 54 Main Cafe</t>
        </is>
      </c>
      <c r="B1577" s="58" t="inlineStr">
        <is>
          <t>Morris</t>
        </is>
      </c>
      <c r="C1577" s="58" t="inlineStr">
        <is>
          <t>John O'Donoghue</t>
        </is>
      </c>
      <c r="D1577" s="58" t="inlineStr">
        <is>
          <t>Unmatched</t>
        </is>
      </c>
      <c r="E1577" s="53" t="n">
        <v>0</v>
      </c>
      <c r="F1577" s="53" t="n">
        <v>0</v>
      </c>
      <c r="G1577" s="55" t="n">
        <v>0</v>
      </c>
      <c r="H1577" s="55" t="n">
        <v>0</v>
      </c>
      <c r="I1577" s="53" t="n">
        <v>0</v>
      </c>
      <c r="J1577" s="53" t="n">
        <v>7</v>
      </c>
      <c r="K1577" s="53" t="n">
        <v>0</v>
      </c>
      <c r="L1577" s="53" t="n">
        <v>0</v>
      </c>
      <c r="M1577" s="33">
        <f>F1577-E1577</f>
        <v/>
      </c>
      <c r="N1577" s="33">
        <f>L1577-K1577</f>
        <v/>
      </c>
    </row>
    <row r="1578">
      <c r="A1578" s="58" t="inlineStr">
        <is>
          <t>190024 Jt Mcq's Sports Bar (P)</t>
        </is>
      </c>
      <c r="B1578" s="58" t="inlineStr">
        <is>
          <t>Morris</t>
        </is>
      </c>
      <c r="C1578" s="58" t="inlineStr">
        <is>
          <t>John O'Donoghue</t>
        </is>
      </c>
      <c r="D1578" s="58" t="inlineStr">
        <is>
          <t>Unmatched</t>
        </is>
      </c>
      <c r="E1578" s="53" t="n">
        <v>0</v>
      </c>
      <c r="F1578" s="53" t="n">
        <v>0</v>
      </c>
      <c r="G1578" s="55" t="n">
        <v>0</v>
      </c>
      <c r="H1578" s="55" t="n">
        <v>0</v>
      </c>
      <c r="I1578" s="53" t="n">
        <v>-4</v>
      </c>
      <c r="J1578" s="53" t="n">
        <v>13</v>
      </c>
      <c r="K1578" s="53" t="n">
        <v>0</v>
      </c>
      <c r="L1578" s="53" t="n">
        <v>0</v>
      </c>
      <c r="M1578" s="33">
        <f>F1578-E1578</f>
        <v/>
      </c>
      <c r="N1578" s="33">
        <f>L1578-K1578</f>
        <v/>
      </c>
    </row>
    <row r="1579">
      <c r="A1579" s="58" t="inlineStr">
        <is>
          <t>190042 Dublin Pub (A)</t>
        </is>
      </c>
      <c r="B1579" s="58" t="inlineStr">
        <is>
          <t>Morris</t>
        </is>
      </c>
      <c r="C1579" s="58" t="inlineStr">
        <is>
          <t>John O'Donoghue</t>
        </is>
      </c>
      <c r="D1579" s="58" t="inlineStr">
        <is>
          <t>Unmatched</t>
        </is>
      </c>
      <c r="E1579" s="53" t="n">
        <v>0</v>
      </c>
      <c r="F1579" s="53" t="n">
        <v>0</v>
      </c>
      <c r="G1579" s="55" t="n">
        <v>0</v>
      </c>
      <c r="H1579" s="55" t="n">
        <v>0</v>
      </c>
      <c r="I1579" s="53" t="n">
        <v>76</v>
      </c>
      <c r="J1579" s="53" t="n">
        <v>41</v>
      </c>
      <c r="K1579" s="53" t="n">
        <v>0</v>
      </c>
      <c r="L1579" s="53" t="n">
        <v>0</v>
      </c>
      <c r="M1579" s="33">
        <f>F1579-E1579</f>
        <v/>
      </c>
      <c r="N1579" s="33">
        <f>L1579-K1579</f>
        <v/>
      </c>
    </row>
    <row r="1580">
      <c r="A1580" s="58" t="inlineStr">
        <is>
          <t>192009 Bar Cilento</t>
        </is>
      </c>
      <c r="B1580" s="58" t="inlineStr">
        <is>
          <t>Morris</t>
        </is>
      </c>
      <c r="C1580" s="58" t="inlineStr">
        <is>
          <t>John O'Donoghue</t>
        </is>
      </c>
      <c r="D1580" s="58" t="inlineStr">
        <is>
          <t>Unmatched</t>
        </is>
      </c>
      <c r="E1580" s="53" t="n">
        <v>0</v>
      </c>
      <c r="F1580" s="53" t="n">
        <v>0</v>
      </c>
      <c r="G1580" s="55" t="n">
        <v>0</v>
      </c>
      <c r="H1580" s="55" t="n">
        <v>0</v>
      </c>
      <c r="I1580" s="53" t="n">
        <v>14</v>
      </c>
      <c r="J1580" s="53" t="n">
        <v>30</v>
      </c>
      <c r="K1580" s="53" t="n">
        <v>0</v>
      </c>
      <c r="L1580" s="53" t="n">
        <v>0</v>
      </c>
      <c r="M1580" s="33">
        <f>F1580-E1580</f>
        <v/>
      </c>
      <c r="N1580" s="33">
        <f>L1580-K1580</f>
        <v/>
      </c>
    </row>
    <row r="1581">
      <c r="A1581" s="58" t="inlineStr">
        <is>
          <t>150250 Par 440 Restaurant</t>
        </is>
      </c>
      <c r="B1581" s="58" t="inlineStr">
        <is>
          <t>Essex</t>
        </is>
      </c>
      <c r="C1581" s="58" t="inlineStr">
        <is>
          <t>John O'Donoghue</t>
        </is>
      </c>
      <c r="D1581" s="58" t="inlineStr">
        <is>
          <t>On-premise</t>
        </is>
      </c>
      <c r="E1581" s="53" t="n">
        <v>0</v>
      </c>
      <c r="F1581" s="53" t="n">
        <v>0</v>
      </c>
      <c r="G1581" s="55" t="n">
        <v>0</v>
      </c>
      <c r="H1581" s="55" t="n">
        <v>0</v>
      </c>
      <c r="I1581" s="53" t="n">
        <v>35</v>
      </c>
      <c r="J1581" s="53" t="n">
        <v>16</v>
      </c>
      <c r="K1581" s="53" t="n">
        <v>0</v>
      </c>
      <c r="L1581" s="53" t="n">
        <v>0</v>
      </c>
      <c r="M1581" s="33">
        <f>F1581-E1581</f>
        <v/>
      </c>
      <c r="N1581" s="33">
        <f>L1581-K1581</f>
        <v/>
      </c>
    </row>
    <row r="1582">
      <c r="A1582" s="58" t="inlineStr">
        <is>
          <t>190032 The Thirsty Turtle (Florham Park)</t>
        </is>
      </c>
      <c r="B1582" s="58" t="inlineStr">
        <is>
          <t>Morris</t>
        </is>
      </c>
      <c r="C1582" s="58" t="inlineStr">
        <is>
          <t>John O'Donoghue</t>
        </is>
      </c>
      <c r="D1582" s="58" t="inlineStr">
        <is>
          <t>Unmatched</t>
        </is>
      </c>
      <c r="E1582" s="53" t="n">
        <v>0</v>
      </c>
      <c r="F1582" s="53" t="n">
        <v>0</v>
      </c>
      <c r="G1582" s="55" t="n">
        <v>0</v>
      </c>
      <c r="H1582" s="55" t="n">
        <v>0</v>
      </c>
      <c r="I1582" s="53" t="n">
        <v>0</v>
      </c>
      <c r="J1582" s="53" t="n">
        <v>6</v>
      </c>
      <c r="K1582" s="53" t="n">
        <v>0</v>
      </c>
      <c r="L1582" s="53" t="n">
        <v>0</v>
      </c>
      <c r="M1582" s="33">
        <f>F1582-E1582</f>
        <v/>
      </c>
      <c r="N1582" s="33">
        <f>L1582-K1582</f>
        <v/>
      </c>
    </row>
    <row r="1583">
      <c r="A1583" s="58" t="inlineStr">
        <is>
          <t>190513 Redwoods Bar &amp; Grill</t>
        </is>
      </c>
      <c r="B1583" s="58" t="inlineStr">
        <is>
          <t>Morris</t>
        </is>
      </c>
      <c r="C1583" s="58" t="inlineStr">
        <is>
          <t>John O'Donoghue</t>
        </is>
      </c>
      <c r="D1583" s="58" t="inlineStr">
        <is>
          <t>Unmatched</t>
        </is>
      </c>
      <c r="E1583" s="53" t="n">
        <v>0</v>
      </c>
      <c r="F1583" s="53" t="n">
        <v>0</v>
      </c>
      <c r="G1583" s="55" t="n">
        <v>0</v>
      </c>
      <c r="H1583" s="55" t="n">
        <v>0</v>
      </c>
      <c r="I1583" s="53" t="n">
        <v>0</v>
      </c>
      <c r="J1583" s="53" t="n">
        <v>7</v>
      </c>
      <c r="K1583" s="53" t="n">
        <v>0</v>
      </c>
      <c r="L1583" s="53" t="n">
        <v>0</v>
      </c>
      <c r="M1583" s="33">
        <f>F1583-E1583</f>
        <v/>
      </c>
      <c r="N1583" s="33">
        <f>L1583-K1583</f>
        <v/>
      </c>
    </row>
    <row r="1584">
      <c r="A1584" s="58" t="inlineStr">
        <is>
          <t>250089 Delicious Heights (A)</t>
        </is>
      </c>
      <c r="B1584" s="58" t="inlineStr">
        <is>
          <t>Union</t>
        </is>
      </c>
      <c r="C1584" s="58" t="inlineStr">
        <is>
          <t>John O'Donoghue</t>
        </is>
      </c>
      <c r="D1584" s="58" t="inlineStr">
        <is>
          <t>Unmatched</t>
        </is>
      </c>
      <c r="E1584" s="53" t="n">
        <v>0</v>
      </c>
      <c r="F1584" s="53" t="n">
        <v>0</v>
      </c>
      <c r="G1584" s="55" t="n">
        <v>0</v>
      </c>
      <c r="H1584" s="55" t="n">
        <v>0</v>
      </c>
      <c r="I1584" s="53" t="n">
        <v>14</v>
      </c>
      <c r="J1584" s="53" t="n">
        <v>0</v>
      </c>
      <c r="K1584" s="53" t="n">
        <v>0</v>
      </c>
      <c r="L1584" s="53" t="n">
        <v>0</v>
      </c>
      <c r="M1584" s="33">
        <f>F1584-E1584</f>
        <v/>
      </c>
      <c r="N1584" s="33">
        <f>L1584-K1584</f>
        <v/>
      </c>
    </row>
    <row r="1585">
      <c r="A1585" s="58" t="inlineStr">
        <is>
          <t>190299 Vintage Tavern</t>
        </is>
      </c>
      <c r="B1585" s="58" t="inlineStr">
        <is>
          <t>Morris</t>
        </is>
      </c>
      <c r="C1585" s="58" t="inlineStr">
        <is>
          <t>John O'Donoghue</t>
        </is>
      </c>
      <c r="D1585" s="58" t="inlineStr">
        <is>
          <t>Unmatched</t>
        </is>
      </c>
      <c r="E1585" s="53" t="n">
        <v>0</v>
      </c>
      <c r="F1585" s="53" t="n">
        <v>0</v>
      </c>
      <c r="G1585" s="55" t="n">
        <v>0</v>
      </c>
      <c r="H1585" s="55" t="n">
        <v>0</v>
      </c>
      <c r="I1585" s="53" t="n">
        <v>12</v>
      </c>
      <c r="J1585" s="53" t="n">
        <v>9</v>
      </c>
      <c r="K1585" s="53" t="n">
        <v>0</v>
      </c>
      <c r="L1585" s="53" t="n">
        <v>0</v>
      </c>
      <c r="M1585" s="33">
        <f>F1585-E1585</f>
        <v/>
      </c>
      <c r="N1585" s="33">
        <f>L1585-K1585</f>
        <v/>
      </c>
    </row>
    <row r="1586">
      <c r="A1586" s="58" t="inlineStr">
        <is>
          <t>191837 Black Horse Tavern &amp; Pub</t>
        </is>
      </c>
      <c r="B1586" s="58" t="inlineStr">
        <is>
          <t>Morris</t>
        </is>
      </c>
      <c r="C1586" s="58" t="inlineStr">
        <is>
          <t>John O'Donoghue</t>
        </is>
      </c>
      <c r="D1586" s="58" t="inlineStr">
        <is>
          <t>Unmatched</t>
        </is>
      </c>
      <c r="E1586" s="53" t="n">
        <v>0</v>
      </c>
      <c r="F1586" s="53" t="n">
        <v>0</v>
      </c>
      <c r="G1586" s="55" t="n">
        <v>0</v>
      </c>
      <c r="H1586" s="55" t="n">
        <v>0</v>
      </c>
      <c r="I1586" s="53" t="n">
        <v>6</v>
      </c>
      <c r="J1586" s="53" t="n">
        <v>0</v>
      </c>
      <c r="K1586" s="53" t="n">
        <v>0</v>
      </c>
      <c r="L1586" s="53" t="n">
        <v>0</v>
      </c>
      <c r="M1586" s="33">
        <f>F1586-E1586</f>
        <v/>
      </c>
      <c r="N1586" s="33">
        <f>L1586-K1586</f>
        <v/>
      </c>
    </row>
    <row r="1587">
      <c r="A1587" s="58" t="inlineStr">
        <is>
          <t>192157 Rosie''''s Trattoria</t>
        </is>
      </c>
      <c r="B1587" s="58" t="inlineStr">
        <is>
          <t>Morris</t>
        </is>
      </c>
      <c r="C1587" s="58" t="inlineStr">
        <is>
          <t>John O'Donoghue</t>
        </is>
      </c>
      <c r="D1587" s="58" t="inlineStr">
        <is>
          <t>Unmatched</t>
        </is>
      </c>
      <c r="E1587" s="53" t="n">
        <v>0</v>
      </c>
      <c r="F1587" s="53" t="n">
        <v>0</v>
      </c>
      <c r="G1587" s="55" t="n">
        <v>0</v>
      </c>
      <c r="H1587" s="55" t="n">
        <v>0</v>
      </c>
      <c r="I1587" s="53" t="n">
        <v>0</v>
      </c>
      <c r="J1587" s="53" t="n">
        <v>0</v>
      </c>
      <c r="K1587" s="53" t="n">
        <v>0</v>
      </c>
      <c r="L1587" s="53" t="n">
        <v>0</v>
      </c>
      <c r="M1587" s="33">
        <f>F1587-E1587</f>
        <v/>
      </c>
      <c r="N1587" s="33">
        <f>L1587-K1587</f>
        <v/>
      </c>
    </row>
    <row r="1588">
      <c r="A1588" s="58" t="inlineStr">
        <is>
          <t>190021 Randolph Diner</t>
        </is>
      </c>
      <c r="B1588" s="58" t="inlineStr">
        <is>
          <t>Morris</t>
        </is>
      </c>
      <c r="C1588" s="58" t="inlineStr">
        <is>
          <t>John O'Donoghue</t>
        </is>
      </c>
      <c r="D1588" s="58" t="inlineStr">
        <is>
          <t>Unmatched</t>
        </is>
      </c>
      <c r="E1588" s="53" t="n">
        <v>0</v>
      </c>
      <c r="F1588" s="53" t="n">
        <v>0</v>
      </c>
      <c r="G1588" s="55" t="n">
        <v>0</v>
      </c>
      <c r="H1588" s="55" t="n">
        <v>0</v>
      </c>
      <c r="I1588" s="53" t="n">
        <v>0</v>
      </c>
      <c r="J1588" s="53" t="n">
        <v>23</v>
      </c>
      <c r="K1588" s="53" t="n">
        <v>0</v>
      </c>
      <c r="L1588" s="53" t="n">
        <v>0</v>
      </c>
      <c r="M1588" s="33">
        <f>F1588-E1588</f>
        <v/>
      </c>
      <c r="N1588" s="33">
        <f>L1588-K1588</f>
        <v/>
      </c>
    </row>
    <row r="1589">
      <c r="A1589" s="58" t="inlineStr">
        <is>
          <t>192052 Swim And Sports Club</t>
        </is>
      </c>
      <c r="B1589" s="58" t="inlineStr">
        <is>
          <t>Morris</t>
        </is>
      </c>
      <c r="C1589" s="58" t="inlineStr">
        <is>
          <t>John O'Donoghue</t>
        </is>
      </c>
      <c r="D1589" s="58" t="inlineStr">
        <is>
          <t>Unmatched</t>
        </is>
      </c>
      <c r="E1589" s="53" t="n">
        <v>0</v>
      </c>
      <c r="F1589" s="53" t="n">
        <v>0</v>
      </c>
      <c r="G1589" s="55" t="n">
        <v>0</v>
      </c>
      <c r="H1589" s="55" t="n">
        <v>0</v>
      </c>
      <c r="I1589" s="53" t="n">
        <v>15</v>
      </c>
      <c r="J1589" s="53" t="n">
        <v>11</v>
      </c>
      <c r="K1589" s="53" t="n">
        <v>0</v>
      </c>
      <c r="L1589" s="53" t="n">
        <v>0</v>
      </c>
      <c r="M1589" s="33">
        <f>F1589-E1589</f>
        <v/>
      </c>
      <c r="N1589" s="33">
        <f>L1589-K1589</f>
        <v/>
      </c>
    </row>
    <row r="1590">
      <c r="A1590" s="58" t="inlineStr">
        <is>
          <t>190045 Tavern Off The Green</t>
        </is>
      </c>
      <c r="B1590" s="58" t="inlineStr">
        <is>
          <t>Morris</t>
        </is>
      </c>
      <c r="C1590" s="58" t="inlineStr">
        <is>
          <t>John O'Donoghue</t>
        </is>
      </c>
      <c r="D1590" s="58" t="inlineStr">
        <is>
          <t>Unmatched</t>
        </is>
      </c>
      <c r="E1590" s="53" t="n">
        <v>0</v>
      </c>
      <c r="F1590" s="53" t="n">
        <v>0</v>
      </c>
      <c r="G1590" s="55" t="n">
        <v>0</v>
      </c>
      <c r="H1590" s="55" t="n">
        <v>0</v>
      </c>
      <c r="I1590" s="53" t="n">
        <v>12</v>
      </c>
      <c r="J1590" s="53" t="n">
        <v>12</v>
      </c>
      <c r="K1590" s="53" t="n">
        <v>0</v>
      </c>
      <c r="L1590" s="53" t="n">
        <v>0</v>
      </c>
      <c r="M1590" s="33">
        <f>F1590-E1590</f>
        <v/>
      </c>
      <c r="N1590" s="33">
        <f>L1590-K1590</f>
        <v/>
      </c>
    </row>
    <row r="1591">
      <c r="A1591" s="58" t="inlineStr">
        <is>
          <t>190068 River Grille</t>
        </is>
      </c>
      <c r="B1591" s="58" t="inlineStr">
        <is>
          <t>Morris</t>
        </is>
      </c>
      <c r="C1591" s="58" t="inlineStr">
        <is>
          <t>John O'Donoghue</t>
        </is>
      </c>
      <c r="D1591" s="58" t="inlineStr">
        <is>
          <t>Unmatched</t>
        </is>
      </c>
      <c r="E1591" s="53" t="n">
        <v>0</v>
      </c>
      <c r="F1591" s="53" t="n">
        <v>0</v>
      </c>
      <c r="G1591" s="55" t="n">
        <v>0</v>
      </c>
      <c r="H1591" s="55" t="n">
        <v>0</v>
      </c>
      <c r="I1591" s="53" t="n">
        <v>20</v>
      </c>
      <c r="J1591" s="53" t="n">
        <v>20</v>
      </c>
      <c r="K1591" s="53" t="n">
        <v>0</v>
      </c>
      <c r="L1591" s="53" t="n">
        <v>0</v>
      </c>
      <c r="M1591" s="33">
        <f>F1591-E1591</f>
        <v/>
      </c>
      <c r="N1591" s="33">
        <f>L1591-K1591</f>
        <v/>
      </c>
    </row>
    <row r="1592">
      <c r="A1592" s="58" t="inlineStr">
        <is>
          <t>190328 Tiff's Grill &amp; Ale House</t>
        </is>
      </c>
      <c r="B1592" s="58" t="inlineStr">
        <is>
          <t>Morris</t>
        </is>
      </c>
      <c r="C1592" s="58" t="inlineStr">
        <is>
          <t>John O'Donoghue</t>
        </is>
      </c>
      <c r="D1592" s="58" t="inlineStr">
        <is>
          <t>Unmatched</t>
        </is>
      </c>
      <c r="E1592" s="53" t="n">
        <v>0</v>
      </c>
      <c r="F1592" s="53" t="n">
        <v>0</v>
      </c>
      <c r="G1592" s="55" t="n">
        <v>0</v>
      </c>
      <c r="H1592" s="55" t="n">
        <v>0</v>
      </c>
      <c r="I1592" s="53" t="n">
        <v>14</v>
      </c>
      <c r="J1592" s="53" t="n">
        <v>0</v>
      </c>
      <c r="K1592" s="53" t="n">
        <v>0</v>
      </c>
      <c r="L1592" s="53" t="n">
        <v>0</v>
      </c>
      <c r="M1592" s="33">
        <f>F1592-E1592</f>
        <v/>
      </c>
      <c r="N1592" s="33">
        <f>L1592-K1592</f>
        <v/>
      </c>
    </row>
    <row r="1593">
      <c r="A1593" s="58" t="inlineStr">
        <is>
          <t>190929 L &amp; L Package Store</t>
        </is>
      </c>
      <c r="B1593" s="58" t="inlineStr">
        <is>
          <t>Morris</t>
        </is>
      </c>
      <c r="C1593" s="58" t="inlineStr">
        <is>
          <t>John O'Donoghue</t>
        </is>
      </c>
      <c r="D1593" s="58" t="inlineStr">
        <is>
          <t>Unmatched</t>
        </is>
      </c>
      <c r="E1593" s="53" t="n">
        <v>0</v>
      </c>
      <c r="F1593" s="53" t="n">
        <v>0</v>
      </c>
      <c r="G1593" s="55" t="n">
        <v>0</v>
      </c>
      <c r="H1593" s="55" t="n">
        <v>0</v>
      </c>
      <c r="I1593" s="53" t="n">
        <v>22</v>
      </c>
      <c r="J1593" s="53" t="n">
        <v>13</v>
      </c>
      <c r="K1593" s="53" t="n">
        <v>0</v>
      </c>
      <c r="L1593" s="53" t="n">
        <v>0</v>
      </c>
      <c r="M1593" s="33">
        <f>F1593-E1593</f>
        <v/>
      </c>
      <c r="N1593" s="33">
        <f>L1593-K1593</f>
        <v/>
      </c>
    </row>
    <row r="1594">
      <c r="A1594" s="58" t="inlineStr">
        <is>
          <t>192147 Valley Rest &amp; Pub</t>
        </is>
      </c>
      <c r="B1594" s="58" t="inlineStr">
        <is>
          <t>Morris</t>
        </is>
      </c>
      <c r="C1594" s="58" t="inlineStr">
        <is>
          <t>John O'Donoghue</t>
        </is>
      </c>
      <c r="D1594" s="58" t="inlineStr">
        <is>
          <t>Unmatched</t>
        </is>
      </c>
      <c r="E1594" s="53" t="n">
        <v>0</v>
      </c>
      <c r="F1594" s="53" t="n">
        <v>0</v>
      </c>
      <c r="G1594" s="55" t="n">
        <v>0</v>
      </c>
      <c r="H1594" s="55" t="n">
        <v>0</v>
      </c>
      <c r="I1594" s="53" t="n">
        <v>13</v>
      </c>
      <c r="J1594" s="53" t="n">
        <v>13</v>
      </c>
      <c r="K1594" s="53" t="n">
        <v>0</v>
      </c>
      <c r="L1594" s="53" t="n">
        <v>0</v>
      </c>
      <c r="M1594" s="33">
        <f>F1594-E1594</f>
        <v/>
      </c>
      <c r="N1594" s="33">
        <f>L1594-K1594</f>
        <v/>
      </c>
    </row>
    <row r="1595">
      <c r="A1595" s="58" t="inlineStr">
        <is>
          <t>150228 Antik Greek Kitchens</t>
        </is>
      </c>
      <c r="B1595" s="58" t="inlineStr">
        <is>
          <t>Essex</t>
        </is>
      </c>
      <c r="C1595" s="58" t="inlineStr">
        <is>
          <t>John O'Donoghue</t>
        </is>
      </c>
      <c r="D1595" s="58" t="inlineStr">
        <is>
          <t>On-premise</t>
        </is>
      </c>
      <c r="E1595" s="53" t="n">
        <v>0</v>
      </c>
      <c r="F1595" s="53" t="n">
        <v>0</v>
      </c>
      <c r="G1595" s="55" t="n">
        <v>0</v>
      </c>
      <c r="H1595" s="55" t="n">
        <v>0</v>
      </c>
      <c r="I1595" s="53" t="n">
        <v>18</v>
      </c>
      <c r="J1595" s="53" t="n">
        <v>0</v>
      </c>
      <c r="K1595" s="53" t="n">
        <v>0</v>
      </c>
      <c r="L1595" s="53" t="n">
        <v>0</v>
      </c>
      <c r="M1595" s="33">
        <f>F1595-E1595</f>
        <v/>
      </c>
      <c r="N1595" s="33">
        <f>L1595-K1595</f>
        <v/>
      </c>
    </row>
    <row r="1596">
      <c r="A1596" s="58" t="inlineStr">
        <is>
          <t>190016 12 Islands Greek Taverna</t>
        </is>
      </c>
      <c r="B1596" s="58" t="inlineStr">
        <is>
          <t>Morris</t>
        </is>
      </c>
      <c r="C1596" s="58" t="inlineStr">
        <is>
          <t>John O'Donoghue</t>
        </is>
      </c>
      <c r="D1596" s="58" t="inlineStr">
        <is>
          <t>Unmatched</t>
        </is>
      </c>
      <c r="E1596" s="53" t="n">
        <v>0</v>
      </c>
      <c r="F1596" s="53" t="n">
        <v>0</v>
      </c>
      <c r="G1596" s="55" t="n">
        <v>0</v>
      </c>
      <c r="H1596" s="55" t="n">
        <v>0</v>
      </c>
      <c r="I1596" s="53" t="n">
        <v>34</v>
      </c>
      <c r="J1596" s="53" t="n">
        <v>32</v>
      </c>
      <c r="K1596" s="53" t="n">
        <v>0</v>
      </c>
      <c r="L1596" s="53" t="n">
        <v>0</v>
      </c>
      <c r="M1596" s="33">
        <f>F1596-E1596</f>
        <v/>
      </c>
      <c r="N1596" s="33">
        <f>L1596-K1596</f>
        <v/>
      </c>
    </row>
    <row r="1597">
      <c r="A1597" s="58" t="inlineStr">
        <is>
          <t>190330 Parkside Tavern</t>
        </is>
      </c>
      <c r="B1597" s="58" t="inlineStr">
        <is>
          <t>Morris</t>
        </is>
      </c>
      <c r="C1597" s="58" t="inlineStr">
        <is>
          <t>John O'Donoghue</t>
        </is>
      </c>
      <c r="D1597" s="58" t="inlineStr">
        <is>
          <t>Unmatched</t>
        </is>
      </c>
      <c r="E1597" s="53" t="n">
        <v>0</v>
      </c>
      <c r="F1597" s="53" t="n">
        <v>0</v>
      </c>
      <c r="G1597" s="55" t="n">
        <v>0</v>
      </c>
      <c r="H1597" s="55" t="n">
        <v>0</v>
      </c>
      <c r="I1597" s="53" t="n">
        <v>7</v>
      </c>
      <c r="J1597" s="53" t="n">
        <v>0</v>
      </c>
      <c r="K1597" s="53" t="n">
        <v>0</v>
      </c>
      <c r="L1597" s="53" t="n">
        <v>0</v>
      </c>
      <c r="M1597" s="33">
        <f>F1597-E1597</f>
        <v/>
      </c>
      <c r="N1597" s="33">
        <f>L1597-K1597</f>
        <v/>
      </c>
    </row>
    <row r="1598">
      <c r="A1598" s="58" t="inlineStr">
        <is>
          <t>191824 Grasshopper Off The Green</t>
        </is>
      </c>
      <c r="B1598" s="58" t="inlineStr">
        <is>
          <t>Morris</t>
        </is>
      </c>
      <c r="C1598" s="58" t="inlineStr">
        <is>
          <t>John O'Donoghue</t>
        </is>
      </c>
      <c r="D1598" s="58" t="inlineStr">
        <is>
          <t>Unmatched</t>
        </is>
      </c>
      <c r="E1598" s="53" t="n">
        <v>0</v>
      </c>
      <c r="F1598" s="53" t="n">
        <v>0</v>
      </c>
      <c r="G1598" s="55" t="n">
        <v>0</v>
      </c>
      <c r="H1598" s="55" t="n">
        <v>0</v>
      </c>
      <c r="I1598" s="53" t="n">
        <v>26</v>
      </c>
      <c r="J1598" s="53" t="n">
        <v>51</v>
      </c>
      <c r="K1598" s="53" t="n">
        <v>0</v>
      </c>
      <c r="L1598" s="53" t="n">
        <v>0</v>
      </c>
      <c r="M1598" s="33">
        <f>F1598-E1598</f>
        <v/>
      </c>
      <c r="N1598" s="33">
        <f>L1598-K1598</f>
        <v/>
      </c>
    </row>
    <row r="1599">
      <c r="A1599" s="58" t="inlineStr">
        <is>
          <t>190501 Mountain Lakes Wine &amp; Liquor</t>
        </is>
      </c>
      <c r="B1599" s="58" t="inlineStr">
        <is>
          <t>Morris</t>
        </is>
      </c>
      <c r="C1599" s="58" t="inlineStr">
        <is>
          <t>Klejdi Lamo</t>
        </is>
      </c>
      <c r="D1599" s="58" t="inlineStr">
        <is>
          <t>Off-premise</t>
        </is>
      </c>
      <c r="E1599" s="53" t="n">
        <v>0</v>
      </c>
      <c r="F1599" s="53" t="n">
        <v>0</v>
      </c>
      <c r="G1599" s="55" t="n">
        <v>0</v>
      </c>
      <c r="H1599" s="55" t="n">
        <v>0</v>
      </c>
      <c r="I1599" s="53" t="n">
        <v>0</v>
      </c>
      <c r="J1599" s="53" t="n">
        <v>0</v>
      </c>
      <c r="K1599" s="53" t="n">
        <v>0</v>
      </c>
      <c r="L1599" s="53" t="n">
        <v>0</v>
      </c>
      <c r="M1599" s="33">
        <f>F1599-E1599</f>
        <v/>
      </c>
      <c r="N1599" s="33">
        <f>L1599-K1599</f>
        <v/>
      </c>
    </row>
    <row r="1600">
      <c r="A1600" s="58" t="inlineStr">
        <is>
          <t>12003 Whole Foods Market (Wayne)</t>
        </is>
      </c>
      <c r="B1600" s="58" t="inlineStr">
        <is>
          <t>Passaic</t>
        </is>
      </c>
      <c r="C1600" s="58" t="inlineStr">
        <is>
          <t>Michael Harboy</t>
        </is>
      </c>
      <c r="D1600" s="58" t="inlineStr">
        <is>
          <t>On-premise</t>
        </is>
      </c>
      <c r="E1600" s="53" t="n">
        <v>0</v>
      </c>
      <c r="F1600" s="53" t="n">
        <v>0</v>
      </c>
      <c r="G1600" s="55" t="n">
        <v>0</v>
      </c>
      <c r="H1600" s="55" t="n">
        <v>0</v>
      </c>
      <c r="I1600" s="53" t="n">
        <v>145</v>
      </c>
      <c r="J1600" s="53" t="n">
        <v>134</v>
      </c>
      <c r="K1600" s="53" t="n">
        <v>0</v>
      </c>
      <c r="L1600" s="53" t="n">
        <v>0</v>
      </c>
      <c r="M1600" s="33">
        <f>F1600-E1600</f>
        <v/>
      </c>
      <c r="N1600" s="33">
        <f>L1600-K1600</f>
        <v/>
      </c>
    </row>
    <row r="1601">
      <c r="A1601" s="58" t="inlineStr">
        <is>
          <t>150010 Cloverleaf Tavern</t>
        </is>
      </c>
      <c r="B1601" s="58" t="inlineStr">
        <is>
          <t>Essex</t>
        </is>
      </c>
      <c r="C1601" s="58" t="inlineStr">
        <is>
          <t>Michael Harboy</t>
        </is>
      </c>
      <c r="D1601" s="58" t="inlineStr">
        <is>
          <t>On-premise</t>
        </is>
      </c>
      <c r="E1601" s="53" t="n">
        <v>0</v>
      </c>
      <c r="F1601" s="53" t="n">
        <v>0</v>
      </c>
      <c r="G1601" s="55" t="n">
        <v>0</v>
      </c>
      <c r="H1601" s="55" t="n">
        <v>0</v>
      </c>
      <c r="I1601" s="53" t="n">
        <v>104</v>
      </c>
      <c r="J1601" s="53" t="n">
        <v>151</v>
      </c>
      <c r="K1601" s="53" t="n">
        <v>0</v>
      </c>
      <c r="L1601" s="53" t="n">
        <v>0</v>
      </c>
      <c r="M1601" s="33">
        <f>F1601-E1601</f>
        <v/>
      </c>
      <c r="N1601" s="33">
        <f>L1601-K1601</f>
        <v/>
      </c>
    </row>
    <row r="1602">
      <c r="A1602" s="58" t="inlineStr">
        <is>
          <t>150232 Avenue Bistro</t>
        </is>
      </c>
      <c r="B1602" s="58" t="inlineStr">
        <is>
          <t>Essex</t>
        </is>
      </c>
      <c r="C1602" s="58" t="inlineStr">
        <is>
          <t>Michael Harboy</t>
        </is>
      </c>
      <c r="D1602" s="58" t="inlineStr">
        <is>
          <t>On-premise</t>
        </is>
      </c>
      <c r="E1602" s="53" t="n">
        <v>0</v>
      </c>
      <c r="F1602" s="53" t="n">
        <v>0</v>
      </c>
      <c r="G1602" s="55" t="n">
        <v>0</v>
      </c>
      <c r="H1602" s="55" t="n">
        <v>0</v>
      </c>
      <c r="I1602" s="53" t="n">
        <v>17</v>
      </c>
      <c r="J1602" s="53" t="n">
        <v>11</v>
      </c>
      <c r="K1602" s="53" t="n">
        <v>0</v>
      </c>
      <c r="L1602" s="53" t="n">
        <v>0</v>
      </c>
      <c r="M1602" s="33">
        <f>F1602-E1602</f>
        <v/>
      </c>
      <c r="N1602" s="33">
        <f>L1602-K1602</f>
        <v/>
      </c>
    </row>
    <row r="1603">
      <c r="A1603" s="58" t="inlineStr">
        <is>
          <t>150619 Grasshopper Cedar Grove</t>
        </is>
      </c>
      <c r="B1603" s="58" t="inlineStr">
        <is>
          <t>Essex</t>
        </is>
      </c>
      <c r="C1603" s="58" t="inlineStr">
        <is>
          <t>Michael Harboy</t>
        </is>
      </c>
      <c r="D1603" s="58" t="inlineStr">
        <is>
          <t>On-premise</t>
        </is>
      </c>
      <c r="E1603" s="53" t="n">
        <v>0</v>
      </c>
      <c r="F1603" s="53" t="n">
        <v>0</v>
      </c>
      <c r="G1603" s="55" t="n">
        <v>0</v>
      </c>
      <c r="H1603" s="55" t="n">
        <v>0</v>
      </c>
      <c r="I1603" s="53" t="n">
        <v>23</v>
      </c>
      <c r="J1603" s="53" t="n">
        <v>76</v>
      </c>
      <c r="K1603" s="53" t="n">
        <v>0</v>
      </c>
      <c r="L1603" s="53" t="n">
        <v>0</v>
      </c>
      <c r="M1603" s="33">
        <f>F1603-E1603</f>
        <v/>
      </c>
      <c r="N1603" s="33">
        <f>L1603-K1603</f>
        <v/>
      </c>
    </row>
    <row r="1604">
      <c r="A1604" s="58" t="inlineStr">
        <is>
          <t>150084 Pineapple Express Barbecue</t>
        </is>
      </c>
      <c r="B1604" s="58" t="inlineStr">
        <is>
          <t>Essex</t>
        </is>
      </c>
      <c r="C1604" s="58" t="inlineStr">
        <is>
          <t>Michael Harboy</t>
        </is>
      </c>
      <c r="D1604" s="58" t="inlineStr">
        <is>
          <t>Unmatched</t>
        </is>
      </c>
      <c r="E1604" s="53" t="n">
        <v>0</v>
      </c>
      <c r="F1604" s="53" t="n">
        <v>0</v>
      </c>
      <c r="G1604" s="55" t="n">
        <v>0</v>
      </c>
      <c r="H1604" s="55" t="n">
        <v>0</v>
      </c>
      <c r="I1604" s="53" t="n">
        <v>151</v>
      </c>
      <c r="J1604" s="53" t="n">
        <v>0</v>
      </c>
      <c r="K1604" s="53" t="n">
        <v>0</v>
      </c>
      <c r="L1604" s="53" t="n">
        <v>0</v>
      </c>
      <c r="M1604" s="33">
        <f>F1604-E1604</f>
        <v/>
      </c>
      <c r="N1604" s="33">
        <f>L1604-K1604</f>
        <v/>
      </c>
    </row>
    <row r="1605">
      <c r="A1605" s="58" t="inlineStr">
        <is>
          <t>150110 Mountain Ridge Cc</t>
        </is>
      </c>
      <c r="B1605" s="58" t="inlineStr">
        <is>
          <t>Essex</t>
        </is>
      </c>
      <c r="C1605" s="58" t="inlineStr">
        <is>
          <t>Michael Harboy</t>
        </is>
      </c>
      <c r="D1605" s="58" t="inlineStr">
        <is>
          <t>On-premise</t>
        </is>
      </c>
      <c r="E1605" s="53" t="n">
        <v>0</v>
      </c>
      <c r="F1605" s="53" t="n">
        <v>0</v>
      </c>
      <c r="G1605" s="55" t="n">
        <v>0</v>
      </c>
      <c r="H1605" s="55" t="n">
        <v>0</v>
      </c>
      <c r="I1605" s="53" t="n">
        <v>58</v>
      </c>
      <c r="J1605" s="53" t="n">
        <v>5</v>
      </c>
      <c r="K1605" s="53" t="n">
        <v>0</v>
      </c>
      <c r="L1605" s="53" t="n">
        <v>0</v>
      </c>
      <c r="M1605" s="33">
        <f>F1605-E1605</f>
        <v/>
      </c>
      <c r="N1605" s="33">
        <f>L1605-K1605</f>
        <v/>
      </c>
    </row>
    <row r="1606">
      <c r="A1606" s="58" t="inlineStr">
        <is>
          <t>150195 DOUGH</t>
        </is>
      </c>
      <c r="B1606" s="58" t="inlineStr">
        <is>
          <t>Essex</t>
        </is>
      </c>
      <c r="C1606" s="58" t="inlineStr">
        <is>
          <t>Michael Harboy</t>
        </is>
      </c>
      <c r="D1606" s="58" t="inlineStr">
        <is>
          <t>Unmatched</t>
        </is>
      </c>
      <c r="E1606" s="53" t="n">
        <v>0</v>
      </c>
      <c r="F1606" s="53" t="n">
        <v>0</v>
      </c>
      <c r="G1606" s="55" t="n">
        <v>0</v>
      </c>
      <c r="H1606" s="55" t="n">
        <v>0</v>
      </c>
      <c r="I1606" s="53" t="n">
        <v>119</v>
      </c>
      <c r="J1606" s="53" t="n">
        <v>117</v>
      </c>
      <c r="K1606" s="53" t="n">
        <v>0</v>
      </c>
      <c r="L1606" s="53" t="n">
        <v>0</v>
      </c>
      <c r="M1606" s="33">
        <f>F1606-E1606</f>
        <v/>
      </c>
      <c r="N1606" s="33">
        <f>L1606-K1606</f>
        <v/>
      </c>
    </row>
    <row r="1607">
      <c r="A1607" s="58" t="inlineStr">
        <is>
          <t>150499 Garden State Tavern</t>
        </is>
      </c>
      <c r="B1607" s="58" t="inlineStr">
        <is>
          <t>Essex</t>
        </is>
      </c>
      <c r="C1607" s="58" t="inlineStr">
        <is>
          <t>Michael Harboy</t>
        </is>
      </c>
      <c r="D1607" s="58" t="inlineStr">
        <is>
          <t>On-premise</t>
        </is>
      </c>
      <c r="E1607" s="53" t="n">
        <v>0</v>
      </c>
      <c r="F1607" s="53" t="n">
        <v>0</v>
      </c>
      <c r="G1607" s="55" t="n">
        <v>0</v>
      </c>
      <c r="H1607" s="55" t="n">
        <v>0</v>
      </c>
      <c r="I1607" s="53" t="n">
        <v>82</v>
      </c>
      <c r="J1607" s="53" t="n">
        <v>0</v>
      </c>
      <c r="K1607" s="53" t="n">
        <v>0</v>
      </c>
      <c r="L1607" s="53" t="n">
        <v>0</v>
      </c>
      <c r="M1607" s="33">
        <f>F1607-E1607</f>
        <v/>
      </c>
      <c r="N1607" s="33">
        <f>L1607-K1607</f>
        <v/>
      </c>
    </row>
    <row r="1608">
      <c r="A1608" s="58" t="inlineStr">
        <is>
          <t>150078 Tory Corner Liquors (P)</t>
        </is>
      </c>
      <c r="B1608" s="58" t="inlineStr">
        <is>
          <t>Essex</t>
        </is>
      </c>
      <c r="C1608" s="58" t="inlineStr">
        <is>
          <t>Michael Harboy</t>
        </is>
      </c>
      <c r="D1608" s="58" t="inlineStr">
        <is>
          <t>Off-premise</t>
        </is>
      </c>
      <c r="E1608" s="53" t="n">
        <v>0</v>
      </c>
      <c r="F1608" s="53" t="n">
        <v>0</v>
      </c>
      <c r="G1608" s="55" t="n">
        <v>0</v>
      </c>
      <c r="H1608" s="55" t="n">
        <v>0</v>
      </c>
      <c r="I1608" s="53" t="n">
        <v>34</v>
      </c>
      <c r="J1608" s="53" t="n">
        <v>49</v>
      </c>
      <c r="K1608" s="53" t="n">
        <v>0</v>
      </c>
      <c r="L1608" s="53" t="n">
        <v>0</v>
      </c>
      <c r="M1608" s="33">
        <f>F1608-E1608</f>
        <v/>
      </c>
      <c r="N1608" s="33">
        <f>L1608-K1608</f>
        <v/>
      </c>
    </row>
    <row r="1609">
      <c r="A1609" s="58" t="inlineStr">
        <is>
          <t>150235 460 BISTRO</t>
        </is>
      </c>
      <c r="B1609" s="58" t="inlineStr">
        <is>
          <t>Essex</t>
        </is>
      </c>
      <c r="C1609" s="58" t="inlineStr">
        <is>
          <t>Michael Harboy</t>
        </is>
      </c>
      <c r="D1609" s="58" t="inlineStr">
        <is>
          <t>On-premise</t>
        </is>
      </c>
      <c r="E1609" s="53" t="n">
        <v>0</v>
      </c>
      <c r="F1609" s="53" t="n">
        <v>0</v>
      </c>
      <c r="G1609" s="55" t="n">
        <v>0</v>
      </c>
      <c r="H1609" s="55" t="n">
        <v>0</v>
      </c>
      <c r="I1609" s="53" t="n">
        <v>48</v>
      </c>
      <c r="J1609" s="53" t="n">
        <v>14</v>
      </c>
      <c r="K1609" s="53" t="n">
        <v>0</v>
      </c>
      <c r="L1609" s="53" t="n">
        <v>0</v>
      </c>
      <c r="M1609" s="33">
        <f>F1609-E1609</f>
        <v/>
      </c>
      <c r="N1609" s="33">
        <f>L1609-K1609</f>
        <v/>
      </c>
    </row>
    <row r="1610">
      <c r="A1610" s="58" t="inlineStr">
        <is>
          <t>150137 Danahers</t>
        </is>
      </c>
      <c r="B1610" s="58" t="inlineStr">
        <is>
          <t>Essex</t>
        </is>
      </c>
      <c r="C1610" s="58" t="inlineStr">
        <is>
          <t>Michael Harboy</t>
        </is>
      </c>
      <c r="D1610" s="58" t="inlineStr">
        <is>
          <t>On-premise</t>
        </is>
      </c>
      <c r="E1610" s="53" t="n">
        <v>0</v>
      </c>
      <c r="F1610" s="53" t="n">
        <v>0</v>
      </c>
      <c r="G1610" s="55" t="n">
        <v>0</v>
      </c>
      <c r="H1610" s="55" t="n">
        <v>0</v>
      </c>
      <c r="I1610" s="53" t="n">
        <v>138</v>
      </c>
      <c r="J1610" s="53" t="n">
        <v>138</v>
      </c>
      <c r="K1610" s="53" t="n">
        <v>0</v>
      </c>
      <c r="L1610" s="53" t="n">
        <v>0</v>
      </c>
      <c r="M1610" s="33">
        <f>F1610-E1610</f>
        <v/>
      </c>
      <c r="N1610" s="33">
        <f>L1610-K1610</f>
        <v/>
      </c>
    </row>
    <row r="1611">
      <c r="A1611" s="58" t="inlineStr">
        <is>
          <t>150101 Party Liquors</t>
        </is>
      </c>
      <c r="B1611" s="58" t="inlineStr">
        <is>
          <t>Essex</t>
        </is>
      </c>
      <c r="C1611" s="58" t="inlineStr">
        <is>
          <t>Michael Harboy</t>
        </is>
      </c>
      <c r="D1611" s="58" t="inlineStr">
        <is>
          <t>Off-premise</t>
        </is>
      </c>
      <c r="E1611" s="53" t="n">
        <v>0</v>
      </c>
      <c r="F1611" s="53" t="n">
        <v>0</v>
      </c>
      <c r="G1611" s="55" t="n">
        <v>0</v>
      </c>
      <c r="H1611" s="55" t="n">
        <v>0</v>
      </c>
      <c r="I1611" s="53" t="n">
        <v>23</v>
      </c>
      <c r="J1611" s="53" t="n">
        <v>44</v>
      </c>
      <c r="K1611" s="53" t="n">
        <v>0</v>
      </c>
      <c r="L1611" s="53" t="n">
        <v>0</v>
      </c>
      <c r="M1611" s="33">
        <f>F1611-E1611</f>
        <v/>
      </c>
      <c r="N1611" s="33">
        <f>L1611-K1611</f>
        <v/>
      </c>
    </row>
    <row r="1612">
      <c r="A1612" s="58" t="inlineStr">
        <is>
          <t>150450 Ringside Pub</t>
        </is>
      </c>
      <c r="B1612" s="58" t="inlineStr">
        <is>
          <t>Essex</t>
        </is>
      </c>
      <c r="C1612" s="58" t="inlineStr">
        <is>
          <t>Michael Harboy</t>
        </is>
      </c>
      <c r="D1612" s="58" t="inlineStr">
        <is>
          <t>On-premise</t>
        </is>
      </c>
      <c r="E1612" s="53" t="n">
        <v>0</v>
      </c>
      <c r="F1612" s="53" t="n">
        <v>0</v>
      </c>
      <c r="G1612" s="55" t="n">
        <v>0</v>
      </c>
      <c r="H1612" s="55" t="n">
        <v>0</v>
      </c>
      <c r="I1612" s="53" t="n">
        <v>17</v>
      </c>
      <c r="J1612" s="53" t="n">
        <v>13</v>
      </c>
      <c r="K1612" s="53" t="n">
        <v>0</v>
      </c>
      <c r="L1612" s="53" t="n">
        <v>0</v>
      </c>
      <c r="M1612" s="33">
        <f>F1612-E1612</f>
        <v/>
      </c>
      <c r="N1612" s="33">
        <f>L1612-K1612</f>
        <v/>
      </c>
    </row>
    <row r="1613">
      <c r="A1613" s="58" t="inlineStr">
        <is>
          <t>150124 Just Jakes</t>
        </is>
      </c>
      <c r="B1613" s="58" t="inlineStr">
        <is>
          <t>Essex</t>
        </is>
      </c>
      <c r="C1613" s="58" t="inlineStr">
        <is>
          <t>Michael Harboy</t>
        </is>
      </c>
      <c r="D1613" s="58" t="inlineStr">
        <is>
          <t>On-premise</t>
        </is>
      </c>
      <c r="E1613" s="53" t="n">
        <v>0</v>
      </c>
      <c r="F1613" s="53" t="n">
        <v>0</v>
      </c>
      <c r="G1613" s="55" t="n">
        <v>0</v>
      </c>
      <c r="H1613" s="55" t="n">
        <v>0</v>
      </c>
      <c r="I1613" s="53" t="n">
        <v>24</v>
      </c>
      <c r="J1613" s="53" t="n">
        <v>55</v>
      </c>
      <c r="K1613" s="53" t="n">
        <v>0</v>
      </c>
      <c r="L1613" s="53" t="n">
        <v>0</v>
      </c>
      <c r="M1613" s="33">
        <f>F1613-E1613</f>
        <v/>
      </c>
      <c r="N1613" s="33">
        <f>L1613-K1613</f>
        <v/>
      </c>
    </row>
    <row r="1614">
      <c r="A1614" s="58" t="inlineStr">
        <is>
          <t>150058 Fairchilds Market Place</t>
        </is>
      </c>
      <c r="B1614" s="58" t="inlineStr">
        <is>
          <t>Essex</t>
        </is>
      </c>
      <c r="C1614" s="58" t="inlineStr">
        <is>
          <t>Michael Harboy</t>
        </is>
      </c>
      <c r="D1614" s="58" t="inlineStr">
        <is>
          <t>Off-premise</t>
        </is>
      </c>
      <c r="E1614" s="53" t="n">
        <v>0</v>
      </c>
      <c r="F1614" s="53" t="n">
        <v>0</v>
      </c>
      <c r="G1614" s="55" t="n">
        <v>0</v>
      </c>
      <c r="H1614" s="55" t="n">
        <v>0</v>
      </c>
      <c r="I1614" s="53" t="n">
        <v>21</v>
      </c>
      <c r="J1614" s="53" t="n">
        <v>16</v>
      </c>
      <c r="K1614" s="53" t="n">
        <v>0</v>
      </c>
      <c r="L1614" s="53" t="n">
        <v>0</v>
      </c>
      <c r="M1614" s="33">
        <f>F1614-E1614</f>
        <v/>
      </c>
      <c r="N1614" s="33">
        <f>L1614-K1614</f>
        <v/>
      </c>
    </row>
    <row r="1615">
      <c r="A1615" s="58" t="inlineStr">
        <is>
          <t>150196 Franklin Steakhouse Tvrn</t>
        </is>
      </c>
      <c r="B1615" s="58" t="inlineStr">
        <is>
          <t>Essex</t>
        </is>
      </c>
      <c r="C1615" s="58" t="inlineStr">
        <is>
          <t>Michael Harboy</t>
        </is>
      </c>
      <c r="D1615" s="58" t="inlineStr">
        <is>
          <t>On-premise</t>
        </is>
      </c>
      <c r="E1615" s="53" t="n">
        <v>0</v>
      </c>
      <c r="F1615" s="53" t="n">
        <v>0</v>
      </c>
      <c r="G1615" s="55" t="n">
        <v>0</v>
      </c>
      <c r="H1615" s="55" t="n">
        <v>0</v>
      </c>
      <c r="I1615" s="53" t="n">
        <v>34</v>
      </c>
      <c r="J1615" s="53" t="n">
        <v>11</v>
      </c>
      <c r="K1615" s="53" t="n">
        <v>0</v>
      </c>
      <c r="L1615" s="53" t="n">
        <v>0</v>
      </c>
      <c r="M1615" s="33">
        <f>F1615-E1615</f>
        <v/>
      </c>
      <c r="N1615" s="33">
        <f>L1615-K1615</f>
        <v/>
      </c>
    </row>
    <row r="1616">
      <c r="A1616" s="58" t="inlineStr">
        <is>
          <t>151024 The Wellmont Theater</t>
        </is>
      </c>
      <c r="B1616" s="58" t="inlineStr">
        <is>
          <t>Essex</t>
        </is>
      </c>
      <c r="C1616" s="58" t="inlineStr">
        <is>
          <t>Michael Harboy</t>
        </is>
      </c>
      <c r="D1616" s="58" t="inlineStr">
        <is>
          <t>On-premise</t>
        </is>
      </c>
      <c r="E1616" s="53" t="n">
        <v>0</v>
      </c>
      <c r="F1616" s="53" t="n">
        <v>0</v>
      </c>
      <c r="G1616" s="55" t="n">
        <v>0</v>
      </c>
      <c r="H1616" s="55" t="n">
        <v>0</v>
      </c>
      <c r="I1616" s="53" t="n">
        <v>42</v>
      </c>
      <c r="J1616" s="53" t="n">
        <v>28</v>
      </c>
      <c r="K1616" s="53" t="n">
        <v>0</v>
      </c>
      <c r="L1616" s="53" t="n">
        <v>0</v>
      </c>
      <c r="M1616" s="33">
        <f>F1616-E1616</f>
        <v/>
      </c>
      <c r="N1616" s="33">
        <f>L1616-K1616</f>
        <v/>
      </c>
    </row>
    <row r="1617">
      <c r="A1617" s="58" t="inlineStr">
        <is>
          <t>150205 Dillon's</t>
        </is>
      </c>
      <c r="B1617" s="58" t="inlineStr">
        <is>
          <t>Essex</t>
        </is>
      </c>
      <c r="C1617" s="58" t="inlineStr">
        <is>
          <t>Michael Harboy</t>
        </is>
      </c>
      <c r="D1617" s="58" t="inlineStr">
        <is>
          <t>On-premise</t>
        </is>
      </c>
      <c r="E1617" s="53" t="n">
        <v>0</v>
      </c>
      <c r="F1617" s="53" t="n">
        <v>0</v>
      </c>
      <c r="G1617" s="55" t="n">
        <v>0</v>
      </c>
      <c r="H1617" s="55" t="n">
        <v>0</v>
      </c>
      <c r="I1617" s="53" t="n">
        <v>11</v>
      </c>
      <c r="J1617" s="53" t="n">
        <v>0</v>
      </c>
      <c r="K1617" s="53" t="n">
        <v>0</v>
      </c>
      <c r="L1617" s="53" t="n">
        <v>0</v>
      </c>
      <c r="M1617" s="33">
        <f>F1617-E1617</f>
        <v/>
      </c>
      <c r="N1617" s="33">
        <f>L1617-K1617</f>
        <v/>
      </c>
    </row>
    <row r="1618">
      <c r="A1618" s="58" t="inlineStr">
        <is>
          <t>150103 Jacks Supermarket</t>
        </is>
      </c>
      <c r="B1618" s="58" t="inlineStr">
        <is>
          <t>Essex</t>
        </is>
      </c>
      <c r="C1618" s="58" t="inlineStr">
        <is>
          <t>Michael Harboy</t>
        </is>
      </c>
      <c r="D1618" s="58" t="inlineStr">
        <is>
          <t>Off-premise</t>
        </is>
      </c>
      <c r="E1618" s="53" t="n">
        <v>0</v>
      </c>
      <c r="F1618" s="53" t="n">
        <v>0</v>
      </c>
      <c r="G1618" s="55" t="n">
        <v>0</v>
      </c>
      <c r="H1618" s="55" t="n">
        <v>0</v>
      </c>
      <c r="I1618" s="53" t="n">
        <v>115</v>
      </c>
      <c r="J1618" s="53" t="n">
        <v>83</v>
      </c>
      <c r="K1618" s="53" t="n">
        <v>0</v>
      </c>
      <c r="L1618" s="53" t="n">
        <v>0</v>
      </c>
      <c r="M1618" s="33">
        <f>F1618-E1618</f>
        <v/>
      </c>
      <c r="N1618" s="33">
        <f>L1618-K1618</f>
        <v/>
      </c>
    </row>
    <row r="1619">
      <c r="A1619" s="58" t="inlineStr">
        <is>
          <t>151028 Faubourg Montclair</t>
        </is>
      </c>
      <c r="B1619" s="58" t="inlineStr">
        <is>
          <t>Essex</t>
        </is>
      </c>
      <c r="C1619" s="58" t="inlineStr">
        <is>
          <t>Michael Harboy</t>
        </is>
      </c>
      <c r="D1619" s="58" t="inlineStr">
        <is>
          <t>On-premise</t>
        </is>
      </c>
      <c r="E1619" s="53" t="n">
        <v>0</v>
      </c>
      <c r="F1619" s="53" t="n">
        <v>0</v>
      </c>
      <c r="G1619" s="55" t="n">
        <v>0</v>
      </c>
      <c r="H1619" s="55" t="n">
        <v>0</v>
      </c>
      <c r="I1619" s="53" t="n">
        <v>0</v>
      </c>
      <c r="J1619" s="53" t="n">
        <v>28</v>
      </c>
      <c r="K1619" s="53" t="n">
        <v>0</v>
      </c>
      <c r="L1619" s="53" t="n">
        <v>0</v>
      </c>
      <c r="M1619" s="33">
        <f>F1619-E1619</f>
        <v/>
      </c>
      <c r="N1619" s="33">
        <f>L1619-K1619</f>
        <v/>
      </c>
    </row>
    <row r="1620">
      <c r="A1620" s="58" t="inlineStr">
        <is>
          <t>150108 Caggiano Liquors</t>
        </is>
      </c>
      <c r="B1620" s="58" t="inlineStr">
        <is>
          <t>Essex</t>
        </is>
      </c>
      <c r="C1620" s="58" t="inlineStr">
        <is>
          <t>Michael Harboy</t>
        </is>
      </c>
      <c r="D1620" s="58" t="inlineStr">
        <is>
          <t>Off-premise</t>
        </is>
      </c>
      <c r="E1620" s="53" t="n">
        <v>0</v>
      </c>
      <c r="F1620" s="53" t="n">
        <v>0</v>
      </c>
      <c r="G1620" s="55" t="n">
        <v>0</v>
      </c>
      <c r="H1620" s="55" t="n">
        <v>0</v>
      </c>
      <c r="I1620" s="53" t="n">
        <v>76</v>
      </c>
      <c r="J1620" s="53" t="n">
        <v>95</v>
      </c>
      <c r="K1620" s="53" t="n">
        <v>0</v>
      </c>
      <c r="L1620" s="53" t="n">
        <v>0</v>
      </c>
      <c r="M1620" s="33">
        <f>F1620-E1620</f>
        <v/>
      </c>
      <c r="N1620" s="33">
        <f>L1620-K1620</f>
        <v/>
      </c>
    </row>
    <row r="1621">
      <c r="A1621" s="58" t="inlineStr">
        <is>
          <t>150192 South End Liquors</t>
        </is>
      </c>
      <c r="B1621" s="58" t="inlineStr">
        <is>
          <t>Essex</t>
        </is>
      </c>
      <c r="C1621" s="58" t="inlineStr">
        <is>
          <t>Michael Harboy</t>
        </is>
      </c>
      <c r="D1621" s="58" t="inlineStr">
        <is>
          <t>Off-premise</t>
        </is>
      </c>
      <c r="E1621" s="53" t="n">
        <v>0</v>
      </c>
      <c r="F1621" s="53" t="n">
        <v>0</v>
      </c>
      <c r="G1621" s="55" t="n">
        <v>0</v>
      </c>
      <c r="H1621" s="55" t="n">
        <v>0</v>
      </c>
      <c r="I1621" s="53" t="n">
        <v>72</v>
      </c>
      <c r="J1621" s="53" t="n">
        <v>60</v>
      </c>
      <c r="K1621" s="53" t="n">
        <v>0</v>
      </c>
      <c r="L1621" s="53" t="n">
        <v>0</v>
      </c>
      <c r="M1621" s="33">
        <f>F1621-E1621</f>
        <v/>
      </c>
      <c r="N1621" s="33">
        <f>L1621-K1621</f>
        <v/>
      </c>
    </row>
    <row r="1622">
      <c r="A1622" s="58" t="inlineStr">
        <is>
          <t>150202 Brinks Wine &amp; Liquors</t>
        </is>
      </c>
      <c r="B1622" s="58" t="inlineStr">
        <is>
          <t>Essex</t>
        </is>
      </c>
      <c r="C1622" s="58" t="inlineStr">
        <is>
          <t>Michael Harboy</t>
        </is>
      </c>
      <c r="D1622" s="58" t="inlineStr">
        <is>
          <t>Off-premise</t>
        </is>
      </c>
      <c r="E1622" s="53" t="n">
        <v>0</v>
      </c>
      <c r="F1622" s="53" t="n">
        <v>0</v>
      </c>
      <c r="G1622" s="55" t="n">
        <v>0</v>
      </c>
      <c r="H1622" s="55" t="n">
        <v>0</v>
      </c>
      <c r="I1622" s="53" t="n">
        <v>22</v>
      </c>
      <c r="J1622" s="53" t="n">
        <v>8</v>
      </c>
      <c r="K1622" s="53" t="n">
        <v>0</v>
      </c>
      <c r="L1622" s="53" t="n">
        <v>0</v>
      </c>
      <c r="M1622" s="33">
        <f>F1622-E1622</f>
        <v/>
      </c>
      <c r="N1622" s="33">
        <f>L1622-K1622</f>
        <v/>
      </c>
    </row>
    <row r="1623">
      <c r="A1623" s="58" t="inlineStr">
        <is>
          <t>150159 Castle Rock Bar and Grill</t>
        </is>
      </c>
      <c r="B1623" s="58" t="inlineStr">
        <is>
          <t>Essex</t>
        </is>
      </c>
      <c r="C1623" s="58" t="inlineStr">
        <is>
          <t>Michael Harboy</t>
        </is>
      </c>
      <c r="D1623" s="58" t="inlineStr">
        <is>
          <t>On-premise</t>
        </is>
      </c>
      <c r="E1623" s="53" t="n">
        <v>0</v>
      </c>
      <c r="F1623" s="53" t="n">
        <v>0</v>
      </c>
      <c r="G1623" s="55" t="n">
        <v>0</v>
      </c>
      <c r="H1623" s="55" t="n">
        <v>0</v>
      </c>
      <c r="I1623" s="53" t="n">
        <v>0</v>
      </c>
      <c r="J1623" s="53" t="n">
        <v>8</v>
      </c>
      <c r="K1623" s="53" t="n">
        <v>0</v>
      </c>
      <c r="L1623" s="53" t="n">
        <v>0</v>
      </c>
      <c r="M1623" s="33">
        <f>F1623-E1623</f>
        <v/>
      </c>
      <c r="N1623" s="33">
        <f>L1623-K1623</f>
        <v/>
      </c>
    </row>
    <row r="1624">
      <c r="A1624" s="58" t="inlineStr">
        <is>
          <t>150122 Nomada</t>
        </is>
      </c>
      <c r="B1624" s="58" t="inlineStr">
        <is>
          <t>Essex</t>
        </is>
      </c>
      <c r="C1624" s="58" t="inlineStr">
        <is>
          <t>Michael Harboy</t>
        </is>
      </c>
      <c r="D1624" s="58" t="inlineStr">
        <is>
          <t>Unmatched</t>
        </is>
      </c>
      <c r="E1624" s="53" t="n">
        <v>0</v>
      </c>
      <c r="F1624" s="53" t="n">
        <v>0</v>
      </c>
      <c r="G1624" s="55" t="n">
        <v>0</v>
      </c>
      <c r="H1624" s="55" t="n">
        <v>0</v>
      </c>
      <c r="I1624" s="53" t="n">
        <v>7</v>
      </c>
      <c r="J1624" s="53" t="n">
        <v>16</v>
      </c>
      <c r="K1624" s="53" t="n">
        <v>0</v>
      </c>
      <c r="L1624" s="53" t="n">
        <v>0</v>
      </c>
      <c r="M1624" s="33">
        <f>F1624-E1624</f>
        <v/>
      </c>
      <c r="N1624" s="33">
        <f>L1624-K1624</f>
        <v/>
      </c>
    </row>
    <row r="1625">
      <c r="A1625" s="58" t="inlineStr">
        <is>
          <t>151022 Egan &amp; Sons</t>
        </is>
      </c>
      <c r="B1625" s="58" t="inlineStr">
        <is>
          <t>Essex</t>
        </is>
      </c>
      <c r="C1625" s="58" t="inlineStr">
        <is>
          <t>Michael Harboy</t>
        </is>
      </c>
      <c r="D1625" s="58" t="inlineStr">
        <is>
          <t>On-premise</t>
        </is>
      </c>
      <c r="E1625" s="53" t="n">
        <v>0</v>
      </c>
      <c r="F1625" s="53" t="n">
        <v>0</v>
      </c>
      <c r="G1625" s="55" t="n">
        <v>0</v>
      </c>
      <c r="H1625" s="55" t="n">
        <v>0</v>
      </c>
      <c r="I1625" s="53" t="n">
        <v>46</v>
      </c>
      <c r="J1625" s="53" t="n">
        <v>93</v>
      </c>
      <c r="K1625" s="53" t="n">
        <v>0</v>
      </c>
      <c r="L1625" s="53" t="n">
        <v>0</v>
      </c>
      <c r="M1625" s="33">
        <f>F1625-E1625</f>
        <v/>
      </c>
      <c r="N1625" s="33">
        <f>L1625-K1625</f>
        <v/>
      </c>
    </row>
    <row r="1626">
      <c r="A1626" s="58" t="inlineStr">
        <is>
          <t>150271 Cedar Hill Golf/Cc</t>
        </is>
      </c>
      <c r="B1626" s="58" t="inlineStr">
        <is>
          <t>Essex</t>
        </is>
      </c>
      <c r="C1626" s="58" t="inlineStr">
        <is>
          <t>Michael Harboy</t>
        </is>
      </c>
      <c r="D1626" s="58" t="inlineStr">
        <is>
          <t>Off-premise</t>
        </is>
      </c>
      <c r="E1626" s="53" t="n">
        <v>0</v>
      </c>
      <c r="F1626" s="53" t="n">
        <v>0</v>
      </c>
      <c r="G1626" s="55" t="n">
        <v>0</v>
      </c>
      <c r="H1626" s="55" t="n">
        <v>0</v>
      </c>
      <c r="I1626" s="53" t="n">
        <v>0</v>
      </c>
      <c r="J1626" s="53" t="n">
        <v>6</v>
      </c>
      <c r="K1626" s="53" t="n">
        <v>0</v>
      </c>
      <c r="L1626" s="53" t="n">
        <v>0</v>
      </c>
      <c r="M1626" s="33">
        <f>F1626-E1626</f>
        <v/>
      </c>
      <c r="N1626" s="33">
        <f>L1626-K1626</f>
        <v/>
      </c>
    </row>
    <row r="1627">
      <c r="A1627" s="58" t="inlineStr">
        <is>
          <t>150260 Glen Ridge Country Club</t>
        </is>
      </c>
      <c r="B1627" s="58" t="inlineStr">
        <is>
          <t>Essex</t>
        </is>
      </c>
      <c r="C1627" s="58" t="inlineStr">
        <is>
          <t>Michael Harboy</t>
        </is>
      </c>
      <c r="D1627" s="58" t="inlineStr">
        <is>
          <t>On-premise</t>
        </is>
      </c>
      <c r="E1627" s="53" t="n">
        <v>0</v>
      </c>
      <c r="F1627" s="53" t="n">
        <v>0</v>
      </c>
      <c r="G1627" s="55" t="n">
        <v>0</v>
      </c>
      <c r="H1627" s="55" t="n">
        <v>0</v>
      </c>
      <c r="I1627" s="53" t="n">
        <v>46</v>
      </c>
      <c r="J1627" s="53" t="n">
        <v>16</v>
      </c>
      <c r="K1627" s="53" t="n">
        <v>0</v>
      </c>
      <c r="L1627" s="53" t="n">
        <v>0</v>
      </c>
      <c r="M1627" s="33">
        <f>F1627-E1627</f>
        <v/>
      </c>
      <c r="N1627" s="33">
        <f>L1627-K1627</f>
        <v/>
      </c>
    </row>
    <row r="1628">
      <c r="A1628" s="58" t="inlineStr">
        <is>
          <t>201099 Whole Foods #10106 (Ridgewood)</t>
        </is>
      </c>
      <c r="B1628" s="58" t="inlineStr">
        <is>
          <t>Bergen</t>
        </is>
      </c>
      <c r="C1628" s="58" t="inlineStr">
        <is>
          <t>Mike Ast</t>
        </is>
      </c>
      <c r="D1628" s="58" t="inlineStr">
        <is>
          <t>Off-premise</t>
        </is>
      </c>
      <c r="E1628" s="53" t="n">
        <v>0</v>
      </c>
      <c r="F1628" s="53" t="n">
        <v>0</v>
      </c>
      <c r="G1628" s="55" t="n">
        <v>0</v>
      </c>
      <c r="H1628" s="55" t="n">
        <v>0</v>
      </c>
      <c r="I1628" s="53" t="n">
        <v>284</v>
      </c>
      <c r="J1628" s="53" t="n">
        <v>165</v>
      </c>
      <c r="K1628" s="53" t="n">
        <v>0</v>
      </c>
      <c r="L1628" s="53" t="n">
        <v>0</v>
      </c>
      <c r="M1628" s="33">
        <f>F1628-E1628</f>
        <v/>
      </c>
      <c r="N1628" s="33">
        <f>L1628-K1628</f>
        <v/>
      </c>
    </row>
    <row r="1629">
      <c r="A1629" s="58" t="inlineStr">
        <is>
          <t>17013 Joe's pub</t>
        </is>
      </c>
      <c r="B1629" s="58" t="inlineStr">
        <is>
          <t>Passaic</t>
        </is>
      </c>
      <c r="C1629" s="58" t="inlineStr">
        <is>
          <t>Mike Ast</t>
        </is>
      </c>
      <c r="D1629" s="58" t="inlineStr">
        <is>
          <t>Unmatched</t>
        </is>
      </c>
      <c r="E1629" s="53" t="n">
        <v>0</v>
      </c>
      <c r="F1629" s="53" t="n">
        <v>0</v>
      </c>
      <c r="G1629" s="55" t="n">
        <v>0</v>
      </c>
      <c r="H1629" s="55" t="n">
        <v>0</v>
      </c>
      <c r="I1629" s="53" t="n">
        <v>0</v>
      </c>
      <c r="J1629" s="53" t="n">
        <v>0</v>
      </c>
      <c r="K1629" s="53" t="n">
        <v>0</v>
      </c>
      <c r="L1629" s="53" t="n">
        <v>0</v>
      </c>
      <c r="M1629" s="33">
        <f>F1629-E1629</f>
        <v/>
      </c>
      <c r="N1629" s="33">
        <f>L1629-K1629</f>
        <v/>
      </c>
    </row>
    <row r="1630">
      <c r="A1630" s="58" t="inlineStr">
        <is>
          <t>41031 Houstons (A)Hackensack</t>
        </is>
      </c>
      <c r="B1630" s="58" t="inlineStr">
        <is>
          <t>Bergen</t>
        </is>
      </c>
      <c r="C1630" s="58" t="inlineStr">
        <is>
          <t>Nick Melissari</t>
        </is>
      </c>
      <c r="D1630" s="58" t="inlineStr">
        <is>
          <t>On-premise</t>
        </is>
      </c>
      <c r="E1630" s="53" t="n">
        <v>0</v>
      </c>
      <c r="F1630" s="53" t="n">
        <v>0</v>
      </c>
      <c r="G1630" s="55" t="n">
        <v>0</v>
      </c>
      <c r="H1630" s="55" t="n">
        <v>0</v>
      </c>
      <c r="I1630" s="53" t="n">
        <v>46</v>
      </c>
      <c r="J1630" s="53" t="n">
        <v>48</v>
      </c>
      <c r="K1630" s="53" t="n">
        <v>0</v>
      </c>
      <c r="L1630" s="53" t="n">
        <v>0</v>
      </c>
      <c r="M1630" s="33">
        <f>F1630-E1630</f>
        <v/>
      </c>
      <c r="N1630" s="33">
        <f>L1630-K1630</f>
        <v/>
      </c>
    </row>
    <row r="1631">
      <c r="A1631" s="58" t="inlineStr">
        <is>
          <t>28003 Ktb Coffee Shop &amp; Lounge</t>
        </is>
      </c>
      <c r="B1631" s="58" t="inlineStr">
        <is>
          <t>Bergen</t>
        </is>
      </c>
      <c r="C1631" s="58" t="inlineStr">
        <is>
          <t>Nick Melissari</t>
        </is>
      </c>
      <c r="D1631" s="58" t="inlineStr">
        <is>
          <t>On-premise</t>
        </is>
      </c>
      <c r="E1631" s="53" t="n">
        <v>0</v>
      </c>
      <c r="F1631" s="53" t="n">
        <v>0</v>
      </c>
      <c r="G1631" s="55" t="n">
        <v>0</v>
      </c>
      <c r="H1631" s="55" t="n">
        <v>0</v>
      </c>
      <c r="I1631" s="53" t="n">
        <v>9</v>
      </c>
      <c r="J1631" s="53" t="n">
        <v>6</v>
      </c>
      <c r="K1631" s="53" t="n">
        <v>0</v>
      </c>
      <c r="L1631" s="53" t="n">
        <v>0</v>
      </c>
      <c r="M1631" s="33">
        <f>F1631-E1631</f>
        <v/>
      </c>
      <c r="N1631" s="33">
        <f>L1631-K1631</f>
        <v/>
      </c>
    </row>
    <row r="1632">
      <c r="A1632" s="58" t="inlineStr">
        <is>
          <t>54005 The 130 Club</t>
        </is>
      </c>
      <c r="B1632" s="58" t="inlineStr">
        <is>
          <t>Bergen</t>
        </is>
      </c>
      <c r="C1632" s="58" t="inlineStr">
        <is>
          <t>Paul Mclaughlin</t>
        </is>
      </c>
      <c r="D1632" s="58" t="inlineStr">
        <is>
          <t>On-premise</t>
        </is>
      </c>
      <c r="E1632" s="53" t="n">
        <v>0</v>
      </c>
      <c r="F1632" s="53" t="n">
        <v>0</v>
      </c>
      <c r="G1632" s="55" t="n">
        <v>0</v>
      </c>
      <c r="H1632" s="55" t="n">
        <v>0</v>
      </c>
      <c r="I1632" s="53" t="n">
        <v>12</v>
      </c>
      <c r="J1632" s="53" t="n">
        <v>34</v>
      </c>
      <c r="K1632" s="53" t="n">
        <v>0</v>
      </c>
      <c r="L1632" s="53" t="n">
        <v>0</v>
      </c>
      <c r="M1632" s="33">
        <f>F1632-E1632</f>
        <v/>
      </c>
      <c r="N1632" s="33">
        <f>L1632-K1632</f>
        <v/>
      </c>
    </row>
    <row r="1633">
      <c r="A1633" s="58" t="inlineStr">
        <is>
          <t>150014 Tierney's Tavern(A)</t>
        </is>
      </c>
      <c r="B1633" s="58" t="inlineStr">
        <is>
          <t>Essex</t>
        </is>
      </c>
      <c r="C1633" s="58" t="inlineStr">
        <is>
          <t>Paul Mclaughlin</t>
        </is>
      </c>
      <c r="D1633" s="58" t="inlineStr">
        <is>
          <t>On-premise</t>
        </is>
      </c>
      <c r="E1633" s="53" t="n">
        <v>0</v>
      </c>
      <c r="F1633" s="53" t="n">
        <v>0</v>
      </c>
      <c r="G1633" s="55" t="n">
        <v>0</v>
      </c>
      <c r="H1633" s="55" t="n">
        <v>0</v>
      </c>
      <c r="I1633" s="53" t="n">
        <v>339</v>
      </c>
      <c r="J1633" s="53" t="n">
        <v>300</v>
      </c>
      <c r="K1633" s="53" t="n">
        <v>0</v>
      </c>
      <c r="L1633" s="53" t="n">
        <v>0</v>
      </c>
      <c r="M1633" s="33">
        <f>F1633-E1633</f>
        <v/>
      </c>
      <c r="N1633" s="33">
        <f>L1633-K1633</f>
        <v/>
      </c>
    </row>
    <row r="1634">
      <c r="A1634" s="58" t="inlineStr">
        <is>
          <t>52043 Balthazar Bakery (A)</t>
        </is>
      </c>
      <c r="B1634" s="58" t="inlineStr">
        <is>
          <t>Bergen</t>
        </is>
      </c>
      <c r="C1634" s="58" t="inlineStr">
        <is>
          <t>Paul Mclaughlin</t>
        </is>
      </c>
      <c r="D1634" s="58" t="inlineStr">
        <is>
          <t>Off-premise</t>
        </is>
      </c>
      <c r="E1634" s="53" t="n">
        <v>0</v>
      </c>
      <c r="F1634" s="53" t="n">
        <v>0</v>
      </c>
      <c r="G1634" s="55" t="n">
        <v>0</v>
      </c>
      <c r="H1634" s="55" t="n">
        <v>0</v>
      </c>
      <c r="I1634" s="53" t="n">
        <v>248</v>
      </c>
      <c r="J1634" s="53" t="n">
        <v>276</v>
      </c>
      <c r="K1634" s="53" t="n">
        <v>0</v>
      </c>
      <c r="L1634" s="53" t="n">
        <v>0</v>
      </c>
      <c r="M1634" s="33">
        <f>F1634-E1634</f>
        <v/>
      </c>
      <c r="N1634" s="33">
        <f>L1634-K1634</f>
        <v/>
      </c>
    </row>
    <row r="1635">
      <c r="A1635" s="58" t="inlineStr">
        <is>
          <t>208026 Stew Leonard's(A) Paramu (NA)</t>
        </is>
      </c>
      <c r="B1635" s="58" t="inlineStr">
        <is>
          <t>Bergen</t>
        </is>
      </c>
      <c r="C1635" s="58" t="inlineStr">
        <is>
          <t>Phil Ernst</t>
        </is>
      </c>
      <c r="D1635" s="58" t="inlineStr">
        <is>
          <t>Off-premise</t>
        </is>
      </c>
      <c r="E1635" s="53" t="n">
        <v>0</v>
      </c>
      <c r="F1635" s="53" t="n">
        <v>0</v>
      </c>
      <c r="G1635" s="55" t="n">
        <v>0</v>
      </c>
      <c r="H1635" s="55" t="n">
        <v>0</v>
      </c>
      <c r="I1635" s="53" t="n">
        <v>739</v>
      </c>
      <c r="J1635" s="53" t="n">
        <v>550</v>
      </c>
      <c r="K1635" s="53" t="n">
        <v>0</v>
      </c>
      <c r="L1635" s="53" t="n">
        <v>0</v>
      </c>
      <c r="M1635" s="33">
        <f>F1635-E1635</f>
        <v/>
      </c>
      <c r="N1635" s="33">
        <f>L1635-K1635</f>
        <v/>
      </c>
    </row>
    <row r="1636">
      <c r="A1636" s="58" t="inlineStr">
        <is>
          <t>25075 Stew Leonard's Wines &amp; Spirits of Clifton (NA)</t>
        </is>
      </c>
      <c r="B1636" s="58" t="inlineStr">
        <is>
          <t>Passaic</t>
        </is>
      </c>
      <c r="C1636" s="58" t="inlineStr">
        <is>
          <t>Phil Ernst</t>
        </is>
      </c>
      <c r="D1636" s="58" t="inlineStr">
        <is>
          <t>Off-premise</t>
        </is>
      </c>
      <c r="E1636" s="53" t="n">
        <v>0</v>
      </c>
      <c r="F1636" s="53" t="n">
        <v>0</v>
      </c>
      <c r="G1636" s="55" t="n">
        <v>0</v>
      </c>
      <c r="H1636" s="55" t="n">
        <v>0</v>
      </c>
      <c r="I1636" s="53" t="n">
        <v>0</v>
      </c>
      <c r="J1636" s="53" t="n">
        <v>77</v>
      </c>
      <c r="K1636" s="53" t="n">
        <v>0</v>
      </c>
      <c r="L1636" s="53" t="n">
        <v>0</v>
      </c>
      <c r="M1636" s="33">
        <f>F1636-E1636</f>
        <v/>
      </c>
      <c r="N1636" s="33">
        <f>L1636-K1636</f>
        <v/>
      </c>
    </row>
    <row r="1637">
      <c r="A1637" s="58" t="inlineStr">
        <is>
          <t>190714 Green Pond Yacht Club (Z)</t>
        </is>
      </c>
      <c r="B1637" s="58" t="inlineStr">
        <is>
          <t>Morris</t>
        </is>
      </c>
      <c r="C1637" s="58" t="inlineStr">
        <is>
          <t>Robin Feldman</t>
        </is>
      </c>
      <c r="D1637" s="58" t="inlineStr">
        <is>
          <t>On-premise</t>
        </is>
      </c>
      <c r="E1637" s="53" t="n">
        <v>0</v>
      </c>
      <c r="F1637" s="53" t="n">
        <v>0</v>
      </c>
      <c r="G1637" s="55" t="n">
        <v>0</v>
      </c>
      <c r="H1637" s="55" t="n">
        <v>0</v>
      </c>
      <c r="I1637" s="53" t="n">
        <v>53</v>
      </c>
      <c r="J1637" s="53" t="n">
        <v>68</v>
      </c>
      <c r="K1637" s="53" t="n">
        <v>0</v>
      </c>
      <c r="L1637" s="53" t="n">
        <v>0</v>
      </c>
      <c r="M1637" s="33">
        <f>F1637-E1637</f>
        <v/>
      </c>
      <c r="N1637" s="33">
        <f>L1637-K1637</f>
        <v/>
      </c>
    </row>
    <row r="1638">
      <c r="A1638" s="58" t="inlineStr">
        <is>
          <t>12042 Exotic Indian Cuisine</t>
        </is>
      </c>
      <c r="B1638" s="58" t="inlineStr">
        <is>
          <t>Passaic</t>
        </is>
      </c>
      <c r="C1638" s="58" t="inlineStr">
        <is>
          <t>Robin Feldman</t>
        </is>
      </c>
      <c r="D1638" s="58" t="inlineStr">
        <is>
          <t>On-premise</t>
        </is>
      </c>
      <c r="E1638" s="53" t="n">
        <v>0</v>
      </c>
      <c r="F1638" s="53" t="n">
        <v>0</v>
      </c>
      <c r="G1638" s="55" t="n">
        <v>0</v>
      </c>
      <c r="H1638" s="55" t="n">
        <v>0</v>
      </c>
      <c r="I1638" s="53" t="n">
        <v>0</v>
      </c>
      <c r="J1638" s="53" t="n">
        <v>10</v>
      </c>
      <c r="K1638" s="53" t="n">
        <v>0</v>
      </c>
      <c r="L1638" s="53" t="n">
        <v>0</v>
      </c>
      <c r="M1638" s="33">
        <f>F1638-E1638</f>
        <v/>
      </c>
      <c r="N1638" s="33">
        <f>L1638-K1638</f>
        <v/>
      </c>
    </row>
    <row r="1639">
      <c r="A1639" s="58" t="inlineStr">
        <is>
          <t>40007 Elks Post 153 (Z)</t>
        </is>
      </c>
      <c r="B1639" s="58" t="inlineStr">
        <is>
          <t>Bergen</t>
        </is>
      </c>
      <c r="C1639" s="58" t="inlineStr">
        <is>
          <t>Robin Feldman</t>
        </is>
      </c>
      <c r="D1639" s="58" t="inlineStr">
        <is>
          <t>On-premise</t>
        </is>
      </c>
      <c r="E1639" s="53" t="n">
        <v>0</v>
      </c>
      <c r="F1639" s="53" t="n">
        <v>0</v>
      </c>
      <c r="G1639" s="55" t="n">
        <v>0</v>
      </c>
      <c r="H1639" s="55" t="n">
        <v>0</v>
      </c>
      <c r="I1639" s="53" t="n">
        <v>0</v>
      </c>
      <c r="J1639" s="53" t="n">
        <v>0</v>
      </c>
      <c r="K1639" s="53" t="n">
        <v>0</v>
      </c>
      <c r="L1639" s="53" t="n">
        <v>0</v>
      </c>
      <c r="M1639" s="33">
        <f>F1639-E1639</f>
        <v/>
      </c>
      <c r="N1639" s="33">
        <f>L1639-K1639</f>
        <v/>
      </c>
    </row>
    <row r="1640">
      <c r="A1640" s="58" t="inlineStr">
        <is>
          <t>201097 Whole Foods #10381 (Closter)</t>
        </is>
      </c>
      <c r="B1640" s="58" t="inlineStr">
        <is>
          <t>Bergen</t>
        </is>
      </c>
      <c r="C1640" s="58" t="inlineStr">
        <is>
          <t>Shane Barreca</t>
        </is>
      </c>
      <c r="D1640" s="58" t="inlineStr">
        <is>
          <t>Off-premise</t>
        </is>
      </c>
      <c r="E1640" s="53" t="n">
        <v>0</v>
      </c>
      <c r="F1640" s="53" t="n">
        <v>0</v>
      </c>
      <c r="G1640" s="55" t="n">
        <v>0</v>
      </c>
      <c r="H1640" s="55" t="n">
        <v>0</v>
      </c>
      <c r="I1640" s="53" t="n">
        <v>233</v>
      </c>
      <c r="J1640" s="53" t="n">
        <v>165</v>
      </c>
      <c r="K1640" s="53" t="n">
        <v>0</v>
      </c>
      <c r="L1640" s="53" t="n">
        <v>0</v>
      </c>
      <c r="M1640" s="33">
        <f>F1640-E1640</f>
        <v/>
      </c>
      <c r="N1640" s="33">
        <f>L1640-K1640</f>
        <v/>
      </c>
    </row>
    <row r="1641">
      <c r="A1641" s="58" t="inlineStr">
        <is>
          <t>201098 Whole Foods #8407 (Woodcliff Lake)</t>
        </is>
      </c>
      <c r="B1641" s="58" t="inlineStr">
        <is>
          <t>Bergen</t>
        </is>
      </c>
      <c r="C1641" s="58" t="inlineStr">
        <is>
          <t>Shane Barreca</t>
        </is>
      </c>
      <c r="D1641" s="58" t="inlineStr">
        <is>
          <t>Off-premise</t>
        </is>
      </c>
      <c r="E1641" s="53" t="n">
        <v>0</v>
      </c>
      <c r="F1641" s="53" t="n">
        <v>0</v>
      </c>
      <c r="G1641" s="55" t="n">
        <v>0</v>
      </c>
      <c r="H1641" s="55" t="n">
        <v>0</v>
      </c>
      <c r="I1641" s="53" t="n">
        <v>80</v>
      </c>
      <c r="J1641" s="53" t="n">
        <v>199</v>
      </c>
      <c r="K1641" s="53" t="n">
        <v>0</v>
      </c>
      <c r="L1641" s="53" t="n">
        <v>0</v>
      </c>
      <c r="M1641" s="33">
        <f>F1641-E1641</f>
        <v/>
      </c>
      <c r="N1641" s="33">
        <f>L1641-K1641</f>
        <v/>
      </c>
    </row>
    <row r="1642">
      <c r="A1642" s="58" t="inlineStr">
        <is>
          <t>250082 Pickwick Liquor Shop</t>
        </is>
      </c>
      <c r="B1642" s="58" t="inlineStr">
        <is>
          <t>Union</t>
        </is>
      </c>
      <c r="C1642" s="58" t="inlineStr">
        <is>
          <t>Alex Rodriguez</t>
        </is>
      </c>
      <c r="D1642" s="58" t="inlineStr">
        <is>
          <t>Off-premise</t>
        </is>
      </c>
      <c r="E1642" s="53" t="n">
        <v>20</v>
      </c>
      <c r="F1642" s="53" t="n">
        <v>19</v>
      </c>
      <c r="G1642" s="55" t="n">
        <v>143.17</v>
      </c>
      <c r="H1642" s="55" t="n">
        <v>135.32</v>
      </c>
      <c r="I1642" s="53" t="n">
        <v>167</v>
      </c>
      <c r="J1642" s="53" t="n">
        <v>264</v>
      </c>
      <c r="K1642" s="53" t="n">
        <v>20</v>
      </c>
      <c r="L1642" s="53" t="n">
        <v>19</v>
      </c>
      <c r="M1642" s="33">
        <f>F1642-E1642</f>
        <v/>
      </c>
      <c r="N1642" s="33">
        <f>L1642-K1642</f>
        <v/>
      </c>
    </row>
    <row r="1643">
      <c r="A1643" s="58" t="inlineStr">
        <is>
          <t>170053 Bbb Liquors(Costco)</t>
        </is>
      </c>
      <c r="B1643" s="58" t="inlineStr">
        <is>
          <t>Hudson</t>
        </is>
      </c>
      <c r="C1643" s="58" t="inlineStr">
        <is>
          <t>Alisa Acciardi</t>
        </is>
      </c>
      <c r="D1643" s="58" t="inlineStr">
        <is>
          <t>Off-premise</t>
        </is>
      </c>
      <c r="E1643" s="53" t="n">
        <v>225</v>
      </c>
      <c r="F1643" s="53" t="n">
        <v>224</v>
      </c>
      <c r="G1643" s="55" t="n">
        <v>1107</v>
      </c>
      <c r="H1643" s="55" t="n">
        <v>1102.08</v>
      </c>
      <c r="I1643" s="53" t="n">
        <v>957</v>
      </c>
      <c r="J1643" s="53" t="n">
        <v>741</v>
      </c>
      <c r="K1643" s="53" t="n">
        <v>225</v>
      </c>
      <c r="L1643" s="53" t="n">
        <v>224</v>
      </c>
      <c r="M1643" s="33">
        <f>F1643-E1643</f>
        <v/>
      </c>
      <c r="N1643" s="33">
        <f>L1643-K1643</f>
        <v/>
      </c>
    </row>
    <row r="1644">
      <c r="A1644" s="58" t="inlineStr">
        <is>
          <t>170101 High Spirits Of Bayonne</t>
        </is>
      </c>
      <c r="B1644" s="58" t="inlineStr">
        <is>
          <t>Hudson</t>
        </is>
      </c>
      <c r="C1644" s="58" t="inlineStr">
        <is>
          <t>Alisa Acciardi</t>
        </is>
      </c>
      <c r="D1644" s="58" t="inlineStr">
        <is>
          <t>Off-premise</t>
        </is>
      </c>
      <c r="E1644" s="53" t="n">
        <v>48</v>
      </c>
      <c r="F1644" s="53" t="n">
        <v>47</v>
      </c>
      <c r="G1644" s="55" t="n">
        <v>354</v>
      </c>
      <c r="H1644" s="55" t="n">
        <v>328.12</v>
      </c>
      <c r="I1644" s="53" t="n">
        <v>645</v>
      </c>
      <c r="J1644" s="53" t="n">
        <v>640</v>
      </c>
      <c r="K1644" s="53" t="n">
        <v>48</v>
      </c>
      <c r="L1644" s="53" t="n">
        <v>47</v>
      </c>
      <c r="M1644" s="33">
        <f>F1644-E1644</f>
        <v/>
      </c>
      <c r="N1644" s="33">
        <f>L1644-K1644</f>
        <v/>
      </c>
    </row>
    <row r="1645">
      <c r="A1645" s="58" t="inlineStr">
        <is>
          <t>15036 River Terrace Inn(P)</t>
        </is>
      </c>
      <c r="B1645" s="58" t="inlineStr">
        <is>
          <t>Passaic</t>
        </is>
      </c>
      <c r="C1645" s="58" t="inlineStr">
        <is>
          <t>Allison Scott</t>
        </is>
      </c>
      <c r="D1645" s="58" t="inlineStr">
        <is>
          <t>On-premise</t>
        </is>
      </c>
      <c r="E1645" s="53" t="n">
        <v>281</v>
      </c>
      <c r="F1645" s="53" t="n">
        <v>196</v>
      </c>
      <c r="G1645" s="55" t="n">
        <v>1839.24</v>
      </c>
      <c r="H1645" s="55" t="n">
        <v>1195.4</v>
      </c>
      <c r="I1645" s="53" t="n">
        <v>68</v>
      </c>
      <c r="J1645" s="53" t="n">
        <v>63</v>
      </c>
      <c r="K1645" s="53" t="n">
        <v>20</v>
      </c>
      <c r="L1645" s="53" t="n">
        <v>19</v>
      </c>
      <c r="M1645" s="33">
        <f>F1645-E1645</f>
        <v/>
      </c>
      <c r="N1645" s="33">
        <f>L1645-K1645</f>
        <v/>
      </c>
    </row>
    <row r="1646">
      <c r="A1646" s="58" t="inlineStr">
        <is>
          <t>13016 THE TIES</t>
        </is>
      </c>
      <c r="B1646" s="58" t="inlineStr">
        <is>
          <t>Passaic</t>
        </is>
      </c>
      <c r="C1646" s="58" t="inlineStr">
        <is>
          <t>Allison Scott</t>
        </is>
      </c>
      <c r="D1646" s="58" t="inlineStr">
        <is>
          <t>Unmatched</t>
        </is>
      </c>
      <c r="E1646" s="53" t="n">
        <v>198</v>
      </c>
      <c r="F1646" s="53" t="n">
        <v>144</v>
      </c>
      <c r="G1646" s="55" t="n">
        <v>1625.19</v>
      </c>
      <c r="H1646" s="55" t="n">
        <v>1076.92</v>
      </c>
      <c r="I1646" s="53" t="n">
        <v>39</v>
      </c>
      <c r="J1646" s="53" t="n">
        <v>30</v>
      </c>
      <c r="K1646" s="53" t="n">
        <v>4</v>
      </c>
      <c r="L1646" s="53" t="n">
        <v>3</v>
      </c>
      <c r="M1646" s="33">
        <f>F1646-E1646</f>
        <v/>
      </c>
      <c r="N1646" s="33">
        <f>L1646-K1646</f>
        <v/>
      </c>
    </row>
    <row r="1647">
      <c r="A1647" s="58" t="inlineStr">
        <is>
          <t>12010 Fogo de Chao (Wayne)</t>
        </is>
      </c>
      <c r="B1647" s="58" t="inlineStr">
        <is>
          <t>Passaic</t>
        </is>
      </c>
      <c r="C1647" s="58" t="inlineStr">
        <is>
          <t>Allison Scott</t>
        </is>
      </c>
      <c r="D1647" s="58" t="inlineStr">
        <is>
          <t>Unmatched</t>
        </is>
      </c>
      <c r="E1647" s="53" t="n">
        <v>17</v>
      </c>
      <c r="F1647" s="53" t="n">
        <v>14</v>
      </c>
      <c r="G1647" s="55" t="n">
        <v>183.57</v>
      </c>
      <c r="H1647" s="55" t="n">
        <v>155.94</v>
      </c>
      <c r="I1647" s="53" t="n">
        <v>4</v>
      </c>
      <c r="J1647" s="53" t="n">
        <v>18</v>
      </c>
      <c r="K1647" s="53" t="n">
        <v>2</v>
      </c>
      <c r="L1647" s="53" t="n">
        <v>1</v>
      </c>
      <c r="M1647" s="33">
        <f>F1647-E1647</f>
        <v/>
      </c>
      <c r="N1647" s="33">
        <f>L1647-K1647</f>
        <v/>
      </c>
    </row>
    <row r="1648">
      <c r="A1648" s="58" t="inlineStr">
        <is>
          <t>14005 The Grand</t>
        </is>
      </c>
      <c r="B1648" s="58" t="inlineStr">
        <is>
          <t>Passaic</t>
        </is>
      </c>
      <c r="C1648" s="58" t="inlineStr">
        <is>
          <t>Allison Scott</t>
        </is>
      </c>
      <c r="D1648" s="58" t="inlineStr">
        <is>
          <t>On-premise</t>
        </is>
      </c>
      <c r="E1648" s="53" t="n">
        <v>201</v>
      </c>
      <c r="F1648" s="53" t="n">
        <v>241</v>
      </c>
      <c r="G1648" s="55" t="n">
        <v>1754.8</v>
      </c>
      <c r="H1648" s="55" t="n">
        <v>1824.93</v>
      </c>
      <c r="I1648" s="53" t="n">
        <v>0</v>
      </c>
      <c r="J1648" s="53" t="n">
        <v>1</v>
      </c>
      <c r="K1648" s="53" t="n">
        <v>5</v>
      </c>
      <c r="L1648" s="53" t="n">
        <v>4</v>
      </c>
      <c r="M1648" s="33">
        <f>F1648-E1648</f>
        <v/>
      </c>
      <c r="N1648" s="33">
        <f>L1648-K1648</f>
        <v/>
      </c>
    </row>
    <row r="1649">
      <c r="A1649" s="58" t="inlineStr">
        <is>
          <t>24006 The Grand Saloon</t>
        </is>
      </c>
      <c r="B1649" s="58" t="inlineStr">
        <is>
          <t>Passaic</t>
        </is>
      </c>
      <c r="C1649" s="58" t="inlineStr">
        <is>
          <t>Allison Scott</t>
        </is>
      </c>
      <c r="D1649" s="58" t="inlineStr">
        <is>
          <t>On-premise</t>
        </is>
      </c>
      <c r="E1649" s="53" t="n">
        <v>98</v>
      </c>
      <c r="F1649" s="53" t="n">
        <v>107</v>
      </c>
      <c r="G1649" s="55" t="n">
        <v>721.9599999999999</v>
      </c>
      <c r="H1649" s="55" t="n">
        <v>813.5500000000001</v>
      </c>
      <c r="I1649" s="53" t="n">
        <v>26</v>
      </c>
      <c r="J1649" s="53" t="n">
        <v>28</v>
      </c>
      <c r="K1649" s="53" t="n">
        <v>5</v>
      </c>
      <c r="L1649" s="53" t="n">
        <v>4</v>
      </c>
      <c r="M1649" s="33">
        <f>F1649-E1649</f>
        <v/>
      </c>
      <c r="N1649" s="33">
        <f>L1649-K1649</f>
        <v/>
      </c>
    </row>
    <row r="1650">
      <c r="A1650" s="58" t="inlineStr">
        <is>
          <t>25027 Sportzone B&amp;G (P)</t>
        </is>
      </c>
      <c r="B1650" s="58" t="inlineStr">
        <is>
          <t>Passaic</t>
        </is>
      </c>
      <c r="C1650" s="58" t="inlineStr">
        <is>
          <t>Allison Scott</t>
        </is>
      </c>
      <c r="D1650" s="58" t="inlineStr">
        <is>
          <t>On-premise</t>
        </is>
      </c>
      <c r="E1650" s="53" t="n">
        <v>110</v>
      </c>
      <c r="F1650" s="53" t="n">
        <v>121</v>
      </c>
      <c r="G1650" s="55" t="n">
        <v>1079.58</v>
      </c>
      <c r="H1650" s="55" t="n">
        <v>1251.14</v>
      </c>
      <c r="I1650" s="53" t="n">
        <v>4</v>
      </c>
      <c r="J1650" s="53" t="n">
        <v>8</v>
      </c>
      <c r="K1650" s="53" t="n">
        <v>1</v>
      </c>
      <c r="L1650" s="53" t="n">
        <v>0</v>
      </c>
      <c r="M1650" s="33">
        <f>F1650-E1650</f>
        <v/>
      </c>
      <c r="N1650" s="33">
        <f>L1650-K1650</f>
        <v/>
      </c>
    </row>
    <row r="1651">
      <c r="A1651" s="58" t="inlineStr">
        <is>
          <t>250038 Home Wine &amp; Liquors (1850 Union)</t>
        </is>
      </c>
      <c r="B1651" s="58" t="inlineStr">
        <is>
          <t>Union</t>
        </is>
      </c>
      <c r="C1651" s="58" t="inlineStr">
        <is>
          <t>Andrew Lundy</t>
        </is>
      </c>
      <c r="D1651" s="58" t="inlineStr">
        <is>
          <t>Off-premise</t>
        </is>
      </c>
      <c r="E1651" s="53" t="n">
        <v>10</v>
      </c>
      <c r="F1651" s="53" t="n">
        <v>9</v>
      </c>
      <c r="G1651" s="55" t="n">
        <v>71.56999999999999</v>
      </c>
      <c r="H1651" s="55" t="n">
        <v>71.54000000000001</v>
      </c>
      <c r="I1651" s="53" t="n">
        <v>122</v>
      </c>
      <c r="J1651" s="53" t="n">
        <v>117</v>
      </c>
      <c r="K1651" s="53" t="n">
        <v>10</v>
      </c>
      <c r="L1651" s="53" t="n">
        <v>9</v>
      </c>
      <c r="M1651" s="33">
        <f>F1651-E1651</f>
        <v/>
      </c>
      <c r="N1651" s="33">
        <f>L1651-K1651</f>
        <v/>
      </c>
    </row>
    <row r="1652">
      <c r="A1652" s="58" t="inlineStr">
        <is>
          <t>250064 America Liquors</t>
        </is>
      </c>
      <c r="B1652" s="58" t="inlineStr">
        <is>
          <t>Union</t>
        </is>
      </c>
      <c r="C1652" s="58" t="inlineStr">
        <is>
          <t>Andrew Lundy</t>
        </is>
      </c>
      <c r="D1652" s="58" t="inlineStr">
        <is>
          <t>Off-premise</t>
        </is>
      </c>
      <c r="E1652" s="53" t="n">
        <v>35</v>
      </c>
      <c r="F1652" s="53" t="n">
        <v>34</v>
      </c>
      <c r="G1652" s="55" t="n">
        <v>224.76</v>
      </c>
      <c r="H1652" s="55" t="n">
        <v>207.03</v>
      </c>
      <c r="I1652" s="53" t="n">
        <v>178</v>
      </c>
      <c r="J1652" s="53" t="n">
        <v>158</v>
      </c>
      <c r="K1652" s="53" t="n">
        <v>35</v>
      </c>
      <c r="L1652" s="53" t="n">
        <v>34</v>
      </c>
      <c r="M1652" s="33">
        <f>F1652-E1652</f>
        <v/>
      </c>
      <c r="N1652" s="33">
        <f>L1652-K1652</f>
        <v/>
      </c>
    </row>
    <row r="1653">
      <c r="A1653" s="58" t="inlineStr">
        <is>
          <t>250169 The Westfield Liquor Loft</t>
        </is>
      </c>
      <c r="B1653" s="58" t="inlineStr">
        <is>
          <t>Union</t>
        </is>
      </c>
      <c r="C1653" s="58" t="inlineStr">
        <is>
          <t>Andrew Lundy</t>
        </is>
      </c>
      <c r="D1653" s="58" t="inlineStr">
        <is>
          <t>Off-premise</t>
        </is>
      </c>
      <c r="E1653" s="53" t="n">
        <v>9</v>
      </c>
      <c r="F1653" s="53" t="n">
        <v>8</v>
      </c>
      <c r="G1653" s="55" t="n">
        <v>92.91</v>
      </c>
      <c r="H1653" s="55" t="n">
        <v>72.51000000000001</v>
      </c>
      <c r="I1653" s="53" t="n">
        <v>53</v>
      </c>
      <c r="J1653" s="53" t="n">
        <v>29</v>
      </c>
      <c r="K1653" s="53" t="n">
        <v>9</v>
      </c>
      <c r="L1653" s="53" t="n">
        <v>8</v>
      </c>
      <c r="M1653" s="33">
        <f>F1653-E1653</f>
        <v/>
      </c>
      <c r="N1653" s="33">
        <f>L1653-K1653</f>
        <v/>
      </c>
    </row>
    <row r="1654">
      <c r="A1654" s="58" t="inlineStr">
        <is>
          <t>230921 ACQUAVIVA RESTAURANT</t>
        </is>
      </c>
      <c r="B1654" s="58" t="inlineStr">
        <is>
          <t>Sussex</t>
        </is>
      </c>
      <c r="C1654" s="58" t="inlineStr">
        <is>
          <t>Anthony Palmisano</t>
        </is>
      </c>
      <c r="D1654" s="58" t="inlineStr">
        <is>
          <t>Unmatched</t>
        </is>
      </c>
      <c r="E1654" s="53" t="n">
        <v>19</v>
      </c>
      <c r="F1654" s="53" t="n">
        <v>10</v>
      </c>
      <c r="G1654" s="55" t="n">
        <v>180.22</v>
      </c>
      <c r="H1654" s="55" t="n">
        <v>88.33</v>
      </c>
      <c r="I1654" s="53" t="n">
        <v>7</v>
      </c>
      <c r="J1654" s="53" t="n">
        <v>2</v>
      </c>
      <c r="K1654" s="53" t="n">
        <v>2</v>
      </c>
      <c r="L1654" s="53" t="n">
        <v>1</v>
      </c>
      <c r="M1654" s="33">
        <f>F1654-E1654</f>
        <v/>
      </c>
      <c r="N1654" s="33">
        <f>L1654-K1654</f>
        <v/>
      </c>
    </row>
    <row r="1655">
      <c r="A1655" s="58" t="inlineStr">
        <is>
          <t>191208 The Grill Room</t>
        </is>
      </c>
      <c r="B1655" s="58" t="inlineStr">
        <is>
          <t>Morris</t>
        </is>
      </c>
      <c r="C1655" s="58" t="inlineStr">
        <is>
          <t>Anthony Palmisano</t>
        </is>
      </c>
      <c r="D1655" s="58" t="inlineStr">
        <is>
          <t>On-premise</t>
        </is>
      </c>
      <c r="E1655" s="53" t="n">
        <v>217</v>
      </c>
      <c r="F1655" s="53" t="n">
        <v>182</v>
      </c>
      <c r="G1655" s="55" t="n">
        <v>520.2</v>
      </c>
      <c r="H1655" s="55" t="n">
        <v>440.89</v>
      </c>
      <c r="I1655" s="53" t="n">
        <v>69</v>
      </c>
      <c r="J1655" s="53" t="n">
        <v>26</v>
      </c>
      <c r="K1655" s="53" t="n">
        <v>1</v>
      </c>
      <c r="L1655" s="53" t="n">
        <v>0</v>
      </c>
      <c r="M1655" s="33">
        <f>F1655-E1655</f>
        <v/>
      </c>
      <c r="N1655" s="33">
        <f>L1655-K1655</f>
        <v/>
      </c>
    </row>
    <row r="1656">
      <c r="A1656" s="58" t="inlineStr">
        <is>
          <t>190601 Thatcher Mcghee's (A)</t>
        </is>
      </c>
      <c r="B1656" s="58" t="inlineStr">
        <is>
          <t>Morris</t>
        </is>
      </c>
      <c r="C1656" s="58" t="inlineStr">
        <is>
          <t>Brian Sengebush</t>
        </is>
      </c>
      <c r="D1656" s="58" t="inlineStr">
        <is>
          <t>On-premise</t>
        </is>
      </c>
      <c r="E1656" s="53" t="n">
        <v>600</v>
      </c>
      <c r="F1656" s="53" t="n">
        <v>628</v>
      </c>
      <c r="G1656" s="55" t="n">
        <v>3381.88</v>
      </c>
      <c r="H1656" s="55" t="n">
        <v>3547.91</v>
      </c>
      <c r="I1656" s="53" t="n">
        <v>359</v>
      </c>
      <c r="J1656" s="53" t="n">
        <v>376</v>
      </c>
      <c r="K1656" s="53" t="n">
        <v>90</v>
      </c>
      <c r="L1656" s="53" t="n">
        <v>89</v>
      </c>
      <c r="M1656" s="33">
        <f>F1656-E1656</f>
        <v/>
      </c>
      <c r="N1656" s="33">
        <f>L1656-K1656</f>
        <v/>
      </c>
    </row>
    <row r="1657">
      <c r="A1657" s="58" t="inlineStr">
        <is>
          <t>190925 Olive Garden Rockaway</t>
        </is>
      </c>
      <c r="B1657" s="58" t="inlineStr">
        <is>
          <t>Morris</t>
        </is>
      </c>
      <c r="C1657" s="58" t="inlineStr">
        <is>
          <t>Brian Sengebush</t>
        </is>
      </c>
      <c r="D1657" s="58" t="inlineStr">
        <is>
          <t>On-premise</t>
        </is>
      </c>
      <c r="E1657" s="53" t="n">
        <v>11</v>
      </c>
      <c r="F1657" s="53" t="n">
        <v>59</v>
      </c>
      <c r="G1657" s="55" t="n">
        <v>60.67999999999999</v>
      </c>
      <c r="H1657" s="55" t="n">
        <v>669.27</v>
      </c>
      <c r="I1657" s="53" t="n">
        <v>7</v>
      </c>
      <c r="J1657" s="53" t="n">
        <v>10</v>
      </c>
      <c r="K1657" s="53" t="n">
        <v>4</v>
      </c>
      <c r="L1657" s="53" t="n">
        <v>3</v>
      </c>
      <c r="M1657" s="33">
        <f>F1657-E1657</f>
        <v/>
      </c>
      <c r="N1657" s="33">
        <f>L1657-K1657</f>
        <v/>
      </c>
    </row>
    <row r="1658">
      <c r="A1658" s="58" t="inlineStr">
        <is>
          <t>230402 Bella Italio Rest.(P)</t>
        </is>
      </c>
      <c r="B1658" s="58" t="inlineStr">
        <is>
          <t>Sussex</t>
        </is>
      </c>
      <c r="C1658" s="58" t="inlineStr">
        <is>
          <t>Brian Sengebush</t>
        </is>
      </c>
      <c r="D1658" s="58" t="inlineStr">
        <is>
          <t>On-premise</t>
        </is>
      </c>
      <c r="E1658" s="53" t="n">
        <v>57</v>
      </c>
      <c r="F1658" s="53" t="n">
        <v>68</v>
      </c>
      <c r="G1658" s="55" t="n">
        <v>485.7900000000001</v>
      </c>
      <c r="H1658" s="55" t="n">
        <v>559.9</v>
      </c>
      <c r="I1658" s="53" t="n">
        <v>3</v>
      </c>
      <c r="J1658" s="53" t="n">
        <v>9</v>
      </c>
      <c r="K1658" s="53" t="n">
        <v>2</v>
      </c>
      <c r="L1658" s="53" t="n">
        <v>1</v>
      </c>
      <c r="M1658" s="33">
        <f>F1658-E1658</f>
        <v/>
      </c>
      <c r="N1658" s="33">
        <f>L1658-K1658</f>
        <v/>
      </c>
    </row>
    <row r="1659">
      <c r="A1659" s="58" t="inlineStr">
        <is>
          <t>190914 Colossal Restaurant</t>
        </is>
      </c>
      <c r="B1659" s="58" t="inlineStr">
        <is>
          <t>Morris</t>
        </is>
      </c>
      <c r="C1659" s="58" t="inlineStr">
        <is>
          <t>Brian Sengebush</t>
        </is>
      </c>
      <c r="D1659" s="58" t="inlineStr">
        <is>
          <t>On-premise</t>
        </is>
      </c>
      <c r="E1659" s="53" t="n">
        <v>40</v>
      </c>
      <c r="F1659" s="53" t="n">
        <v>21</v>
      </c>
      <c r="G1659" s="55" t="n">
        <v>339.77</v>
      </c>
      <c r="H1659" s="55" t="n">
        <v>202.76</v>
      </c>
      <c r="I1659" s="53" t="n">
        <v>14</v>
      </c>
      <c r="J1659" s="53" t="n">
        <v>12</v>
      </c>
      <c r="K1659" s="53" t="n">
        <v>4</v>
      </c>
      <c r="L1659" s="53" t="n">
        <v>3</v>
      </c>
      <c r="M1659" s="33">
        <f>F1659-E1659</f>
        <v/>
      </c>
      <c r="N1659" s="33">
        <f>L1659-K1659</f>
        <v/>
      </c>
    </row>
    <row r="1660">
      <c r="A1660" s="58" t="inlineStr">
        <is>
          <t>191006 Gatwyns II (P)</t>
        </is>
      </c>
      <c r="B1660" s="58" t="inlineStr">
        <is>
          <t>Morris</t>
        </is>
      </c>
      <c r="C1660" s="58" t="inlineStr">
        <is>
          <t>Brian Sengebush</t>
        </is>
      </c>
      <c r="D1660" s="58" t="inlineStr">
        <is>
          <t>On-premise</t>
        </is>
      </c>
      <c r="E1660" s="53" t="n">
        <v>107</v>
      </c>
      <c r="F1660" s="53" t="n">
        <v>79</v>
      </c>
      <c r="G1660" s="55" t="n">
        <v>927.37</v>
      </c>
      <c r="H1660" s="55" t="n">
        <v>661.52</v>
      </c>
      <c r="I1660" s="53" t="n">
        <v>13</v>
      </c>
      <c r="J1660" s="53" t="n">
        <v>9</v>
      </c>
      <c r="K1660" s="53" t="n">
        <v>4</v>
      </c>
      <c r="L1660" s="53" t="n">
        <v>3</v>
      </c>
      <c r="M1660" s="33">
        <f>F1660-E1660</f>
        <v/>
      </c>
      <c r="N1660" s="33">
        <f>L1660-K1660</f>
        <v/>
      </c>
    </row>
    <row r="1661">
      <c r="A1661" s="58" t="inlineStr">
        <is>
          <t>191715 Shakey Jake's (P)</t>
        </is>
      </c>
      <c r="B1661" s="58" t="inlineStr">
        <is>
          <t>Sussex</t>
        </is>
      </c>
      <c r="C1661" s="58" t="inlineStr">
        <is>
          <t>Brian Sengebush</t>
        </is>
      </c>
      <c r="D1661" s="58" t="inlineStr">
        <is>
          <t>On-premise</t>
        </is>
      </c>
      <c r="E1661" s="53" t="n">
        <v>252</v>
      </c>
      <c r="F1661" s="53" t="n">
        <v>189</v>
      </c>
      <c r="G1661" s="55" t="n">
        <v>1490.01</v>
      </c>
      <c r="H1661" s="55" t="n">
        <v>1265.32</v>
      </c>
      <c r="I1661" s="53" t="n">
        <v>30</v>
      </c>
      <c r="J1661" s="53" t="n">
        <v>27</v>
      </c>
      <c r="K1661" s="53" t="n">
        <v>1</v>
      </c>
      <c r="L1661" s="53" t="n">
        <v>0</v>
      </c>
      <c r="M1661" s="33">
        <f>F1661-E1661</f>
        <v/>
      </c>
      <c r="N1661" s="33">
        <f>L1661-K1661</f>
        <v/>
      </c>
    </row>
    <row r="1662">
      <c r="A1662" s="58" t="inlineStr">
        <is>
          <t>47019 Hilton Garden Inn Ridgefield Park</t>
        </is>
      </c>
      <c r="B1662" s="58" t="inlineStr">
        <is>
          <t>Bergen</t>
        </is>
      </c>
      <c r="C1662" s="58" t="inlineStr">
        <is>
          <t>Chris Payton</t>
        </is>
      </c>
      <c r="D1662" s="58" t="inlineStr">
        <is>
          <t>On-premise</t>
        </is>
      </c>
      <c r="E1662" s="53" t="n">
        <v>33</v>
      </c>
      <c r="F1662" s="53" t="n">
        <v>44</v>
      </c>
      <c r="G1662" s="55" t="n">
        <v>350.75</v>
      </c>
      <c r="H1662" s="55" t="n">
        <v>467.1899999999999</v>
      </c>
      <c r="I1662" s="53" t="n">
        <v>12</v>
      </c>
      <c r="J1662" s="53" t="n">
        <v>19</v>
      </c>
      <c r="K1662" s="53" t="n">
        <v>7</v>
      </c>
      <c r="L1662" s="53" t="n">
        <v>6</v>
      </c>
      <c r="M1662" s="33">
        <f>F1662-E1662</f>
        <v/>
      </c>
      <c r="N1662" s="33">
        <f>L1662-K1662</f>
        <v/>
      </c>
    </row>
    <row r="1663">
      <c r="A1663" s="58" t="inlineStr">
        <is>
          <t>53005 Cliffs Steakhouse(A)</t>
        </is>
      </c>
      <c r="B1663" s="58" t="inlineStr">
        <is>
          <t>Bergen</t>
        </is>
      </c>
      <c r="C1663" s="58" t="inlineStr">
        <is>
          <t>Dan Lagala</t>
        </is>
      </c>
      <c r="D1663" s="58" t="inlineStr">
        <is>
          <t>On-premise</t>
        </is>
      </c>
      <c r="E1663" s="53" t="n">
        <v>13</v>
      </c>
      <c r="F1663" s="53" t="n">
        <v>12</v>
      </c>
      <c r="G1663" s="55" t="n">
        <v>135.34</v>
      </c>
      <c r="H1663" s="55" t="n">
        <v>112.31</v>
      </c>
      <c r="I1663" s="53" t="n">
        <v>4</v>
      </c>
      <c r="J1663" s="53" t="n">
        <v>2</v>
      </c>
      <c r="K1663" s="53" t="n">
        <v>6</v>
      </c>
      <c r="L1663" s="53" t="n">
        <v>5</v>
      </c>
      <c r="M1663" s="33">
        <f>F1663-E1663</f>
        <v/>
      </c>
      <c r="N1663" s="33">
        <f>L1663-K1663</f>
        <v/>
      </c>
    </row>
    <row r="1664">
      <c r="A1664" s="58" t="inlineStr">
        <is>
          <t>170063 Boulevard Mart &amp; Liq (A)</t>
        </is>
      </c>
      <c r="B1664" s="58" t="inlineStr">
        <is>
          <t>Hudson</t>
        </is>
      </c>
      <c r="C1664" s="58" t="inlineStr">
        <is>
          <t>Dylan Rubino</t>
        </is>
      </c>
      <c r="D1664" s="58" t="inlineStr">
        <is>
          <t>Off-premise</t>
        </is>
      </c>
      <c r="E1664" s="53" t="n">
        <v>29</v>
      </c>
      <c r="F1664" s="53" t="n">
        <v>28</v>
      </c>
      <c r="G1664" s="55" t="n">
        <v>209.23</v>
      </c>
      <c r="H1664" s="55" t="n">
        <v>203.01</v>
      </c>
      <c r="I1664" s="53" t="n">
        <v>74</v>
      </c>
      <c r="J1664" s="53" t="n">
        <v>94</v>
      </c>
      <c r="K1664" s="53" t="n">
        <v>29</v>
      </c>
      <c r="L1664" s="53" t="n">
        <v>28</v>
      </c>
      <c r="M1664" s="33">
        <f>F1664-E1664</f>
        <v/>
      </c>
      <c r="N1664" s="33">
        <f>L1664-K1664</f>
        <v/>
      </c>
    </row>
    <row r="1665">
      <c r="A1665" s="58" t="inlineStr">
        <is>
          <t>170075 New Junction Liquors</t>
        </is>
      </c>
      <c r="B1665" s="58" t="inlineStr">
        <is>
          <t>Hudson</t>
        </is>
      </c>
      <c r="C1665" s="58" t="inlineStr">
        <is>
          <t>Dylan Rubino</t>
        </is>
      </c>
      <c r="D1665" s="58" t="inlineStr">
        <is>
          <t>Off-premise</t>
        </is>
      </c>
      <c r="E1665" s="53" t="n">
        <v>18</v>
      </c>
      <c r="F1665" s="53" t="n">
        <v>17</v>
      </c>
      <c r="G1665" s="55" t="n">
        <v>143.05</v>
      </c>
      <c r="H1665" s="55" t="n">
        <v>135.9</v>
      </c>
      <c r="I1665" s="53" t="n">
        <v>114</v>
      </c>
      <c r="J1665" s="53" t="n">
        <v>99</v>
      </c>
      <c r="K1665" s="53" t="n">
        <v>18</v>
      </c>
      <c r="L1665" s="53" t="n">
        <v>17</v>
      </c>
      <c r="M1665" s="33">
        <f>F1665-E1665</f>
        <v/>
      </c>
      <c r="N1665" s="33">
        <f>L1665-K1665</f>
        <v/>
      </c>
    </row>
    <row r="1666">
      <c r="A1666" s="58" t="inlineStr">
        <is>
          <t>170086 Bottles Jersey City</t>
        </is>
      </c>
      <c r="B1666" s="58" t="inlineStr">
        <is>
          <t>Hudson</t>
        </is>
      </c>
      <c r="C1666" s="58" t="inlineStr">
        <is>
          <t>Dylan Rubino</t>
        </is>
      </c>
      <c r="D1666" s="58" t="inlineStr">
        <is>
          <t>Off-premise</t>
        </is>
      </c>
      <c r="E1666" s="53" t="n">
        <v>10</v>
      </c>
      <c r="F1666" s="53" t="n">
        <v>9</v>
      </c>
      <c r="G1666" s="55" t="n">
        <v>70.59999999999999</v>
      </c>
      <c r="H1666" s="55" t="n">
        <v>71.53</v>
      </c>
      <c r="I1666" s="53" t="n">
        <v>20</v>
      </c>
      <c r="J1666" s="53" t="n">
        <v>42</v>
      </c>
      <c r="K1666" s="53" t="n">
        <v>10</v>
      </c>
      <c r="L1666" s="53" t="n">
        <v>9</v>
      </c>
      <c r="M1666" s="33">
        <f>F1666-E1666</f>
        <v/>
      </c>
      <c r="N1666" s="33">
        <f>L1666-K1666</f>
        <v/>
      </c>
    </row>
    <row r="1667">
      <c r="A1667" s="58" t="inlineStr">
        <is>
          <t>152017 Pennsylvania Liquors</t>
        </is>
      </c>
      <c r="B1667" s="58" t="inlineStr">
        <is>
          <t>Essex</t>
        </is>
      </c>
      <c r="C1667" s="58" t="inlineStr">
        <is>
          <t>Hakan Sadik</t>
        </is>
      </c>
      <c r="D1667" s="58" t="inlineStr">
        <is>
          <t>Off-premise</t>
        </is>
      </c>
      <c r="E1667" s="53" t="n">
        <v>10</v>
      </c>
      <c r="F1667" s="53" t="n">
        <v>9</v>
      </c>
      <c r="G1667" s="55" t="n">
        <v>71.56</v>
      </c>
      <c r="H1667" s="55" t="n">
        <v>71.55</v>
      </c>
      <c r="I1667" s="53" t="n">
        <v>170</v>
      </c>
      <c r="J1667" s="53" t="n">
        <v>108</v>
      </c>
      <c r="K1667" s="53" t="n">
        <v>10</v>
      </c>
      <c r="L1667" s="53" t="n">
        <v>9</v>
      </c>
      <c r="M1667" s="33">
        <f>F1667-E1667</f>
        <v/>
      </c>
      <c r="N1667" s="33">
        <f>L1667-K1667</f>
        <v/>
      </c>
    </row>
    <row r="1668">
      <c r="A1668" s="58" t="inlineStr">
        <is>
          <t>170002 Alvins W&amp;L (P)</t>
        </is>
      </c>
      <c r="B1668" s="58" t="inlineStr">
        <is>
          <t>Hudson</t>
        </is>
      </c>
      <c r="C1668" s="58" t="inlineStr">
        <is>
          <t>Jaime Colonna</t>
        </is>
      </c>
      <c r="D1668" s="58" t="inlineStr">
        <is>
          <t>Off-premise</t>
        </is>
      </c>
      <c r="E1668" s="53" t="n">
        <v>10</v>
      </c>
      <c r="F1668" s="53" t="n">
        <v>9</v>
      </c>
      <c r="G1668" s="55" t="n">
        <v>71.58</v>
      </c>
      <c r="H1668" s="55" t="n">
        <v>71.53</v>
      </c>
      <c r="I1668" s="53" t="n">
        <v>87</v>
      </c>
      <c r="J1668" s="53" t="n">
        <v>80</v>
      </c>
      <c r="K1668" s="53" t="n">
        <v>10</v>
      </c>
      <c r="L1668" s="53" t="n">
        <v>9</v>
      </c>
      <c r="M1668" s="33">
        <f>F1668-E1668</f>
        <v/>
      </c>
      <c r="N1668" s="33">
        <f>L1668-K1668</f>
        <v/>
      </c>
    </row>
    <row r="1669">
      <c r="A1669" s="58" t="inlineStr">
        <is>
          <t>171015 Uncorked Wines &amp; Spirits - Hoboken NJ</t>
        </is>
      </c>
      <c r="B1669" s="58" t="inlineStr">
        <is>
          <t>Hudson</t>
        </is>
      </c>
      <c r="C1669" s="58" t="inlineStr">
        <is>
          <t>Jaime Colonna</t>
        </is>
      </c>
      <c r="D1669" s="58" t="inlineStr">
        <is>
          <t>Off-premise</t>
        </is>
      </c>
      <c r="E1669" s="53" t="n">
        <v>14</v>
      </c>
      <c r="F1669" s="53" t="n">
        <v>13</v>
      </c>
      <c r="G1669" s="55" t="n">
        <v>116.95</v>
      </c>
      <c r="H1669" s="55" t="n">
        <v>102.82</v>
      </c>
      <c r="I1669" s="53" t="n">
        <v>173</v>
      </c>
      <c r="J1669" s="53" t="n">
        <v>100</v>
      </c>
      <c r="K1669" s="53" t="n">
        <v>14</v>
      </c>
      <c r="L1669" s="53" t="n">
        <v>13</v>
      </c>
      <c r="M1669" s="33">
        <f>F1669-E1669</f>
        <v/>
      </c>
      <c r="N1669" s="33">
        <f>L1669-K1669</f>
        <v/>
      </c>
    </row>
    <row r="1670">
      <c r="A1670" s="58" t="inlineStr">
        <is>
          <t>27001 Fiesta Night Club(P)</t>
        </is>
      </c>
      <c r="B1670" s="58" t="inlineStr">
        <is>
          <t>Passaic</t>
        </is>
      </c>
      <c r="C1670" s="58" t="inlineStr">
        <is>
          <t>Javier Melo</t>
        </is>
      </c>
      <c r="D1670" s="58" t="inlineStr">
        <is>
          <t>On-premise</t>
        </is>
      </c>
      <c r="E1670" s="53" t="n">
        <v>1347</v>
      </c>
      <c r="F1670" s="53" t="n">
        <v>1498</v>
      </c>
      <c r="G1670" s="55" t="n">
        <v>9688.780000000001</v>
      </c>
      <c r="H1670" s="55" t="n">
        <v>10737.17</v>
      </c>
      <c r="I1670" s="53" t="n">
        <v>0</v>
      </c>
      <c r="J1670" s="53" t="n">
        <v>0</v>
      </c>
      <c r="K1670" s="53" t="n">
        <v>0</v>
      </c>
      <c r="L1670" s="53" t="n">
        <v>-1</v>
      </c>
      <c r="M1670" s="33">
        <f>F1670-E1670</f>
        <v/>
      </c>
      <c r="N1670" s="33">
        <f>L1670-K1670</f>
        <v/>
      </c>
    </row>
    <row r="1671">
      <c r="A1671" s="58" t="inlineStr">
        <is>
          <t>230918 Market Place Liquor</t>
        </is>
      </c>
      <c r="B1671" s="58" t="inlineStr">
        <is>
          <t>Sussex</t>
        </is>
      </c>
      <c r="C1671" s="58" t="inlineStr">
        <is>
          <t>Jayson Romine</t>
        </is>
      </c>
      <c r="D1671" s="58" t="inlineStr">
        <is>
          <t>Off-premise</t>
        </is>
      </c>
      <c r="E1671" s="53" t="n">
        <v>609</v>
      </c>
      <c r="F1671" s="53" t="n">
        <v>634</v>
      </c>
      <c r="G1671" s="55" t="n">
        <v>3661.81</v>
      </c>
      <c r="H1671" s="55" t="n">
        <v>3771.32</v>
      </c>
      <c r="I1671" s="53" t="n">
        <v>153</v>
      </c>
      <c r="J1671" s="53" t="n">
        <v>122</v>
      </c>
      <c r="K1671" s="53" t="n">
        <v>103</v>
      </c>
      <c r="L1671" s="53" t="n">
        <v>102</v>
      </c>
      <c r="M1671" s="33">
        <f>F1671-E1671</f>
        <v/>
      </c>
      <c r="N1671" s="33">
        <f>L1671-K1671</f>
        <v/>
      </c>
    </row>
    <row r="1672">
      <c r="A1672" s="58" t="inlineStr">
        <is>
          <t>30004 West End Wine &amp; Liq</t>
        </is>
      </c>
      <c r="B1672" s="58" t="inlineStr">
        <is>
          <t>Bergen</t>
        </is>
      </c>
      <c r="C1672" s="58" t="inlineStr">
        <is>
          <t>Jim Heaney</t>
        </is>
      </c>
      <c r="D1672" s="58" t="inlineStr">
        <is>
          <t>Off-premise</t>
        </is>
      </c>
      <c r="E1672" s="53" t="n">
        <v>1646</v>
      </c>
      <c r="F1672" s="53" t="n">
        <v>1770</v>
      </c>
      <c r="G1672" s="55" t="n">
        <v>10904.63</v>
      </c>
      <c r="H1672" s="55" t="n">
        <v>12249.12</v>
      </c>
      <c r="I1672" s="53" t="n">
        <v>288</v>
      </c>
      <c r="J1672" s="53" t="n">
        <v>337</v>
      </c>
      <c r="K1672" s="53" t="n">
        <v>270</v>
      </c>
      <c r="L1672" s="53" t="n">
        <v>269</v>
      </c>
      <c r="M1672" s="33">
        <f>F1672-E1672</f>
        <v/>
      </c>
      <c r="N1672" s="33">
        <f>L1672-K1672</f>
        <v/>
      </c>
    </row>
    <row r="1673">
      <c r="A1673" s="58" t="inlineStr">
        <is>
          <t>37060 Pazza Luna (P)</t>
        </is>
      </c>
      <c r="B1673" s="58" t="inlineStr">
        <is>
          <t>Bergen</t>
        </is>
      </c>
      <c r="C1673" s="58" t="inlineStr">
        <is>
          <t>Matt Powierski</t>
        </is>
      </c>
      <c r="D1673" s="58" t="inlineStr">
        <is>
          <t>On-premise</t>
        </is>
      </c>
      <c r="E1673" s="53" t="n">
        <v>22</v>
      </c>
      <c r="F1673" s="53" t="n">
        <v>13</v>
      </c>
      <c r="G1673" s="55" t="n">
        <v>233.08</v>
      </c>
      <c r="H1673" s="55" t="n">
        <v>141.21</v>
      </c>
      <c r="I1673" s="53" t="n">
        <v>0</v>
      </c>
      <c r="J1673" s="53" t="n">
        <v>0</v>
      </c>
      <c r="K1673" s="53" t="n">
        <v>1</v>
      </c>
      <c r="L1673" s="53" t="n">
        <v>0</v>
      </c>
      <c r="M1673" s="33">
        <f>F1673-E1673</f>
        <v/>
      </c>
      <c r="N1673" s="33">
        <f>L1673-K1673</f>
        <v/>
      </c>
    </row>
    <row r="1674">
      <c r="A1674" s="58" t="inlineStr">
        <is>
          <t>77014 Blvd Bar &amp; Grill (Z)</t>
        </is>
      </c>
      <c r="B1674" s="58" t="inlineStr">
        <is>
          <t>Bergen</t>
        </is>
      </c>
      <c r="C1674" s="58" t="inlineStr">
        <is>
          <t>Matt Powierski</t>
        </is>
      </c>
      <c r="D1674" s="58" t="inlineStr">
        <is>
          <t>On-premise</t>
        </is>
      </c>
      <c r="E1674" s="53" t="n">
        <v>177</v>
      </c>
      <c r="F1674" s="53" t="n">
        <v>118</v>
      </c>
      <c r="G1674" s="55" t="n">
        <v>1480.28</v>
      </c>
      <c r="H1674" s="55" t="n">
        <v>1063.49</v>
      </c>
      <c r="I1674" s="53" t="n">
        <v>76</v>
      </c>
      <c r="J1674" s="53" t="n">
        <v>65</v>
      </c>
      <c r="K1674" s="53" t="n">
        <v>8</v>
      </c>
      <c r="L1674" s="53" t="n">
        <v>7</v>
      </c>
      <c r="M1674" s="33">
        <f>F1674-E1674</f>
        <v/>
      </c>
      <c r="N1674" s="33">
        <f>L1674-K1674</f>
        <v/>
      </c>
    </row>
    <row r="1675">
      <c r="A1675" s="58" t="inlineStr">
        <is>
          <t>150253 El Patio Liquor Store</t>
        </is>
      </c>
      <c r="B1675" s="58" t="inlineStr">
        <is>
          <t>Essex</t>
        </is>
      </c>
      <c r="C1675" s="58" t="inlineStr">
        <is>
          <t>Michael Harboy</t>
        </is>
      </c>
      <c r="D1675" s="58" t="inlineStr">
        <is>
          <t>Unmatched</t>
        </is>
      </c>
      <c r="E1675" s="53" t="n">
        <v>1</v>
      </c>
      <c r="F1675" s="53" t="n">
        <v>0</v>
      </c>
      <c r="G1675" s="55" t="n">
        <v>12.4</v>
      </c>
      <c r="H1675" s="55" t="n">
        <v>0</v>
      </c>
      <c r="I1675" s="53" t="n">
        <v>13</v>
      </c>
      <c r="J1675" s="53" t="n">
        <v>0</v>
      </c>
      <c r="K1675" s="53" t="n">
        <v>1</v>
      </c>
      <c r="L1675" s="53" t="n">
        <v>0</v>
      </c>
      <c r="M1675" s="33">
        <f>F1675-E1675</f>
        <v/>
      </c>
      <c r="N1675" s="33">
        <f>L1675-K1675</f>
        <v/>
      </c>
    </row>
    <row r="1676">
      <c r="A1676" s="58" t="inlineStr">
        <is>
          <t>87006 Hohokus Inn &amp; Tavern</t>
        </is>
      </c>
      <c r="B1676" s="58" t="inlineStr">
        <is>
          <t>Bergen</t>
        </is>
      </c>
      <c r="C1676" s="58" t="inlineStr">
        <is>
          <t>Mike Ast</t>
        </is>
      </c>
      <c r="D1676" s="58" t="inlineStr">
        <is>
          <t>On-premise</t>
        </is>
      </c>
      <c r="E1676" s="53" t="n">
        <v>21</v>
      </c>
      <c r="F1676" s="53" t="n">
        <v>25</v>
      </c>
      <c r="G1676" s="55" t="n">
        <v>228.58</v>
      </c>
      <c r="H1676" s="55" t="n">
        <v>272.88</v>
      </c>
      <c r="I1676" s="53" t="n">
        <v>40</v>
      </c>
      <c r="J1676" s="53" t="n">
        <v>47</v>
      </c>
      <c r="K1676" s="53" t="n">
        <v>13</v>
      </c>
      <c r="L1676" s="53" t="n">
        <v>12</v>
      </c>
      <c r="M1676" s="33">
        <f>F1676-E1676</f>
        <v/>
      </c>
      <c r="N1676" s="33">
        <f>L1676-K1676</f>
        <v/>
      </c>
    </row>
    <row r="1677">
      <c r="A1677" s="58" t="inlineStr">
        <is>
          <t>32005 Biggies (A)</t>
        </is>
      </c>
      <c r="B1677" s="58" t="inlineStr">
        <is>
          <t>Bergen</t>
        </is>
      </c>
      <c r="C1677" s="58" t="inlineStr">
        <is>
          <t>Nick Melissari</t>
        </is>
      </c>
      <c r="D1677" s="58" t="inlineStr">
        <is>
          <t>On-premise</t>
        </is>
      </c>
      <c r="E1677" s="53" t="n">
        <v>511</v>
      </c>
      <c r="F1677" s="53" t="n">
        <v>516</v>
      </c>
      <c r="G1677" s="55" t="n">
        <v>2559.48</v>
      </c>
      <c r="H1677" s="55" t="n">
        <v>2966.66</v>
      </c>
      <c r="I1677" s="53" t="n">
        <v>78</v>
      </c>
      <c r="J1677" s="53" t="n">
        <v>46</v>
      </c>
      <c r="K1677" s="53" t="n">
        <v>22</v>
      </c>
      <c r="L1677" s="53" t="n">
        <v>21</v>
      </c>
      <c r="M1677" s="33">
        <f>F1677-E1677</f>
        <v/>
      </c>
      <c r="N1677" s="33">
        <f>L1677-K1677</f>
        <v/>
      </c>
    </row>
    <row r="1678">
      <c r="A1678" s="58" t="inlineStr">
        <is>
          <t>31029 Annabella's House Of Mozz</t>
        </is>
      </c>
      <c r="B1678" s="58" t="inlineStr">
        <is>
          <t>Bergen</t>
        </is>
      </c>
      <c r="C1678" s="58" t="inlineStr">
        <is>
          <t>Nick Melissari</t>
        </is>
      </c>
      <c r="D1678" s="58" t="inlineStr">
        <is>
          <t>On-premise</t>
        </is>
      </c>
      <c r="E1678" s="53" t="n">
        <v>31</v>
      </c>
      <c r="F1678" s="53" t="n">
        <v>18</v>
      </c>
      <c r="G1678" s="55" t="n">
        <v>262.8</v>
      </c>
      <c r="H1678" s="55" t="n">
        <v>134.91</v>
      </c>
      <c r="I1678" s="53" t="n">
        <v>3</v>
      </c>
      <c r="J1678" s="53" t="n">
        <v>0</v>
      </c>
      <c r="K1678" s="53" t="n">
        <v>12</v>
      </c>
      <c r="L1678" s="53" t="n">
        <v>11</v>
      </c>
      <c r="M1678" s="33">
        <f>F1678-E1678</f>
        <v/>
      </c>
      <c r="N1678" s="33">
        <f>L1678-K1678</f>
        <v/>
      </c>
    </row>
    <row r="1679">
      <c r="A1679" s="58" t="inlineStr">
        <is>
          <t>49013 Cuba 57</t>
        </is>
      </c>
      <c r="B1679" s="58" t="inlineStr">
        <is>
          <t>Bergen</t>
        </is>
      </c>
      <c r="C1679" s="58" t="inlineStr">
        <is>
          <t>Nick Melissari</t>
        </is>
      </c>
      <c r="D1679" s="58" t="inlineStr">
        <is>
          <t>On-premise</t>
        </is>
      </c>
      <c r="E1679" s="53" t="n">
        <v>32</v>
      </c>
      <c r="F1679" s="53" t="n">
        <v>23</v>
      </c>
      <c r="G1679" s="55" t="n">
        <v>344.39</v>
      </c>
      <c r="H1679" s="55" t="n">
        <v>247.71</v>
      </c>
      <c r="I1679" s="53" t="n">
        <v>0</v>
      </c>
      <c r="J1679" s="53" t="n">
        <v>7</v>
      </c>
      <c r="K1679" s="53" t="n">
        <v>1</v>
      </c>
      <c r="L1679" s="53" t="n">
        <v>0</v>
      </c>
      <c r="M1679" s="33">
        <f>F1679-E1679</f>
        <v/>
      </c>
      <c r="N1679" s="33">
        <f>L1679-K1679</f>
        <v/>
      </c>
    </row>
    <row r="1680">
      <c r="A1680" s="58" t="inlineStr">
        <is>
          <t>80061 The Green Lounge</t>
        </is>
      </c>
      <c r="B1680" s="58" t="inlineStr">
        <is>
          <t>Bergen</t>
        </is>
      </c>
      <c r="C1680" s="58" t="inlineStr">
        <is>
          <t>Nick Melissari</t>
        </is>
      </c>
      <c r="D1680" s="58" t="inlineStr">
        <is>
          <t>On-premise</t>
        </is>
      </c>
      <c r="E1680" s="53" t="n">
        <v>193</v>
      </c>
      <c r="F1680" s="53" t="n">
        <v>142</v>
      </c>
      <c r="G1680" s="55" t="n">
        <v>1613.82</v>
      </c>
      <c r="H1680" s="55" t="n">
        <v>1238.93</v>
      </c>
      <c r="I1680" s="53" t="n">
        <v>50</v>
      </c>
      <c r="J1680" s="53" t="n">
        <v>37</v>
      </c>
      <c r="K1680" s="53" t="n">
        <v>8</v>
      </c>
      <c r="L1680" s="53" t="n">
        <v>7</v>
      </c>
      <c r="M1680" s="33">
        <f>F1680-E1680</f>
        <v/>
      </c>
      <c r="N1680" s="33">
        <f>L1680-K1680</f>
        <v/>
      </c>
    </row>
    <row r="1681">
      <c r="A1681" s="58" t="inlineStr">
        <is>
          <t>49054 Hiram's</t>
        </is>
      </c>
      <c r="B1681" s="58" t="inlineStr">
        <is>
          <t>Bergen</t>
        </is>
      </c>
      <c r="C1681" s="58" t="inlineStr">
        <is>
          <t>Nick Melissari</t>
        </is>
      </c>
      <c r="D1681" s="58" t="inlineStr">
        <is>
          <t>On-premise</t>
        </is>
      </c>
      <c r="E1681" s="53" t="n">
        <v>221</v>
      </c>
      <c r="F1681" s="53" t="n">
        <v>199</v>
      </c>
      <c r="G1681" s="55" t="n">
        <v>1732.98</v>
      </c>
      <c r="H1681" s="55" t="n">
        <v>1571.22</v>
      </c>
      <c r="I1681" s="53" t="n">
        <v>374</v>
      </c>
      <c r="J1681" s="53" t="n">
        <v>422</v>
      </c>
      <c r="K1681" s="53" t="n">
        <v>6</v>
      </c>
      <c r="L1681" s="53" t="n">
        <v>5</v>
      </c>
      <c r="M1681" s="33">
        <f>F1681-E1681</f>
        <v/>
      </c>
      <c r="N1681" s="33">
        <f>L1681-K1681</f>
        <v/>
      </c>
    </row>
    <row r="1682">
      <c r="A1682" s="58" t="inlineStr">
        <is>
          <t>52005 Noches De Colombia(Englewood))</t>
        </is>
      </c>
      <c r="B1682" s="58" t="inlineStr">
        <is>
          <t>Bergen</t>
        </is>
      </c>
      <c r="C1682" s="58" t="inlineStr">
        <is>
          <t>Pablo Lopez</t>
        </is>
      </c>
      <c r="D1682" s="58" t="inlineStr">
        <is>
          <t>On-premise</t>
        </is>
      </c>
      <c r="E1682" s="53" t="n">
        <v>175</v>
      </c>
      <c r="F1682" s="53" t="n">
        <v>232</v>
      </c>
      <c r="G1682" s="55" t="n">
        <v>1800.02</v>
      </c>
      <c r="H1682" s="55" t="n">
        <v>2357.94</v>
      </c>
      <c r="I1682" s="53" t="n">
        <v>75</v>
      </c>
      <c r="J1682" s="53" t="n">
        <v>78</v>
      </c>
      <c r="K1682" s="53" t="n">
        <v>5</v>
      </c>
      <c r="L1682" s="53" t="n">
        <v>4</v>
      </c>
      <c r="M1682" s="33">
        <f>F1682-E1682</f>
        <v/>
      </c>
      <c r="N1682" s="33">
        <f>L1682-K1682</f>
        <v/>
      </c>
    </row>
    <row r="1683">
      <c r="A1683" s="58" t="inlineStr">
        <is>
          <t>25046 Jay Aldo's (Z) Bar &amp; Pizz</t>
        </is>
      </c>
      <c r="B1683" s="58" t="inlineStr">
        <is>
          <t>Passaic</t>
        </is>
      </c>
      <c r="C1683" s="58" t="inlineStr">
        <is>
          <t>Pablo Lopez</t>
        </is>
      </c>
      <c r="D1683" s="58" t="inlineStr">
        <is>
          <t>On-premise</t>
        </is>
      </c>
      <c r="E1683" s="53" t="n">
        <v>225</v>
      </c>
      <c r="F1683" s="53" t="n">
        <v>298</v>
      </c>
      <c r="G1683" s="55" t="n">
        <v>1634.69</v>
      </c>
      <c r="H1683" s="55" t="n">
        <v>2121.07</v>
      </c>
      <c r="I1683" s="53" t="n">
        <v>5</v>
      </c>
      <c r="J1683" s="53" t="n">
        <v>-1</v>
      </c>
      <c r="K1683" s="53" t="n">
        <v>6</v>
      </c>
      <c r="L1683" s="53" t="n">
        <v>5</v>
      </c>
      <c r="M1683" s="33">
        <f>F1683-E1683</f>
        <v/>
      </c>
      <c r="N1683" s="33">
        <f>L1683-K1683</f>
        <v/>
      </c>
    </row>
    <row r="1684">
      <c r="A1684" s="58" t="inlineStr">
        <is>
          <t>22001 Lena Y Carbon Restaurant</t>
        </is>
      </c>
      <c r="B1684" s="58" t="inlineStr">
        <is>
          <t>Passaic</t>
        </is>
      </c>
      <c r="C1684" s="58" t="inlineStr">
        <is>
          <t>Pablo Lopez</t>
        </is>
      </c>
      <c r="D1684" s="58" t="inlineStr">
        <is>
          <t>On-premise</t>
        </is>
      </c>
      <c r="E1684" s="53" t="n">
        <v>233</v>
      </c>
      <c r="F1684" s="53" t="n">
        <v>196</v>
      </c>
      <c r="G1684" s="55" t="n">
        <v>2325.39</v>
      </c>
      <c r="H1684" s="55" t="n">
        <v>2004.12</v>
      </c>
      <c r="I1684" s="53" t="n">
        <v>286</v>
      </c>
      <c r="J1684" s="53" t="n">
        <v>186</v>
      </c>
      <c r="K1684" s="53" t="n">
        <v>1</v>
      </c>
      <c r="L1684" s="53" t="n">
        <v>0</v>
      </c>
      <c r="M1684" s="33">
        <f>F1684-E1684</f>
        <v/>
      </c>
      <c r="N1684" s="33">
        <f>L1684-K1684</f>
        <v/>
      </c>
    </row>
    <row r="1685">
      <c r="A1685" s="58" t="inlineStr">
        <is>
          <t>55009 Samdan Mediterranean Restaurant And Bar</t>
        </is>
      </c>
      <c r="B1685" s="58" t="inlineStr">
        <is>
          <t>Bergen</t>
        </is>
      </c>
      <c r="C1685" s="58" t="inlineStr">
        <is>
          <t>Paul Mclaughlin</t>
        </is>
      </c>
      <c r="D1685" s="58" t="inlineStr">
        <is>
          <t>Unmatched</t>
        </is>
      </c>
      <c r="E1685" s="53" t="n">
        <v>6</v>
      </c>
      <c r="F1685" s="53" t="n">
        <v>6</v>
      </c>
      <c r="G1685" s="55" t="n">
        <v>69.03</v>
      </c>
      <c r="H1685" s="55" t="n">
        <v>69.69</v>
      </c>
      <c r="I1685" s="53" t="n">
        <v>13</v>
      </c>
      <c r="J1685" s="53" t="n">
        <v>97</v>
      </c>
      <c r="K1685" s="53" t="n">
        <v>3</v>
      </c>
      <c r="L1685" s="53" t="n">
        <v>2</v>
      </c>
      <c r="M1685" s="33">
        <f>F1685-E1685</f>
        <v/>
      </c>
      <c r="N1685" s="33">
        <f>L1685-K1685</f>
        <v/>
      </c>
    </row>
    <row r="1686">
      <c r="A1686" s="58" t="inlineStr">
        <is>
          <t>69009 Rivervale Country Club</t>
        </is>
      </c>
      <c r="B1686" s="58" t="inlineStr">
        <is>
          <t>Bergen</t>
        </is>
      </c>
      <c r="C1686" s="58" t="inlineStr">
        <is>
          <t>Paul Mclaughlin</t>
        </is>
      </c>
      <c r="D1686" s="58" t="inlineStr">
        <is>
          <t>On-premise</t>
        </is>
      </c>
      <c r="E1686" s="53" t="n">
        <v>464</v>
      </c>
      <c r="F1686" s="53" t="n">
        <v>390</v>
      </c>
      <c r="G1686" s="55" t="n">
        <v>3680.04</v>
      </c>
      <c r="H1686" s="55" t="n">
        <v>3432.289999999999</v>
      </c>
      <c r="I1686" s="53" t="n">
        <v>122</v>
      </c>
      <c r="J1686" s="53" t="n">
        <v>115</v>
      </c>
      <c r="K1686" s="53" t="n">
        <v>87</v>
      </c>
      <c r="L1686" s="53" t="n">
        <v>86</v>
      </c>
      <c r="M1686" s="33">
        <f>F1686-E1686</f>
        <v/>
      </c>
      <c r="N1686" s="33">
        <f>L1686-K1686</f>
        <v/>
      </c>
    </row>
    <row r="1687">
      <c r="A1687" s="58" t="inlineStr">
        <is>
          <t>59006 The Oak House</t>
        </is>
      </c>
      <c r="B1687" s="58" t="inlineStr">
        <is>
          <t>Bergen</t>
        </is>
      </c>
      <c r="C1687" s="58" t="inlineStr">
        <is>
          <t>Paul Mclaughlin</t>
        </is>
      </c>
      <c r="D1687" s="58" t="inlineStr">
        <is>
          <t>On-premise</t>
        </is>
      </c>
      <c r="E1687" s="53" t="n">
        <v>19</v>
      </c>
      <c r="F1687" s="53" t="n">
        <v>20</v>
      </c>
      <c r="G1687" s="55" t="n">
        <v>192.91</v>
      </c>
      <c r="H1687" s="55" t="n">
        <v>204.76</v>
      </c>
      <c r="I1687" s="53" t="n">
        <v>73</v>
      </c>
      <c r="J1687" s="53" t="n">
        <v>108</v>
      </c>
      <c r="K1687" s="53" t="n">
        <v>2</v>
      </c>
      <c r="L1687" s="53" t="n">
        <v>1</v>
      </c>
      <c r="M1687" s="33">
        <f>F1687-E1687</f>
        <v/>
      </c>
      <c r="N1687" s="33">
        <f>L1687-K1687</f>
        <v/>
      </c>
    </row>
    <row r="1688">
      <c r="A1688" s="58" t="inlineStr">
        <is>
          <t>40026 Brooklyn's (A)</t>
        </is>
      </c>
      <c r="B1688" s="58" t="inlineStr">
        <is>
          <t>Bergen</t>
        </is>
      </c>
      <c r="C1688" s="58" t="inlineStr">
        <is>
          <t>Paul Mclaughlin</t>
        </is>
      </c>
      <c r="D1688" s="58" t="inlineStr">
        <is>
          <t>On-premise</t>
        </is>
      </c>
      <c r="E1688" s="53" t="n">
        <v>51</v>
      </c>
      <c r="F1688" s="53" t="n">
        <v>38</v>
      </c>
      <c r="G1688" s="55" t="n">
        <v>493.75</v>
      </c>
      <c r="H1688" s="55" t="n">
        <v>345.8</v>
      </c>
      <c r="I1688" s="53" t="n">
        <v>8</v>
      </c>
      <c r="J1688" s="53" t="n">
        <v>5</v>
      </c>
      <c r="K1688" s="53" t="n">
        <v>18</v>
      </c>
      <c r="L1688" s="53" t="n">
        <v>17</v>
      </c>
      <c r="M1688" s="33">
        <f>F1688-E1688</f>
        <v/>
      </c>
      <c r="N1688" s="33">
        <f>L1688-K1688</f>
        <v/>
      </c>
    </row>
    <row r="1689">
      <c r="A1689" s="58" t="inlineStr">
        <is>
          <t>67010 Biddy O'malleys Pub (A)</t>
        </is>
      </c>
      <c r="B1689" s="58" t="inlineStr">
        <is>
          <t>Bergen</t>
        </is>
      </c>
      <c r="C1689" s="58" t="inlineStr">
        <is>
          <t>Paul Mclaughlin</t>
        </is>
      </c>
      <c r="D1689" s="58" t="inlineStr">
        <is>
          <t>On-premise</t>
        </is>
      </c>
      <c r="E1689" s="53" t="n">
        <v>88</v>
      </c>
      <c r="F1689" s="53" t="n">
        <v>77</v>
      </c>
      <c r="G1689" s="55" t="n">
        <v>855.1299999999999</v>
      </c>
      <c r="H1689" s="55" t="n">
        <v>754.7800000000001</v>
      </c>
      <c r="I1689" s="53" t="n">
        <v>26</v>
      </c>
      <c r="J1689" s="53" t="n">
        <v>23</v>
      </c>
      <c r="K1689" s="53" t="n">
        <v>5</v>
      </c>
      <c r="L1689" s="53" t="n">
        <v>4</v>
      </c>
      <c r="M1689" s="33">
        <f>F1689-E1689</f>
        <v/>
      </c>
      <c r="N1689" s="33">
        <f>L1689-K1689</f>
        <v/>
      </c>
    </row>
    <row r="1690">
      <c r="A1690" s="58" t="inlineStr">
        <is>
          <t>67006 Northvale Diner</t>
        </is>
      </c>
      <c r="B1690" s="58" t="inlineStr">
        <is>
          <t>Bergen</t>
        </is>
      </c>
      <c r="C1690" s="58" t="inlineStr">
        <is>
          <t>Robin Feldman</t>
        </is>
      </c>
      <c r="D1690" s="58" t="inlineStr">
        <is>
          <t>On-premise</t>
        </is>
      </c>
      <c r="E1690" s="53" t="n">
        <v>21</v>
      </c>
      <c r="F1690" s="53" t="n">
        <v>17</v>
      </c>
      <c r="G1690" s="55" t="n">
        <v>210.4</v>
      </c>
      <c r="H1690" s="55" t="n">
        <v>225.08</v>
      </c>
      <c r="I1690" s="53" t="n">
        <v>9</v>
      </c>
      <c r="J1690" s="53" t="n">
        <v>2</v>
      </c>
      <c r="K1690" s="53" t="n">
        <v>11</v>
      </c>
      <c r="L1690" s="53" t="n">
        <v>10</v>
      </c>
      <c r="M1690" s="33">
        <f>F1690-E1690</f>
        <v/>
      </c>
      <c r="N1690" s="33">
        <f>L1690-K1690</f>
        <v/>
      </c>
    </row>
    <row r="1691">
      <c r="A1691" s="58" t="inlineStr">
        <is>
          <t>9001 Pompton Queen (P)</t>
        </is>
      </c>
      <c r="B1691" s="58" t="inlineStr">
        <is>
          <t>Morris</t>
        </is>
      </c>
      <c r="C1691" s="58" t="inlineStr">
        <is>
          <t>Robin Feldman</t>
        </is>
      </c>
      <c r="D1691" s="58" t="inlineStr">
        <is>
          <t>On-premise</t>
        </is>
      </c>
      <c r="E1691" s="53" t="n">
        <v>74</v>
      </c>
      <c r="F1691" s="53" t="n">
        <v>86</v>
      </c>
      <c r="G1691" s="55" t="n">
        <v>766.8799999999999</v>
      </c>
      <c r="H1691" s="55" t="n">
        <v>901.45</v>
      </c>
      <c r="I1691" s="53" t="n">
        <v>11</v>
      </c>
      <c r="J1691" s="53" t="n">
        <v>9</v>
      </c>
      <c r="K1691" s="53" t="n">
        <v>23</v>
      </c>
      <c r="L1691" s="53" t="n">
        <v>22</v>
      </c>
      <c r="M1691" s="33">
        <f>F1691-E1691</f>
        <v/>
      </c>
      <c r="N1691" s="33">
        <f>L1691-K1691</f>
        <v/>
      </c>
    </row>
    <row r="1692">
      <c r="A1692" s="58" t="inlineStr">
        <is>
          <t>71010 Elks Post 2234</t>
        </is>
      </c>
      <c r="B1692" s="58" t="inlineStr">
        <is>
          <t>Bergen</t>
        </is>
      </c>
      <c r="C1692" s="58" t="inlineStr">
        <is>
          <t>Robin Feldman</t>
        </is>
      </c>
      <c r="D1692" s="58" t="inlineStr">
        <is>
          <t>On-premise</t>
        </is>
      </c>
      <c r="E1692" s="53" t="n">
        <v>77</v>
      </c>
      <c r="F1692" s="53" t="n">
        <v>87</v>
      </c>
      <c r="G1692" s="55" t="n">
        <v>480.14</v>
      </c>
      <c r="H1692" s="55" t="n">
        <v>702.09</v>
      </c>
      <c r="I1692" s="53" t="n">
        <v>12</v>
      </c>
      <c r="J1692" s="53" t="n">
        <v>48</v>
      </c>
      <c r="K1692" s="53" t="n">
        <v>3</v>
      </c>
      <c r="L1692" s="53" t="n">
        <v>2</v>
      </c>
      <c r="M1692" s="33">
        <f>F1692-E1692</f>
        <v/>
      </c>
      <c r="N1692" s="33">
        <f>L1692-K1692</f>
        <v/>
      </c>
    </row>
    <row r="1693">
      <c r="A1693" s="58" t="inlineStr">
        <is>
          <t>1032 Prime 374 - Seafood &amp; Steak</t>
        </is>
      </c>
      <c r="B1693" s="58" t="inlineStr">
        <is>
          <t>Passaic</t>
        </is>
      </c>
      <c r="C1693" s="58" t="inlineStr">
        <is>
          <t>Robin Feldman</t>
        </is>
      </c>
      <c r="D1693" s="58" t="inlineStr">
        <is>
          <t>On-premise</t>
        </is>
      </c>
      <c r="E1693" s="53" t="n">
        <v>11</v>
      </c>
      <c r="F1693" s="53" t="n">
        <v>11</v>
      </c>
      <c r="G1693" s="55" t="n">
        <v>118.62</v>
      </c>
      <c r="H1693" s="55" t="n">
        <v>105.32</v>
      </c>
      <c r="I1693" s="53" t="n">
        <v>0</v>
      </c>
      <c r="J1693" s="53" t="n">
        <v>0</v>
      </c>
      <c r="K1693" s="53" t="n">
        <v>5</v>
      </c>
      <c r="L1693" s="53" t="n">
        <v>4</v>
      </c>
      <c r="M1693" s="33">
        <f>F1693-E1693</f>
        <v/>
      </c>
      <c r="N1693" s="33">
        <f>L1693-K1693</f>
        <v/>
      </c>
    </row>
    <row r="1694">
      <c r="A1694" s="58" t="inlineStr">
        <is>
          <t>12006 Novelli (P)</t>
        </is>
      </c>
      <c r="B1694" s="58" t="inlineStr">
        <is>
          <t>Passaic</t>
        </is>
      </c>
      <c r="C1694" s="58" t="inlineStr">
        <is>
          <t>Robin Feldman</t>
        </is>
      </c>
      <c r="D1694" s="58" t="inlineStr">
        <is>
          <t>On-premise</t>
        </is>
      </c>
      <c r="E1694" s="53" t="n">
        <v>36</v>
      </c>
      <c r="F1694" s="53" t="n">
        <v>33</v>
      </c>
      <c r="G1694" s="55" t="n">
        <v>377.7900000000001</v>
      </c>
      <c r="H1694" s="55" t="n">
        <v>356.78</v>
      </c>
      <c r="I1694" s="53" t="n">
        <v>65</v>
      </c>
      <c r="J1694" s="53" t="n">
        <v>147</v>
      </c>
      <c r="K1694" s="53" t="n">
        <v>13</v>
      </c>
      <c r="L1694" s="53" t="n">
        <v>12</v>
      </c>
      <c r="M1694" s="33">
        <f>F1694-E1694</f>
        <v/>
      </c>
      <c r="N1694" s="33">
        <f>L1694-K1694</f>
        <v/>
      </c>
    </row>
    <row r="1695">
      <c r="A1695" s="58" t="inlineStr">
        <is>
          <t>12025 Vila Verde (P) Rest.</t>
        </is>
      </c>
      <c r="B1695" s="58" t="inlineStr">
        <is>
          <t>Passaic</t>
        </is>
      </c>
      <c r="C1695" s="58" t="inlineStr">
        <is>
          <t>Robin Feldman</t>
        </is>
      </c>
      <c r="D1695" s="58" t="inlineStr">
        <is>
          <t>On-premise</t>
        </is>
      </c>
      <c r="E1695" s="53" t="n">
        <v>13</v>
      </c>
      <c r="F1695" s="53" t="n">
        <v>25</v>
      </c>
      <c r="G1695" s="55" t="n">
        <v>110.63</v>
      </c>
      <c r="H1695" s="55" t="n">
        <v>213.17</v>
      </c>
      <c r="I1695" s="53" t="n">
        <v>2</v>
      </c>
      <c r="J1695" s="53" t="n">
        <v>5</v>
      </c>
      <c r="K1695" s="53" t="n">
        <v>7</v>
      </c>
      <c r="L1695" s="53" t="n">
        <v>6</v>
      </c>
      <c r="M1695" s="33">
        <f>F1695-E1695</f>
        <v/>
      </c>
      <c r="N1695" s="33">
        <f>L1695-K1695</f>
        <v/>
      </c>
    </row>
    <row r="1696">
      <c r="A1696" s="58" t="inlineStr">
        <is>
          <t>17019 La Neves (P)</t>
        </is>
      </c>
      <c r="B1696" s="58" t="inlineStr">
        <is>
          <t>Passaic</t>
        </is>
      </c>
      <c r="C1696" s="58" t="inlineStr">
        <is>
          <t>Robin Feldman</t>
        </is>
      </c>
      <c r="D1696" s="58" t="inlineStr">
        <is>
          <t>On-premise</t>
        </is>
      </c>
      <c r="E1696" s="53" t="n">
        <v>82</v>
      </c>
      <c r="F1696" s="53" t="n">
        <v>78</v>
      </c>
      <c r="G1696" s="55" t="n">
        <v>552.12</v>
      </c>
      <c r="H1696" s="55" t="n">
        <v>321.6</v>
      </c>
      <c r="I1696" s="53" t="n">
        <v>20</v>
      </c>
      <c r="J1696" s="53" t="n">
        <v>6</v>
      </c>
      <c r="K1696" s="53" t="n">
        <v>1</v>
      </c>
      <c r="L1696" s="53" t="n">
        <v>0</v>
      </c>
      <c r="M1696" s="33">
        <f>F1696-E1696</f>
        <v/>
      </c>
      <c r="N1696" s="33">
        <f>L1696-K1696</f>
        <v/>
      </c>
    </row>
    <row r="1697">
      <c r="A1697" s="58" t="inlineStr">
        <is>
          <t>77008 Pizza Town USA</t>
        </is>
      </c>
      <c r="B1697" s="58" t="inlineStr">
        <is>
          <t>Bergen</t>
        </is>
      </c>
      <c r="C1697" s="58" t="inlineStr">
        <is>
          <t>Robin Feldman</t>
        </is>
      </c>
      <c r="D1697" s="58" t="inlineStr">
        <is>
          <t>Unmatched</t>
        </is>
      </c>
      <c r="E1697" s="53" t="n">
        <v>56</v>
      </c>
      <c r="F1697" s="53" t="n">
        <v>44</v>
      </c>
      <c r="G1697" s="55" t="n">
        <v>544.64</v>
      </c>
      <c r="H1697" s="55" t="n">
        <v>421.14</v>
      </c>
      <c r="I1697" s="53" t="n">
        <v>0</v>
      </c>
      <c r="J1697" s="53" t="n">
        <v>0</v>
      </c>
      <c r="K1697" s="53" t="n">
        <v>11</v>
      </c>
      <c r="L1697" s="53" t="n">
        <v>10</v>
      </c>
      <c r="M1697" s="33">
        <f>F1697-E1697</f>
        <v/>
      </c>
      <c r="N1697" s="33">
        <f>L1697-K1697</f>
        <v/>
      </c>
    </row>
    <row r="1698">
      <c r="A1698" s="58" t="inlineStr">
        <is>
          <t>93001 Stateline Diner (P)</t>
        </is>
      </c>
      <c r="B1698" s="58" t="inlineStr">
        <is>
          <t>Bergen</t>
        </is>
      </c>
      <c r="C1698" s="58" t="inlineStr">
        <is>
          <t>Robin Feldman</t>
        </is>
      </c>
      <c r="D1698" s="58" t="inlineStr">
        <is>
          <t>On-premise</t>
        </is>
      </c>
      <c r="E1698" s="53" t="n">
        <v>49</v>
      </c>
      <c r="F1698" s="53" t="n">
        <v>37</v>
      </c>
      <c r="G1698" s="55" t="n">
        <v>545.4200000000001</v>
      </c>
      <c r="H1698" s="55" t="n">
        <v>372.83</v>
      </c>
      <c r="I1698" s="53" t="n">
        <v>5</v>
      </c>
      <c r="J1698" s="53" t="n">
        <v>7</v>
      </c>
      <c r="K1698" s="53" t="n">
        <v>5</v>
      </c>
      <c r="L1698" s="53" t="n">
        <v>4</v>
      </c>
      <c r="M1698" s="33">
        <f>F1698-E1698</f>
        <v/>
      </c>
      <c r="N1698" s="33">
        <f>L1698-K1698</f>
        <v/>
      </c>
    </row>
    <row r="1699">
      <c r="A1699" s="58" t="inlineStr">
        <is>
          <t>34019 Home2 Suites by Hilton</t>
        </is>
      </c>
      <c r="B1699" s="58" t="inlineStr">
        <is>
          <t>Bergen</t>
        </is>
      </c>
      <c r="C1699" s="58" t="inlineStr">
        <is>
          <t>Robin Feldman</t>
        </is>
      </c>
      <c r="D1699" s="58" t="inlineStr">
        <is>
          <t>On-premise</t>
        </is>
      </c>
      <c r="E1699" s="53" t="n">
        <v>32</v>
      </c>
      <c r="F1699" s="53" t="n">
        <v>25</v>
      </c>
      <c r="G1699" s="55" t="n">
        <v>311.35</v>
      </c>
      <c r="H1699" s="55" t="n">
        <v>255.88</v>
      </c>
      <c r="I1699" s="53" t="n">
        <v>11</v>
      </c>
      <c r="J1699" s="53" t="n">
        <v>7</v>
      </c>
      <c r="K1699" s="53" t="n">
        <v>7</v>
      </c>
      <c r="L1699" s="53" t="n">
        <v>6</v>
      </c>
      <c r="M1699" s="33">
        <f>F1699-E1699</f>
        <v/>
      </c>
      <c r="N1699" s="33">
        <f>L1699-K1699</f>
        <v/>
      </c>
    </row>
    <row r="1700">
      <c r="A1700" s="58" t="inlineStr">
        <is>
          <t>79009 American Lgn (Z) (Maywood)</t>
        </is>
      </c>
      <c r="B1700" s="58" t="inlineStr">
        <is>
          <t>Bergen</t>
        </is>
      </c>
      <c r="C1700" s="58" t="inlineStr">
        <is>
          <t>Robin Feldman</t>
        </is>
      </c>
      <c r="D1700" s="58" t="inlineStr">
        <is>
          <t>On-premise</t>
        </is>
      </c>
      <c r="E1700" s="53" t="n">
        <v>66</v>
      </c>
      <c r="F1700" s="53" t="n">
        <v>60</v>
      </c>
      <c r="G1700" s="55" t="n">
        <v>546.88</v>
      </c>
      <c r="H1700" s="55" t="n">
        <v>509.99</v>
      </c>
      <c r="I1700" s="53" t="n">
        <v>0</v>
      </c>
      <c r="J1700" s="53" t="n">
        <v>4</v>
      </c>
      <c r="K1700" s="53" t="n">
        <v>1</v>
      </c>
      <c r="L1700" s="53" t="n">
        <v>0</v>
      </c>
      <c r="M1700" s="33">
        <f>F1700-E1700</f>
        <v/>
      </c>
      <c r="N1700" s="33">
        <f>L1700-K1700</f>
        <v/>
      </c>
    </row>
    <row r="1701">
      <c r="A1701" s="58" t="inlineStr">
        <is>
          <t>41034 Lodi Moose Lodge 1971</t>
        </is>
      </c>
      <c r="B1701" s="58" t="inlineStr">
        <is>
          <t>Bergen</t>
        </is>
      </c>
      <c r="C1701" s="58" t="inlineStr">
        <is>
          <t>Robin Feldman</t>
        </is>
      </c>
      <c r="D1701" s="58" t="inlineStr">
        <is>
          <t>On-premise</t>
        </is>
      </c>
      <c r="E1701" s="53" t="n">
        <v>9</v>
      </c>
      <c r="F1701" s="53" t="n">
        <v>30</v>
      </c>
      <c r="G1701" s="55" t="n">
        <v>86.44</v>
      </c>
      <c r="H1701" s="55" t="n">
        <v>251.01</v>
      </c>
      <c r="I1701" s="53" t="n">
        <v>0</v>
      </c>
      <c r="J1701" s="53" t="n">
        <v>2</v>
      </c>
      <c r="K1701" s="53" t="n">
        <v>1</v>
      </c>
      <c r="L1701" s="53" t="n">
        <v>0</v>
      </c>
      <c r="M1701" s="33">
        <f>F1701-E1701</f>
        <v/>
      </c>
      <c r="N1701" s="33">
        <f>L1701-K1701</f>
        <v/>
      </c>
    </row>
    <row r="1702">
      <c r="A1702" s="58" t="inlineStr">
        <is>
          <t>81032 Hyatt Place Fair Lawn (A)</t>
        </is>
      </c>
      <c r="B1702" s="58" t="inlineStr">
        <is>
          <t>Bergen</t>
        </is>
      </c>
      <c r="C1702" s="58" t="inlineStr">
        <is>
          <t>Robin Feldman</t>
        </is>
      </c>
      <c r="D1702" s="58" t="inlineStr">
        <is>
          <t>On-premise</t>
        </is>
      </c>
      <c r="E1702" s="53" t="n">
        <v>12</v>
      </c>
      <c r="F1702" s="53" t="n">
        <v>0</v>
      </c>
      <c r="G1702" s="55" t="n">
        <v>116.25</v>
      </c>
      <c r="H1702" s="55" t="n">
        <v>0</v>
      </c>
      <c r="I1702" s="53" t="n">
        <v>0</v>
      </c>
      <c r="J1702" s="53" t="n">
        <v>0</v>
      </c>
      <c r="K1702" s="53" t="n">
        <v>1</v>
      </c>
      <c r="L1702" s="53" t="n">
        <v>0</v>
      </c>
      <c r="M1702" s="33">
        <f>F1702-E1702</f>
        <v/>
      </c>
      <c r="N1702" s="33">
        <f>L1702-K1702</f>
        <v/>
      </c>
    </row>
    <row r="1703">
      <c r="A1703" s="58" t="inlineStr">
        <is>
          <t>190301 American Lgn Lake Hiawath</t>
        </is>
      </c>
      <c r="B1703" s="58" t="inlineStr">
        <is>
          <t>Morris</t>
        </is>
      </c>
      <c r="C1703" s="58" t="inlineStr">
        <is>
          <t>Robin Feldman</t>
        </is>
      </c>
      <c r="D1703" s="58" t="inlineStr">
        <is>
          <t>On-premise</t>
        </is>
      </c>
      <c r="E1703" s="53" t="n">
        <v>27</v>
      </c>
      <c r="F1703" s="53" t="n">
        <v>16</v>
      </c>
      <c r="G1703" s="55" t="n">
        <v>235.7</v>
      </c>
      <c r="H1703" s="55" t="n">
        <v>126.99</v>
      </c>
      <c r="I1703" s="53" t="n">
        <v>6</v>
      </c>
      <c r="J1703" s="53" t="n">
        <v>4</v>
      </c>
      <c r="K1703" s="53" t="n">
        <v>4</v>
      </c>
      <c r="L1703" s="53" t="n">
        <v>3</v>
      </c>
      <c r="M1703" s="33">
        <f>F1703-E1703</f>
        <v/>
      </c>
      <c r="N1703" s="33">
        <f>L1703-K1703</f>
        <v/>
      </c>
    </row>
    <row r="1704">
      <c r="A1704" s="58" t="inlineStr">
        <is>
          <t>25052 Uno Chicago Grl (A)Clifto</t>
        </is>
      </c>
      <c r="B1704" s="58" t="inlineStr">
        <is>
          <t>Passaic</t>
        </is>
      </c>
      <c r="C1704" s="58" t="inlineStr">
        <is>
          <t>Allison Scott</t>
        </is>
      </c>
      <c r="D1704" s="58" t="inlineStr">
        <is>
          <t>On-premise</t>
        </is>
      </c>
      <c r="E1704" s="53" t="n">
        <v>230</v>
      </c>
      <c r="F1704" s="53" t="n">
        <v>188</v>
      </c>
      <c r="G1704" s="55" t="n">
        <v>1762.5</v>
      </c>
      <c r="H1704" s="55" t="n">
        <v>1524.75</v>
      </c>
      <c r="I1704" s="53" t="n">
        <v>43</v>
      </c>
      <c r="J1704" s="53" t="n">
        <v>55</v>
      </c>
      <c r="K1704" s="53" t="n">
        <v>3</v>
      </c>
      <c r="L1704" s="53" t="n">
        <v>1</v>
      </c>
      <c r="M1704" s="33">
        <f>F1704-E1704</f>
        <v/>
      </c>
      <c r="N1704" s="33">
        <f>L1704-K1704</f>
        <v/>
      </c>
    </row>
    <row r="1705">
      <c r="A1705" s="58" t="inlineStr">
        <is>
          <t>12040 NYX</t>
        </is>
      </c>
      <c r="B1705" s="58" t="inlineStr">
        <is>
          <t>Passaic</t>
        </is>
      </c>
      <c r="C1705" s="58" t="inlineStr">
        <is>
          <t>Allison Scott</t>
        </is>
      </c>
      <c r="D1705" s="58" t="inlineStr">
        <is>
          <t>On-premise</t>
        </is>
      </c>
      <c r="E1705" s="53" t="n">
        <v>112</v>
      </c>
      <c r="F1705" s="53" t="n">
        <v>-3</v>
      </c>
      <c r="G1705" s="55" t="n">
        <v>1139.17</v>
      </c>
      <c r="H1705" s="55" t="n">
        <v>-34.24</v>
      </c>
      <c r="I1705" s="53" t="n">
        <v>8</v>
      </c>
      <c r="J1705" s="53" t="n">
        <v>0</v>
      </c>
      <c r="K1705" s="53" t="n">
        <v>2</v>
      </c>
      <c r="L1705" s="53" t="n">
        <v>0</v>
      </c>
      <c r="M1705" s="33">
        <f>F1705-E1705</f>
        <v/>
      </c>
      <c r="N1705" s="33">
        <f>L1705-K1705</f>
        <v/>
      </c>
    </row>
    <row r="1706">
      <c r="A1706" s="58" t="inlineStr">
        <is>
          <t>25019 Shaking Crab(P)</t>
        </is>
      </c>
      <c r="B1706" s="58" t="inlineStr">
        <is>
          <t>Passaic</t>
        </is>
      </c>
      <c r="C1706" s="58" t="inlineStr">
        <is>
          <t>Allison Scott</t>
        </is>
      </c>
      <c r="D1706" s="58" t="inlineStr">
        <is>
          <t>Unmatched</t>
        </is>
      </c>
      <c r="E1706" s="53" t="n">
        <v>14</v>
      </c>
      <c r="F1706" s="53" t="n">
        <v>0</v>
      </c>
      <c r="G1706" s="55" t="n">
        <v>147.64</v>
      </c>
      <c r="H1706" s="55" t="n">
        <v>0</v>
      </c>
      <c r="I1706" s="53" t="n">
        <v>4</v>
      </c>
      <c r="J1706" s="53" t="n">
        <v>0</v>
      </c>
      <c r="K1706" s="53" t="n">
        <v>2</v>
      </c>
      <c r="L1706" s="53" t="n">
        <v>0</v>
      </c>
      <c r="M1706" s="33">
        <f>F1706-E1706</f>
        <v/>
      </c>
      <c r="N1706" s="33">
        <f>L1706-K1706</f>
        <v/>
      </c>
    </row>
    <row r="1707">
      <c r="A1707" s="58" t="inlineStr">
        <is>
          <t>25011 Kashan Indian Kitchen &amp; Ber</t>
        </is>
      </c>
      <c r="B1707" s="58" t="inlineStr">
        <is>
          <t>Passaic</t>
        </is>
      </c>
      <c r="C1707" s="58" t="inlineStr">
        <is>
          <t>Allison Scott</t>
        </is>
      </c>
      <c r="D1707" s="58" t="inlineStr">
        <is>
          <t>On-premise</t>
        </is>
      </c>
      <c r="E1707" s="53" t="n">
        <v>6</v>
      </c>
      <c r="F1707" s="53" t="n">
        <v>3</v>
      </c>
      <c r="G1707" s="55" t="n">
        <v>68.28</v>
      </c>
      <c r="H1707" s="55" t="n">
        <v>31.3</v>
      </c>
      <c r="I1707" s="53" t="n">
        <v>14</v>
      </c>
      <c r="J1707" s="53" t="n">
        <v>7</v>
      </c>
      <c r="K1707" s="53" t="n">
        <v>2</v>
      </c>
      <c r="L1707" s="53" t="n">
        <v>0</v>
      </c>
      <c r="M1707" s="33">
        <f>F1707-E1707</f>
        <v/>
      </c>
      <c r="N1707" s="33">
        <f>L1707-K1707</f>
        <v/>
      </c>
    </row>
    <row r="1708">
      <c r="A1708" s="58" t="inlineStr">
        <is>
          <t>13013 Amer Lgn L Falls (Z)</t>
        </is>
      </c>
      <c r="B1708" s="58" t="inlineStr">
        <is>
          <t>Passaic</t>
        </is>
      </c>
      <c r="C1708" s="58" t="inlineStr">
        <is>
          <t>Allison Scott</t>
        </is>
      </c>
      <c r="D1708" s="58" t="inlineStr">
        <is>
          <t>On-premise</t>
        </is>
      </c>
      <c r="E1708" s="53" t="n">
        <v>55</v>
      </c>
      <c r="F1708" s="53" t="n">
        <v>71</v>
      </c>
      <c r="G1708" s="55" t="n">
        <v>505.6</v>
      </c>
      <c r="H1708" s="55" t="n">
        <v>567.42</v>
      </c>
      <c r="I1708" s="53" t="n">
        <v>15</v>
      </c>
      <c r="J1708" s="53" t="n">
        <v>12</v>
      </c>
      <c r="K1708" s="53" t="n">
        <v>7</v>
      </c>
      <c r="L1708" s="53" t="n">
        <v>5</v>
      </c>
      <c r="M1708" s="33">
        <f>F1708-E1708</f>
        <v/>
      </c>
      <c r="N1708" s="33">
        <f>L1708-K1708</f>
        <v/>
      </c>
    </row>
    <row r="1709">
      <c r="A1709" s="58" t="inlineStr">
        <is>
          <t>24054 Upper Montclair Cc (A)</t>
        </is>
      </c>
      <c r="B1709" s="58" t="inlineStr">
        <is>
          <t>Passaic</t>
        </is>
      </c>
      <c r="C1709" s="58" t="inlineStr">
        <is>
          <t>Allison Scott</t>
        </is>
      </c>
      <c r="D1709" s="58" t="inlineStr">
        <is>
          <t>On-premise</t>
        </is>
      </c>
      <c r="E1709" s="53" t="n">
        <v>233</v>
      </c>
      <c r="F1709" s="53" t="n">
        <v>160</v>
      </c>
      <c r="G1709" s="55" t="n">
        <v>1838.69</v>
      </c>
      <c r="H1709" s="55" t="n">
        <v>1340.18</v>
      </c>
      <c r="I1709" s="53" t="n">
        <v>44</v>
      </c>
      <c r="J1709" s="53" t="n">
        <v>17</v>
      </c>
      <c r="K1709" s="53" t="n">
        <v>12</v>
      </c>
      <c r="L1709" s="53" t="n">
        <v>10</v>
      </c>
      <c r="M1709" s="33">
        <f>F1709-E1709</f>
        <v/>
      </c>
      <c r="N1709" s="33">
        <f>L1709-K1709</f>
        <v/>
      </c>
    </row>
    <row r="1710">
      <c r="A1710" s="58" t="inlineStr">
        <is>
          <t>250003 Breen's Wines &amp; Liquors</t>
        </is>
      </c>
      <c r="B1710" s="58" t="inlineStr">
        <is>
          <t>Union</t>
        </is>
      </c>
      <c r="C1710" s="58" t="inlineStr">
        <is>
          <t>Andrew Lundy</t>
        </is>
      </c>
      <c r="D1710" s="58" t="inlineStr">
        <is>
          <t>Off-premise</t>
        </is>
      </c>
      <c r="E1710" s="53" t="n">
        <v>21</v>
      </c>
      <c r="F1710" s="53" t="n">
        <v>19</v>
      </c>
      <c r="G1710" s="55" t="n">
        <v>157.42</v>
      </c>
      <c r="H1710" s="55" t="n">
        <v>143.1</v>
      </c>
      <c r="I1710" s="53" t="n">
        <v>14</v>
      </c>
      <c r="J1710" s="53" t="n">
        <v>6</v>
      </c>
      <c r="K1710" s="53" t="n">
        <v>21</v>
      </c>
      <c r="L1710" s="53" t="n">
        <v>19</v>
      </c>
      <c r="M1710" s="33">
        <f>F1710-E1710</f>
        <v/>
      </c>
      <c r="N1710" s="33">
        <f>L1710-K1710</f>
        <v/>
      </c>
    </row>
    <row r="1711">
      <c r="A1711" s="58" t="inlineStr">
        <is>
          <t>1021 M &amp; M Discount Liq</t>
        </is>
      </c>
      <c r="B1711" s="58" t="inlineStr">
        <is>
          <t>Passaic</t>
        </is>
      </c>
      <c r="C1711" s="58" t="inlineStr">
        <is>
          <t>Anthony Palmisano</t>
        </is>
      </c>
      <c r="D1711" s="58" t="inlineStr">
        <is>
          <t>Off-premise</t>
        </is>
      </c>
      <c r="E1711" s="53" t="n">
        <v>865</v>
      </c>
      <c r="F1711" s="53" t="n">
        <v>767</v>
      </c>
      <c r="G1711" s="55" t="n">
        <v>7268.650000000001</v>
      </c>
      <c r="H1711" s="55" t="n">
        <v>6378.83</v>
      </c>
      <c r="I1711" s="53" t="n">
        <v>130</v>
      </c>
      <c r="J1711" s="53" t="n">
        <v>103</v>
      </c>
      <c r="K1711" s="53" t="n">
        <v>132</v>
      </c>
      <c r="L1711" s="53" t="n">
        <v>130</v>
      </c>
      <c r="M1711" s="33">
        <f>F1711-E1711</f>
        <v/>
      </c>
      <c r="N1711" s="33">
        <f>L1711-K1711</f>
        <v/>
      </c>
    </row>
    <row r="1712">
      <c r="A1712" s="58" t="inlineStr">
        <is>
          <t>231209 Mt Creek Hex Lg(North) A</t>
        </is>
      </c>
      <c r="B1712" s="58" t="inlineStr">
        <is>
          <t>Sussex</t>
        </is>
      </c>
      <c r="C1712" s="58" t="inlineStr">
        <is>
          <t>Anthony Palmisano</t>
        </is>
      </c>
      <c r="D1712" s="58" t="inlineStr">
        <is>
          <t>On-premise</t>
        </is>
      </c>
      <c r="E1712" s="53" t="n">
        <v>760</v>
      </c>
      <c r="F1712" s="53" t="n">
        <v>570</v>
      </c>
      <c r="G1712" s="55" t="n">
        <v>3996.67</v>
      </c>
      <c r="H1712" s="55" t="n">
        <v>2867.22</v>
      </c>
      <c r="I1712" s="53" t="n">
        <v>412</v>
      </c>
      <c r="J1712" s="53" t="n">
        <v>435</v>
      </c>
      <c r="K1712" s="53" t="n">
        <v>6</v>
      </c>
      <c r="L1712" s="53" t="n">
        <v>4</v>
      </c>
      <c r="M1712" s="33">
        <f>F1712-E1712</f>
        <v/>
      </c>
      <c r="N1712" s="33">
        <f>L1712-K1712</f>
        <v/>
      </c>
    </row>
    <row r="1713">
      <c r="A1713" s="58" t="inlineStr">
        <is>
          <t>230930 Brick &amp; Brew</t>
        </is>
      </c>
      <c r="B1713" s="58" t="inlineStr">
        <is>
          <t>Sussex</t>
        </is>
      </c>
      <c r="C1713" s="58" t="inlineStr">
        <is>
          <t>Anthony Palmisano</t>
        </is>
      </c>
      <c r="D1713" s="58" t="inlineStr">
        <is>
          <t>On-premise</t>
        </is>
      </c>
      <c r="E1713" s="53" t="n">
        <v>376</v>
      </c>
      <c r="F1713" s="53" t="n">
        <v>355</v>
      </c>
      <c r="G1713" s="55" t="n">
        <v>2487.78</v>
      </c>
      <c r="H1713" s="55" t="n">
        <v>2355.57</v>
      </c>
      <c r="I1713" s="53" t="n">
        <v>183</v>
      </c>
      <c r="J1713" s="53" t="n">
        <v>185</v>
      </c>
      <c r="K1713" s="53" t="n">
        <v>24</v>
      </c>
      <c r="L1713" s="53" t="n">
        <v>22</v>
      </c>
      <c r="M1713" s="33">
        <f>F1713-E1713</f>
        <v/>
      </c>
      <c r="N1713" s="33">
        <f>L1713-K1713</f>
        <v/>
      </c>
    </row>
    <row r="1714">
      <c r="A1714" s="58" t="inlineStr">
        <is>
          <t>231001 Atlantic Man Rodozio Stk</t>
        </is>
      </c>
      <c r="B1714" s="58" t="inlineStr">
        <is>
          <t>Sussex</t>
        </is>
      </c>
      <c r="C1714" s="58" t="inlineStr">
        <is>
          <t>Anthony Palmisano</t>
        </is>
      </c>
      <c r="D1714" s="58" t="inlineStr">
        <is>
          <t>On-premise</t>
        </is>
      </c>
      <c r="E1714" s="53" t="n">
        <v>35</v>
      </c>
      <c r="F1714" s="53" t="n">
        <v>11</v>
      </c>
      <c r="G1714" s="55" t="n">
        <v>360.6799999999999</v>
      </c>
      <c r="H1714" s="55" t="n">
        <v>107.57</v>
      </c>
      <c r="I1714" s="53" t="n">
        <v>5</v>
      </c>
      <c r="J1714" s="53" t="n">
        <v>0</v>
      </c>
      <c r="K1714" s="53" t="n">
        <v>2</v>
      </c>
      <c r="L1714" s="53" t="n">
        <v>0</v>
      </c>
      <c r="M1714" s="33">
        <f>F1714-E1714</f>
        <v/>
      </c>
      <c r="N1714" s="33">
        <f>L1714-K1714</f>
        <v/>
      </c>
    </row>
    <row r="1715">
      <c r="A1715" s="58" t="inlineStr">
        <is>
          <t>230313 Swartswood</t>
        </is>
      </c>
      <c r="B1715" s="58" t="inlineStr">
        <is>
          <t>Sussex</t>
        </is>
      </c>
      <c r="C1715" s="58" t="inlineStr">
        <is>
          <t>Brian Sengebush</t>
        </is>
      </c>
      <c r="D1715" s="58" t="inlineStr">
        <is>
          <t>Off-premise</t>
        </is>
      </c>
      <c r="E1715" s="53" t="n">
        <v>184</v>
      </c>
      <c r="F1715" s="53" t="n">
        <v>199</v>
      </c>
      <c r="G1715" s="55" t="n">
        <v>1734.78</v>
      </c>
      <c r="H1715" s="55" t="n">
        <v>1894.87</v>
      </c>
      <c r="I1715" s="53" t="n">
        <v>8</v>
      </c>
      <c r="J1715" s="53" t="n">
        <v>18</v>
      </c>
      <c r="K1715" s="53" t="n">
        <v>6</v>
      </c>
      <c r="L1715" s="53" t="n">
        <v>4</v>
      </c>
      <c r="M1715" s="33">
        <f>F1715-E1715</f>
        <v/>
      </c>
      <c r="N1715" s="33">
        <f>L1715-K1715</f>
        <v/>
      </c>
    </row>
    <row r="1716">
      <c r="A1716" s="58" t="inlineStr">
        <is>
          <t>231714 Mountain House Tav &amp; Gril</t>
        </is>
      </c>
      <c r="B1716" s="58" t="inlineStr">
        <is>
          <t>Sussex</t>
        </is>
      </c>
      <c r="C1716" s="58" t="inlineStr">
        <is>
          <t>Brian Sengebush</t>
        </is>
      </c>
      <c r="D1716" s="58" t="inlineStr">
        <is>
          <t>On-premise</t>
        </is>
      </c>
      <c r="E1716" s="53" t="n">
        <v>200</v>
      </c>
      <c r="F1716" s="53" t="n">
        <v>165</v>
      </c>
      <c r="G1716" s="55" t="n">
        <v>1370.57</v>
      </c>
      <c r="H1716" s="55" t="n">
        <v>1138.26</v>
      </c>
      <c r="I1716" s="53" t="n">
        <v>136</v>
      </c>
      <c r="J1716" s="53" t="n">
        <v>136</v>
      </c>
      <c r="K1716" s="53" t="n">
        <v>5</v>
      </c>
      <c r="L1716" s="53" t="n">
        <v>3</v>
      </c>
      <c r="M1716" s="33">
        <f>F1716-E1716</f>
        <v/>
      </c>
      <c r="N1716" s="33">
        <f>L1716-K1716</f>
        <v/>
      </c>
    </row>
    <row r="1717">
      <c r="A1717" s="58" t="inlineStr">
        <is>
          <t>191802 E &amp; D Liquors (P)</t>
        </is>
      </c>
      <c r="B1717" s="58" t="inlineStr">
        <is>
          <t>Morris</t>
        </is>
      </c>
      <c r="C1717" s="58" t="inlineStr">
        <is>
          <t>Brian Sengebush</t>
        </is>
      </c>
      <c r="D1717" s="58" t="inlineStr">
        <is>
          <t>On-premise</t>
        </is>
      </c>
      <c r="E1717" s="53" t="n">
        <v>64</v>
      </c>
      <c r="F1717" s="53" t="n">
        <v>50</v>
      </c>
      <c r="G1717" s="55" t="n">
        <v>602.25</v>
      </c>
      <c r="H1717" s="55" t="n">
        <v>467.09</v>
      </c>
      <c r="I1717" s="53" t="n">
        <v>3</v>
      </c>
      <c r="J1717" s="53" t="n">
        <v>1</v>
      </c>
      <c r="K1717" s="53" t="n">
        <v>3</v>
      </c>
      <c r="L1717" s="53" t="n">
        <v>1</v>
      </c>
      <c r="M1717" s="33">
        <f>F1717-E1717</f>
        <v/>
      </c>
      <c r="N1717" s="33">
        <f>L1717-K1717</f>
        <v/>
      </c>
    </row>
    <row r="1718">
      <c r="A1718" s="58" t="inlineStr">
        <is>
          <t>230422 Boomer Bar (P) &amp; Grill</t>
        </is>
      </c>
      <c r="B1718" s="58" t="inlineStr">
        <is>
          <t>Sussex</t>
        </is>
      </c>
      <c r="C1718" s="58" t="inlineStr">
        <is>
          <t>Brian Sengebush</t>
        </is>
      </c>
      <c r="D1718" s="58" t="inlineStr">
        <is>
          <t>On-premise</t>
        </is>
      </c>
      <c r="E1718" s="53" t="n">
        <v>243</v>
      </c>
      <c r="F1718" s="53" t="n">
        <v>210</v>
      </c>
      <c r="G1718" s="55" t="n">
        <v>1502.1</v>
      </c>
      <c r="H1718" s="55" t="n">
        <v>1390.82</v>
      </c>
      <c r="I1718" s="53" t="n">
        <v>42</v>
      </c>
      <c r="J1718" s="53" t="n">
        <v>38</v>
      </c>
      <c r="K1718" s="53" t="n">
        <v>2</v>
      </c>
      <c r="L1718" s="53" t="n">
        <v>0</v>
      </c>
      <c r="M1718" s="33">
        <f>F1718-E1718</f>
        <v/>
      </c>
      <c r="N1718" s="33">
        <f>L1718-K1718</f>
        <v/>
      </c>
    </row>
    <row r="1719">
      <c r="A1719" s="58" t="inlineStr">
        <is>
          <t>80023 Red Lobster Paramus</t>
        </is>
      </c>
      <c r="B1719" s="58" t="inlineStr">
        <is>
          <t>Bergen</t>
        </is>
      </c>
      <c r="C1719" s="58" t="inlineStr">
        <is>
          <t>Chris Payton</t>
        </is>
      </c>
      <c r="D1719" s="58" t="inlineStr">
        <is>
          <t>On-premise</t>
        </is>
      </c>
      <c r="E1719" s="53" t="n">
        <v>77</v>
      </c>
      <c r="F1719" s="53" t="n">
        <v>38</v>
      </c>
      <c r="G1719" s="55" t="n">
        <v>859.7899999999997</v>
      </c>
      <c r="H1719" s="55" t="n">
        <v>452.98</v>
      </c>
      <c r="I1719" s="53" t="n">
        <v>27</v>
      </c>
      <c r="J1719" s="53" t="n">
        <v>16</v>
      </c>
      <c r="K1719" s="53" t="n">
        <v>3</v>
      </c>
      <c r="L1719" s="53" t="n">
        <v>1</v>
      </c>
      <c r="M1719" s="33">
        <f>F1719-E1719</f>
        <v/>
      </c>
      <c r="N1719" s="33">
        <f>L1719-K1719</f>
        <v/>
      </c>
    </row>
    <row r="1720">
      <c r="A1720" s="58" t="inlineStr">
        <is>
          <t>48002 Manor Wine &amp; Liquor</t>
        </is>
      </c>
      <c r="B1720" s="58" t="inlineStr">
        <is>
          <t>Bergen</t>
        </is>
      </c>
      <c r="C1720" s="58" t="inlineStr">
        <is>
          <t>Dan Lagala</t>
        </is>
      </c>
      <c r="D1720" s="58" t="inlineStr">
        <is>
          <t>Off-premise</t>
        </is>
      </c>
      <c r="E1720" s="53" t="n">
        <v>893</v>
      </c>
      <c r="F1720" s="53" t="n">
        <v>878</v>
      </c>
      <c r="G1720" s="55" t="n">
        <v>6800.91</v>
      </c>
      <c r="H1720" s="55" t="n">
        <v>6953.87</v>
      </c>
      <c r="I1720" s="53" t="n">
        <v>199</v>
      </c>
      <c r="J1720" s="53" t="n">
        <v>161</v>
      </c>
      <c r="K1720" s="53" t="n">
        <v>155</v>
      </c>
      <c r="L1720" s="53" t="n">
        <v>153</v>
      </c>
      <c r="M1720" s="33">
        <f>F1720-E1720</f>
        <v/>
      </c>
      <c r="N1720" s="33">
        <f>L1720-K1720</f>
        <v/>
      </c>
    </row>
    <row r="1721">
      <c r="A1721" s="58" t="inlineStr">
        <is>
          <t>49053 Soho (Z)</t>
        </is>
      </c>
      <c r="B1721" s="58" t="inlineStr">
        <is>
          <t>Bergen</t>
        </is>
      </c>
      <c r="C1721" s="58" t="inlineStr">
        <is>
          <t>Dan Lagala</t>
        </is>
      </c>
      <c r="D1721" s="58" t="inlineStr">
        <is>
          <t>On-premise</t>
        </is>
      </c>
      <c r="E1721" s="53" t="n">
        <v>106</v>
      </c>
      <c r="F1721" s="53" t="n">
        <v>0</v>
      </c>
      <c r="G1721" s="55" t="n">
        <v>1059.44</v>
      </c>
      <c r="H1721" s="55" t="n">
        <v>0</v>
      </c>
      <c r="I1721" s="53" t="n">
        <v>33</v>
      </c>
      <c r="J1721" s="53" t="n">
        <v>0</v>
      </c>
      <c r="K1721" s="53" t="n">
        <v>2</v>
      </c>
      <c r="L1721" s="53" t="n">
        <v>0</v>
      </c>
      <c r="M1721" s="33">
        <f>F1721-E1721</f>
        <v/>
      </c>
      <c r="N1721" s="33">
        <f>L1721-K1721</f>
        <v/>
      </c>
    </row>
    <row r="1722">
      <c r="A1722" s="58" t="inlineStr">
        <is>
          <t>52013 Lulu Lounge</t>
        </is>
      </c>
      <c r="B1722" s="58" t="inlineStr">
        <is>
          <t>Bergen</t>
        </is>
      </c>
      <c r="C1722" s="58" t="inlineStr">
        <is>
          <t>Dave Ehlers</t>
        </is>
      </c>
      <c r="D1722" s="58" t="inlineStr">
        <is>
          <t>On-premise</t>
        </is>
      </c>
      <c r="E1722" s="53" t="n">
        <v>25</v>
      </c>
      <c r="F1722" s="53" t="n">
        <v>28</v>
      </c>
      <c r="G1722" s="55" t="n">
        <v>244.26</v>
      </c>
      <c r="H1722" s="55" t="n">
        <v>280.19</v>
      </c>
      <c r="I1722" s="53" t="n">
        <v>6</v>
      </c>
      <c r="J1722" s="53" t="n">
        <v>7</v>
      </c>
      <c r="K1722" s="53" t="n">
        <v>7</v>
      </c>
      <c r="L1722" s="53" t="n">
        <v>5</v>
      </c>
      <c r="M1722" s="33">
        <f>F1722-E1722</f>
        <v/>
      </c>
      <c r="N1722" s="33">
        <f>L1722-K1722</f>
        <v/>
      </c>
    </row>
    <row r="1723">
      <c r="A1723" s="58" t="inlineStr">
        <is>
          <t>171323 Union Liquors</t>
        </is>
      </c>
      <c r="B1723" s="58" t="inlineStr">
        <is>
          <t>Hudson</t>
        </is>
      </c>
      <c r="C1723" s="58" t="inlineStr">
        <is>
          <t>Dylan Rubino</t>
        </is>
      </c>
      <c r="D1723" s="58" t="inlineStr">
        <is>
          <t>Off-premise</t>
        </is>
      </c>
      <c r="E1723" s="53" t="n">
        <v>39</v>
      </c>
      <c r="F1723" s="53" t="n">
        <v>37</v>
      </c>
      <c r="G1723" s="55" t="n">
        <v>280.57</v>
      </c>
      <c r="H1723" s="55" t="n">
        <v>266.72</v>
      </c>
      <c r="I1723" s="53" t="n">
        <v>139</v>
      </c>
      <c r="J1723" s="53" t="n">
        <v>118</v>
      </c>
      <c r="K1723" s="53" t="n">
        <v>39</v>
      </c>
      <c r="L1723" s="53" t="n">
        <v>37</v>
      </c>
      <c r="M1723" s="33">
        <f>F1723-E1723</f>
        <v/>
      </c>
      <c r="N1723" s="33">
        <f>L1723-K1723</f>
        <v/>
      </c>
    </row>
    <row r="1724">
      <c r="A1724" s="58" t="inlineStr">
        <is>
          <t>172048 Cragie On Park</t>
        </is>
      </c>
      <c r="B1724" s="58" t="inlineStr">
        <is>
          <t>Hudson</t>
        </is>
      </c>
      <c r="C1724" s="58" t="inlineStr">
        <is>
          <t>Dylan Rubino</t>
        </is>
      </c>
      <c r="D1724" s="58" t="inlineStr">
        <is>
          <t>Off-premise</t>
        </is>
      </c>
      <c r="E1724" s="53" t="n">
        <v>12</v>
      </c>
      <c r="F1724" s="53" t="n">
        <v>10</v>
      </c>
      <c r="G1724" s="55" t="n">
        <v>91.76000000000001</v>
      </c>
      <c r="H1724" s="55" t="n">
        <v>71.56</v>
      </c>
      <c r="I1724" s="53" t="n">
        <v>4</v>
      </c>
      <c r="J1724" s="53" t="n">
        <v>7</v>
      </c>
      <c r="K1724" s="53" t="n">
        <v>12</v>
      </c>
      <c r="L1724" s="53" t="n">
        <v>10</v>
      </c>
      <c r="M1724" s="33">
        <f>F1724-E1724</f>
        <v/>
      </c>
      <c r="N1724" s="33">
        <f>L1724-K1724</f>
        <v/>
      </c>
    </row>
    <row r="1725">
      <c r="A1725" s="58" t="inlineStr">
        <is>
          <t>179013 Dublin Yard</t>
        </is>
      </c>
      <c r="B1725" s="58" t="inlineStr">
        <is>
          <t>Hudson</t>
        </is>
      </c>
      <c r="C1725" s="58" t="inlineStr">
        <is>
          <t>Dylan Rubino</t>
        </is>
      </c>
      <c r="D1725" s="58" t="inlineStr">
        <is>
          <t>On-premise</t>
        </is>
      </c>
      <c r="E1725" s="53" t="n">
        <v>2</v>
      </c>
      <c r="F1725" s="53" t="n">
        <v>0</v>
      </c>
      <c r="G1725" s="55" t="n">
        <v>27.68</v>
      </c>
      <c r="H1725" s="55" t="n">
        <v>0</v>
      </c>
      <c r="I1725" s="53" t="n">
        <v>17</v>
      </c>
      <c r="J1725" s="53" t="n">
        <v>55</v>
      </c>
      <c r="K1725" s="53" t="n">
        <v>2</v>
      </c>
      <c r="L1725" s="53" t="n">
        <v>0</v>
      </c>
      <c r="M1725" s="33">
        <f>F1725-E1725</f>
        <v/>
      </c>
      <c r="N1725" s="33">
        <f>L1725-K1725</f>
        <v/>
      </c>
    </row>
    <row r="1726">
      <c r="A1726" s="58" t="inlineStr">
        <is>
          <t>170158 Sunset wine &amp; spirits</t>
        </is>
      </c>
      <c r="B1726" s="58" t="inlineStr">
        <is>
          <t>Hudson</t>
        </is>
      </c>
      <c r="C1726" s="58" t="inlineStr">
        <is>
          <t>Jaime Colonna</t>
        </is>
      </c>
      <c r="D1726" s="58" t="inlineStr">
        <is>
          <t>Off-premise</t>
        </is>
      </c>
      <c r="E1726" s="53" t="n">
        <v>11</v>
      </c>
      <c r="F1726" s="53" t="n">
        <v>9</v>
      </c>
      <c r="G1726" s="55" t="n">
        <v>97.87</v>
      </c>
      <c r="H1726" s="55" t="n">
        <v>84.54000000000001</v>
      </c>
      <c r="I1726" s="53" t="n">
        <v>16</v>
      </c>
      <c r="J1726" s="53" t="n">
        <v>31</v>
      </c>
      <c r="K1726" s="53" t="n">
        <v>11</v>
      </c>
      <c r="L1726" s="53" t="n">
        <v>9</v>
      </c>
      <c r="M1726" s="33">
        <f>F1726-E1726</f>
        <v/>
      </c>
      <c r="N1726" s="33">
        <f>L1726-K1726</f>
        <v/>
      </c>
    </row>
    <row r="1727">
      <c r="A1727" s="58" t="inlineStr">
        <is>
          <t>24034 La Fortaleza (Clifton)</t>
        </is>
      </c>
      <c r="B1727" s="58" t="inlineStr">
        <is>
          <t>Passaic</t>
        </is>
      </c>
      <c r="C1727" s="58" t="inlineStr">
        <is>
          <t>Javier Melo</t>
        </is>
      </c>
      <c r="D1727" s="58" t="inlineStr">
        <is>
          <t>On-premise</t>
        </is>
      </c>
      <c r="E1727" s="53" t="n">
        <v>166</v>
      </c>
      <c r="F1727" s="53" t="n">
        <v>172</v>
      </c>
      <c r="G1727" s="55" t="n">
        <v>1557.72</v>
      </c>
      <c r="H1727" s="55" t="n">
        <v>1668.79</v>
      </c>
      <c r="I1727" s="53" t="n">
        <v>21</v>
      </c>
      <c r="J1727" s="53" t="n">
        <v>30</v>
      </c>
      <c r="K1727" s="53" t="n">
        <v>24</v>
      </c>
      <c r="L1727" s="53" t="n">
        <v>22</v>
      </c>
      <c r="M1727" s="33">
        <f>F1727-E1727</f>
        <v/>
      </c>
      <c r="N1727" s="33">
        <f>L1727-K1727</f>
        <v/>
      </c>
    </row>
    <row r="1728">
      <c r="A1728" s="58" t="inlineStr">
        <is>
          <t>27144 La Fortaleza (Passaic)</t>
        </is>
      </c>
      <c r="B1728" s="58" t="inlineStr">
        <is>
          <t>Passaic</t>
        </is>
      </c>
      <c r="C1728" s="58" t="inlineStr">
        <is>
          <t>Javier Melo</t>
        </is>
      </c>
      <c r="D1728" s="58" t="inlineStr">
        <is>
          <t>On-premise</t>
        </is>
      </c>
      <c r="E1728" s="53" t="n">
        <v>29</v>
      </c>
      <c r="F1728" s="53" t="n">
        <v>6</v>
      </c>
      <c r="G1728" s="55" t="n">
        <v>262.28</v>
      </c>
      <c r="H1728" s="55" t="n">
        <v>52.22</v>
      </c>
      <c r="I1728" s="53" t="n">
        <v>9</v>
      </c>
      <c r="J1728" s="53" t="n">
        <v>4</v>
      </c>
      <c r="K1728" s="53" t="n">
        <v>4</v>
      </c>
      <c r="L1728" s="53" t="n">
        <v>2</v>
      </c>
      <c r="M1728" s="33">
        <f>F1728-E1728</f>
        <v/>
      </c>
      <c r="N1728" s="33">
        <f>L1728-K1728</f>
        <v/>
      </c>
    </row>
    <row r="1729">
      <c r="A1729" s="58" t="inlineStr">
        <is>
          <t>30007 Village Wine (P)</t>
        </is>
      </c>
      <c r="B1729" s="58" t="inlineStr">
        <is>
          <t>Bergen</t>
        </is>
      </c>
      <c r="C1729" s="58" t="inlineStr">
        <is>
          <t>Jim Heaney</t>
        </is>
      </c>
      <c r="D1729" s="58" t="inlineStr">
        <is>
          <t>Off-premise</t>
        </is>
      </c>
      <c r="E1729" s="53" t="n">
        <v>131</v>
      </c>
      <c r="F1729" s="53" t="n">
        <v>207</v>
      </c>
      <c r="G1729" s="55" t="n">
        <v>927.62</v>
      </c>
      <c r="H1729" s="55" t="n">
        <v>1768.9</v>
      </c>
      <c r="I1729" s="53" t="n">
        <v>24</v>
      </c>
      <c r="J1729" s="53" t="n">
        <v>35</v>
      </c>
      <c r="K1729" s="53" t="n">
        <v>41</v>
      </c>
      <c r="L1729" s="53" t="n">
        <v>39</v>
      </c>
      <c r="M1729" s="33">
        <f>F1729-E1729</f>
        <v/>
      </c>
      <c r="N1729" s="33">
        <f>L1729-K1729</f>
        <v/>
      </c>
    </row>
    <row r="1730">
      <c r="A1730" s="58" t="inlineStr">
        <is>
          <t>190670 Wine World (A)</t>
        </is>
      </c>
      <c r="B1730" s="58" t="inlineStr">
        <is>
          <t>Morris</t>
        </is>
      </c>
      <c r="C1730" s="58" t="inlineStr">
        <is>
          <t>John O'Donoghue</t>
        </is>
      </c>
      <c r="D1730" s="58" t="inlineStr">
        <is>
          <t>Unmatched</t>
        </is>
      </c>
      <c r="E1730" s="53" t="n">
        <v>14</v>
      </c>
      <c r="F1730" s="53" t="n">
        <v>12</v>
      </c>
      <c r="G1730" s="55" t="n">
        <v>113.1</v>
      </c>
      <c r="H1730" s="55" t="n">
        <v>95.66</v>
      </c>
      <c r="I1730" s="53" t="n">
        <v>287</v>
      </c>
      <c r="J1730" s="53" t="n">
        <v>175</v>
      </c>
      <c r="K1730" s="53" t="n">
        <v>14</v>
      </c>
      <c r="L1730" s="53" t="n">
        <v>12</v>
      </c>
      <c r="M1730" s="33">
        <f>F1730-E1730</f>
        <v/>
      </c>
      <c r="N1730" s="33">
        <f>L1730-K1730</f>
        <v/>
      </c>
    </row>
    <row r="1731">
      <c r="A1731" s="58" t="inlineStr">
        <is>
          <t>33006 Bazzarellis (Z)</t>
        </is>
      </c>
      <c r="B1731" s="58" t="inlineStr">
        <is>
          <t>Bergen</t>
        </is>
      </c>
      <c r="C1731" s="58" t="inlineStr">
        <is>
          <t>Matt Powierski</t>
        </is>
      </c>
      <c r="D1731" s="58" t="inlineStr">
        <is>
          <t>On-premise</t>
        </is>
      </c>
      <c r="E1731" s="53" t="n">
        <v>17</v>
      </c>
      <c r="F1731" s="53" t="n">
        <v>14</v>
      </c>
      <c r="G1731" s="55" t="n">
        <v>140.21</v>
      </c>
      <c r="H1731" s="55" t="n">
        <v>129.72</v>
      </c>
      <c r="I1731" s="53" t="n">
        <v>4</v>
      </c>
      <c r="J1731" s="53" t="n">
        <v>0</v>
      </c>
      <c r="K1731" s="53" t="n">
        <v>5</v>
      </c>
      <c r="L1731" s="53" t="n">
        <v>3</v>
      </c>
      <c r="M1731" s="33">
        <f>F1731-E1731</f>
        <v/>
      </c>
      <c r="N1731" s="33">
        <f>L1731-K1731</f>
        <v/>
      </c>
    </row>
    <row r="1732">
      <c r="A1732" s="58" t="inlineStr">
        <is>
          <t>150041 A&amp;M Liquor</t>
        </is>
      </c>
      <c r="B1732" s="58" t="inlineStr">
        <is>
          <t>Essex</t>
        </is>
      </c>
      <c r="C1732" s="58" t="inlineStr">
        <is>
          <t>Michael Harboy</t>
        </is>
      </c>
      <c r="D1732" s="58" t="inlineStr">
        <is>
          <t>Off-premise</t>
        </is>
      </c>
      <c r="E1732" s="53" t="n">
        <v>29</v>
      </c>
      <c r="F1732" s="53" t="n">
        <v>27</v>
      </c>
      <c r="G1732" s="55" t="n">
        <v>214.71</v>
      </c>
      <c r="H1732" s="55" t="n">
        <v>200.4</v>
      </c>
      <c r="I1732" s="53" t="n">
        <v>111</v>
      </c>
      <c r="J1732" s="53" t="n">
        <v>84</v>
      </c>
      <c r="K1732" s="53" t="n">
        <v>29</v>
      </c>
      <c r="L1732" s="53" t="n">
        <v>27</v>
      </c>
      <c r="M1732" s="33">
        <f>F1732-E1732</f>
        <v/>
      </c>
      <c r="N1732" s="33">
        <f>L1732-K1732</f>
        <v/>
      </c>
    </row>
    <row r="1733">
      <c r="A1733" s="58" t="inlineStr">
        <is>
          <t>94008 Oakland Wine (A)</t>
        </is>
      </c>
      <c r="B1733" s="58" t="inlineStr">
        <is>
          <t>Bergen</t>
        </is>
      </c>
      <c r="C1733" s="58" t="inlineStr">
        <is>
          <t>Mike Ast</t>
        </is>
      </c>
      <c r="D1733" s="58" t="inlineStr">
        <is>
          <t>Off-premise</t>
        </is>
      </c>
      <c r="E1733" s="53" t="n">
        <v>2988</v>
      </c>
      <c r="F1733" s="53" t="n">
        <v>2926</v>
      </c>
      <c r="G1733" s="55" t="n">
        <v>20465.01</v>
      </c>
      <c r="H1733" s="55" t="n">
        <v>20845.07</v>
      </c>
      <c r="I1733" s="53" t="n">
        <v>629</v>
      </c>
      <c r="J1733" s="53" t="n">
        <v>710</v>
      </c>
      <c r="K1733" s="53" t="n">
        <v>412</v>
      </c>
      <c r="L1733" s="53" t="n">
        <v>410</v>
      </c>
      <c r="M1733" s="33">
        <f>F1733-E1733</f>
        <v/>
      </c>
      <c r="N1733" s="33">
        <f>L1733-K1733</f>
        <v/>
      </c>
    </row>
    <row r="1734">
      <c r="A1734" s="58" t="inlineStr">
        <is>
          <t>84007 Steel Wheel Tavern</t>
        </is>
      </c>
      <c r="B1734" s="58" t="inlineStr">
        <is>
          <t>Bergen</t>
        </is>
      </c>
      <c r="C1734" s="58" t="inlineStr">
        <is>
          <t>Mike Ast</t>
        </is>
      </c>
      <c r="D1734" s="58" t="inlineStr">
        <is>
          <t>On-premise</t>
        </is>
      </c>
      <c r="E1734" s="53" t="n">
        <v>280</v>
      </c>
      <c r="F1734" s="53" t="n">
        <v>248</v>
      </c>
      <c r="G1734" s="55" t="n">
        <v>2075.68</v>
      </c>
      <c r="H1734" s="55" t="n">
        <v>2043.79</v>
      </c>
      <c r="I1734" s="53" t="n">
        <v>154</v>
      </c>
      <c r="J1734" s="53" t="n">
        <v>111</v>
      </c>
      <c r="K1734" s="53" t="n">
        <v>57</v>
      </c>
      <c r="L1734" s="53" t="n">
        <v>55</v>
      </c>
      <c r="M1734" s="33">
        <f>F1734-E1734</f>
        <v/>
      </c>
      <c r="N1734" s="33">
        <f>L1734-K1734</f>
        <v/>
      </c>
    </row>
    <row r="1735">
      <c r="A1735" s="58" t="inlineStr">
        <is>
          <t>84012 Bareburger (Ridgewood)</t>
        </is>
      </c>
      <c r="B1735" s="58" t="inlineStr">
        <is>
          <t>Bergen</t>
        </is>
      </c>
      <c r="C1735" s="58" t="inlineStr">
        <is>
          <t>Mike Ast</t>
        </is>
      </c>
      <c r="D1735" s="58" t="inlineStr">
        <is>
          <t>On-premise</t>
        </is>
      </c>
      <c r="E1735" s="53" t="n">
        <v>46</v>
      </c>
      <c r="F1735" s="53" t="n">
        <v>51</v>
      </c>
      <c r="G1735" s="55" t="n">
        <v>411.64</v>
      </c>
      <c r="H1735" s="55" t="n">
        <v>500.59</v>
      </c>
      <c r="I1735" s="53" t="n">
        <v>71</v>
      </c>
      <c r="J1735" s="53" t="n">
        <v>39</v>
      </c>
      <c r="K1735" s="53" t="n">
        <v>21</v>
      </c>
      <c r="L1735" s="53" t="n">
        <v>19</v>
      </c>
      <c r="M1735" s="33">
        <f>F1735-E1735</f>
        <v/>
      </c>
      <c r="N1735" s="33">
        <f>L1735-K1735</f>
        <v/>
      </c>
    </row>
    <row r="1736">
      <c r="A1736" s="58" t="inlineStr">
        <is>
          <t>94012 Holiday Bowl</t>
        </is>
      </c>
      <c r="B1736" s="58" t="inlineStr">
        <is>
          <t>Bergen</t>
        </is>
      </c>
      <c r="C1736" s="58" t="inlineStr">
        <is>
          <t>Nick Melissari</t>
        </is>
      </c>
      <c r="D1736" s="58" t="inlineStr">
        <is>
          <t>On-premise</t>
        </is>
      </c>
      <c r="E1736" s="53" t="n">
        <v>183</v>
      </c>
      <c r="F1736" s="53" t="n">
        <v>162</v>
      </c>
      <c r="G1736" s="55" t="n">
        <v>831.51</v>
      </c>
      <c r="H1736" s="55" t="n">
        <v>802.99</v>
      </c>
      <c r="I1736" s="53" t="n">
        <v>109</v>
      </c>
      <c r="J1736" s="53" t="n">
        <v>179</v>
      </c>
      <c r="K1736" s="53" t="n">
        <v>11</v>
      </c>
      <c r="L1736" s="53" t="n">
        <v>9</v>
      </c>
      <c r="M1736" s="33">
        <f>F1736-E1736</f>
        <v/>
      </c>
      <c r="N1736" s="33">
        <f>L1736-K1736</f>
        <v/>
      </c>
    </row>
    <row r="1737">
      <c r="A1737" s="58" t="inlineStr">
        <is>
          <t>49049 The Metropolitan Lounge</t>
        </is>
      </c>
      <c r="B1737" s="58" t="inlineStr">
        <is>
          <t>Bergen</t>
        </is>
      </c>
      <c r="C1737" s="58" t="inlineStr">
        <is>
          <t>Nick Melissari</t>
        </is>
      </c>
      <c r="D1737" s="58" t="inlineStr">
        <is>
          <t>On-premise</t>
        </is>
      </c>
      <c r="E1737" s="53" t="n">
        <v>65</v>
      </c>
      <c r="F1737" s="53" t="n">
        <v>40</v>
      </c>
      <c r="G1737" s="55" t="n">
        <v>737.8100000000001</v>
      </c>
      <c r="H1737" s="55" t="n">
        <v>443.67</v>
      </c>
      <c r="I1737" s="53" t="n">
        <v>104</v>
      </c>
      <c r="J1737" s="53" t="n">
        <v>102</v>
      </c>
      <c r="K1737" s="53" t="n">
        <v>8</v>
      </c>
      <c r="L1737" s="53" t="n">
        <v>6</v>
      </c>
      <c r="M1737" s="33">
        <f>F1737-E1737</f>
        <v/>
      </c>
      <c r="N1737" s="33">
        <f>L1737-K1737</f>
        <v/>
      </c>
    </row>
    <row r="1738">
      <c r="A1738" s="58" t="inlineStr">
        <is>
          <t>80031 Grand Lux Cafe (A)</t>
        </is>
      </c>
      <c r="B1738" s="58" t="inlineStr">
        <is>
          <t>Bergen</t>
        </is>
      </c>
      <c r="C1738" s="58" t="inlineStr">
        <is>
          <t>Nick Melissari</t>
        </is>
      </c>
      <c r="D1738" s="58" t="inlineStr">
        <is>
          <t>On-premise</t>
        </is>
      </c>
      <c r="E1738" s="53" t="n">
        <v>56</v>
      </c>
      <c r="F1738" s="53" t="n">
        <v>56</v>
      </c>
      <c r="G1738" s="55" t="n">
        <v>540.38</v>
      </c>
      <c r="H1738" s="55" t="n">
        <v>435.35</v>
      </c>
      <c r="I1738" s="53" t="n">
        <v>8</v>
      </c>
      <c r="J1738" s="53" t="n">
        <v>11</v>
      </c>
      <c r="K1738" s="53" t="n">
        <v>18</v>
      </c>
      <c r="L1738" s="53" t="n">
        <v>16</v>
      </c>
      <c r="M1738" s="33">
        <f>F1738-E1738</f>
        <v/>
      </c>
      <c r="N1738" s="33">
        <f>L1738-K1738</f>
        <v/>
      </c>
    </row>
    <row r="1739">
      <c r="A1739" s="58" t="inlineStr">
        <is>
          <t>32026 Gianna's (Z)</t>
        </is>
      </c>
      <c r="B1739" s="58" t="inlineStr">
        <is>
          <t>Bergen</t>
        </is>
      </c>
      <c r="C1739" s="58" t="inlineStr">
        <is>
          <t>Nick Melissari</t>
        </is>
      </c>
      <c r="D1739" s="58" t="inlineStr">
        <is>
          <t>On-premise</t>
        </is>
      </c>
      <c r="E1739" s="53" t="n">
        <v>19</v>
      </c>
      <c r="F1739" s="53" t="n">
        <v>25</v>
      </c>
      <c r="G1739" s="55" t="n">
        <v>167.71</v>
      </c>
      <c r="H1739" s="55" t="n">
        <v>237.9</v>
      </c>
      <c r="I1739" s="53" t="n">
        <v>1</v>
      </c>
      <c r="J1739" s="53" t="n">
        <v>0</v>
      </c>
      <c r="K1739" s="53" t="n">
        <v>10</v>
      </c>
      <c r="L1739" s="53" t="n">
        <v>8</v>
      </c>
      <c r="M1739" s="33">
        <f>F1739-E1739</f>
        <v/>
      </c>
      <c r="N1739" s="33">
        <f>L1739-K1739</f>
        <v/>
      </c>
    </row>
    <row r="1740">
      <c r="A1740" s="58" t="inlineStr">
        <is>
          <t>80042 Olive Garden Paramus</t>
        </is>
      </c>
      <c r="B1740" s="58" t="inlineStr">
        <is>
          <t>Bergen</t>
        </is>
      </c>
      <c r="C1740" s="58" t="inlineStr">
        <is>
          <t>Nick Melissari</t>
        </is>
      </c>
      <c r="D1740" s="58" t="inlineStr">
        <is>
          <t>On-premise</t>
        </is>
      </c>
      <c r="E1740" s="53" t="n">
        <v>68</v>
      </c>
      <c r="F1740" s="53" t="n">
        <v>87</v>
      </c>
      <c r="G1740" s="55" t="n">
        <v>784.73</v>
      </c>
      <c r="H1740" s="55" t="n">
        <v>988.4299999999998</v>
      </c>
      <c r="I1740" s="53" t="n">
        <v>6</v>
      </c>
      <c r="J1740" s="53" t="n">
        <v>4</v>
      </c>
      <c r="K1740" s="53" t="n">
        <v>7</v>
      </c>
      <c r="L1740" s="53" t="n">
        <v>5</v>
      </c>
      <c r="M1740" s="33">
        <f>F1740-E1740</f>
        <v/>
      </c>
      <c r="N1740" s="33">
        <f>L1740-K1740</f>
        <v/>
      </c>
    </row>
    <row r="1741">
      <c r="A1741" s="58" t="inlineStr">
        <is>
          <t>94003 Segovia Tavern</t>
        </is>
      </c>
      <c r="B1741" s="58" t="inlineStr">
        <is>
          <t>Bergen</t>
        </is>
      </c>
      <c r="C1741" s="58" t="inlineStr">
        <is>
          <t>Nick Melissari</t>
        </is>
      </c>
      <c r="D1741" s="58" t="inlineStr">
        <is>
          <t>On-premise</t>
        </is>
      </c>
      <c r="E1741" s="53" t="n">
        <v>137</v>
      </c>
      <c r="F1741" s="53" t="n">
        <v>109</v>
      </c>
      <c r="G1741" s="55" t="n">
        <v>963.75</v>
      </c>
      <c r="H1741" s="55" t="n">
        <v>870.38</v>
      </c>
      <c r="I1741" s="53" t="n">
        <v>67</v>
      </c>
      <c r="J1741" s="53" t="n">
        <v>58</v>
      </c>
      <c r="K1741" s="53" t="n">
        <v>36</v>
      </c>
      <c r="L1741" s="53" t="n">
        <v>34</v>
      </c>
      <c r="M1741" s="33">
        <f>F1741-E1741</f>
        <v/>
      </c>
      <c r="N1741" s="33">
        <f>L1741-K1741</f>
        <v/>
      </c>
    </row>
    <row r="1742">
      <c r="A1742" s="58" t="inlineStr">
        <is>
          <t>49021 Hyatt Place Fort Lee</t>
        </is>
      </c>
      <c r="B1742" s="58" t="inlineStr">
        <is>
          <t>Bergen</t>
        </is>
      </c>
      <c r="C1742" s="58" t="inlineStr">
        <is>
          <t>Nick Melissari</t>
        </is>
      </c>
      <c r="D1742" s="58" t="inlineStr">
        <is>
          <t>On-premise</t>
        </is>
      </c>
      <c r="E1742" s="53" t="n">
        <v>17</v>
      </c>
      <c r="F1742" s="53" t="n">
        <v>0</v>
      </c>
      <c r="G1742" s="55" t="n">
        <v>177.71</v>
      </c>
      <c r="H1742" s="55" t="n">
        <v>0</v>
      </c>
      <c r="I1742" s="53" t="n">
        <v>5</v>
      </c>
      <c r="J1742" s="53" t="n">
        <v>0</v>
      </c>
      <c r="K1742" s="53" t="n">
        <v>2</v>
      </c>
      <c r="L1742" s="53" t="n">
        <v>0</v>
      </c>
      <c r="M1742" s="33">
        <f>F1742-E1742</f>
        <v/>
      </c>
      <c r="N1742" s="33">
        <f>L1742-K1742</f>
        <v/>
      </c>
    </row>
    <row r="1743">
      <c r="A1743" s="58" t="inlineStr">
        <is>
          <t>28024 N Arlington Bowl O Drome</t>
        </is>
      </c>
      <c r="B1743" s="58" t="inlineStr">
        <is>
          <t>Bergen</t>
        </is>
      </c>
      <c r="C1743" s="58" t="inlineStr">
        <is>
          <t>Nick Melissari</t>
        </is>
      </c>
      <c r="D1743" s="58" t="inlineStr">
        <is>
          <t>On-premise</t>
        </is>
      </c>
      <c r="E1743" s="53" t="n">
        <v>129</v>
      </c>
      <c r="F1743" s="53" t="n">
        <v>78</v>
      </c>
      <c r="G1743" s="55" t="n">
        <v>901.2099999999999</v>
      </c>
      <c r="H1743" s="55" t="n">
        <v>631.64</v>
      </c>
      <c r="I1743" s="53" t="n">
        <v>18</v>
      </c>
      <c r="J1743" s="53" t="n">
        <v>37</v>
      </c>
      <c r="K1743" s="53" t="n">
        <v>3</v>
      </c>
      <c r="L1743" s="53" t="n">
        <v>1</v>
      </c>
      <c r="M1743" s="33">
        <f>F1743-E1743</f>
        <v/>
      </c>
      <c r="N1743" s="33">
        <f>L1743-K1743</f>
        <v/>
      </c>
    </row>
    <row r="1744">
      <c r="A1744" s="58" t="inlineStr">
        <is>
          <t>80057 On The Border Paramus</t>
        </is>
      </c>
      <c r="B1744" s="58" t="inlineStr">
        <is>
          <t>Bergen</t>
        </is>
      </c>
      <c r="C1744" s="58" t="inlineStr">
        <is>
          <t>Nick Melissari</t>
        </is>
      </c>
      <c r="D1744" s="58" t="inlineStr">
        <is>
          <t>On-premise</t>
        </is>
      </c>
      <c r="E1744" s="53" t="n">
        <v>39</v>
      </c>
      <c r="F1744" s="53" t="n">
        <v>0</v>
      </c>
      <c r="G1744" s="55" t="n">
        <v>301.68</v>
      </c>
      <c r="H1744" s="55" t="n">
        <v>0</v>
      </c>
      <c r="I1744" s="53" t="n">
        <v>34</v>
      </c>
      <c r="J1744" s="53" t="n">
        <v>0</v>
      </c>
      <c r="K1744" s="53" t="n">
        <v>2</v>
      </c>
      <c r="L1744" s="53" t="n">
        <v>0</v>
      </c>
      <c r="M1744" s="33">
        <f>F1744-E1744</f>
        <v/>
      </c>
      <c r="N1744" s="33">
        <f>L1744-K1744</f>
        <v/>
      </c>
    </row>
    <row r="1745">
      <c r="A1745" s="58" t="inlineStr">
        <is>
          <t>20046 Circle Cafe (A)</t>
        </is>
      </c>
      <c r="B1745" s="58" t="inlineStr">
        <is>
          <t>Passaic</t>
        </is>
      </c>
      <c r="C1745" s="58" t="inlineStr">
        <is>
          <t>Pablo Lopez</t>
        </is>
      </c>
      <c r="D1745" s="58" t="inlineStr">
        <is>
          <t>On-premise</t>
        </is>
      </c>
      <c r="E1745" s="53" t="n">
        <v>1255</v>
      </c>
      <c r="F1745" s="53" t="n">
        <v>1014</v>
      </c>
      <c r="G1745" s="55" t="n">
        <v>8822.5</v>
      </c>
      <c r="H1745" s="55" t="n">
        <v>7267.16</v>
      </c>
      <c r="I1745" s="53" t="n">
        <v>0</v>
      </c>
      <c r="J1745" s="53" t="n">
        <v>0</v>
      </c>
      <c r="K1745" s="53" t="n">
        <v>27</v>
      </c>
      <c r="L1745" s="53" t="n">
        <v>25</v>
      </c>
      <c r="M1745" s="33">
        <f>F1745-E1745</f>
        <v/>
      </c>
      <c r="N1745" s="33">
        <f>L1745-K1745</f>
        <v/>
      </c>
    </row>
    <row r="1746">
      <c r="A1746" s="58" t="inlineStr">
        <is>
          <t>41008 Noches De Colombia (Hackensack)</t>
        </is>
      </c>
      <c r="B1746" s="58" t="inlineStr">
        <is>
          <t>Bergen</t>
        </is>
      </c>
      <c r="C1746" s="58" t="inlineStr">
        <is>
          <t>Pablo Lopez</t>
        </is>
      </c>
      <c r="D1746" s="58" t="inlineStr">
        <is>
          <t>On-premise</t>
        </is>
      </c>
      <c r="E1746" s="53" t="n">
        <v>337</v>
      </c>
      <c r="F1746" s="53" t="n">
        <v>390</v>
      </c>
      <c r="G1746" s="55" t="n">
        <v>3405.53</v>
      </c>
      <c r="H1746" s="55" t="n">
        <v>3800.670000000001</v>
      </c>
      <c r="I1746" s="53" t="n">
        <v>48</v>
      </c>
      <c r="J1746" s="53" t="n">
        <v>87</v>
      </c>
      <c r="K1746" s="53" t="n">
        <v>12</v>
      </c>
      <c r="L1746" s="53" t="n">
        <v>10</v>
      </c>
      <c r="M1746" s="33">
        <f>F1746-E1746</f>
        <v/>
      </c>
      <c r="N1746" s="33">
        <f>L1746-K1746</f>
        <v/>
      </c>
    </row>
    <row r="1747">
      <c r="A1747" s="58" t="inlineStr">
        <is>
          <t>74008 MeltToba Restaurant</t>
        </is>
      </c>
      <c r="B1747" s="58" t="inlineStr">
        <is>
          <t>Bergen</t>
        </is>
      </c>
      <c r="C1747" s="58" t="inlineStr">
        <is>
          <t>Paul Mclaughlin</t>
        </is>
      </c>
      <c r="D1747" s="58" t="inlineStr">
        <is>
          <t>On-premise</t>
        </is>
      </c>
      <c r="E1747" s="53" t="n">
        <v>-1</v>
      </c>
      <c r="F1747" s="53" t="n">
        <v>2</v>
      </c>
      <c r="G1747" s="55" t="n">
        <v>26.88</v>
      </c>
      <c r="H1747" s="55" t="n">
        <v>27.68</v>
      </c>
      <c r="I1747" s="53" t="n">
        <v>0</v>
      </c>
      <c r="J1747" s="53" t="n">
        <v>0</v>
      </c>
      <c r="K1747" s="53" t="n">
        <v>4</v>
      </c>
      <c r="L1747" s="53" t="n">
        <v>2</v>
      </c>
      <c r="M1747" s="33">
        <f>F1747-E1747</f>
        <v/>
      </c>
      <c r="N1747" s="33">
        <f>L1747-K1747</f>
        <v/>
      </c>
    </row>
    <row r="1748">
      <c r="A1748" s="58" t="inlineStr">
        <is>
          <t>40032 Side Bar</t>
        </is>
      </c>
      <c r="B1748" s="58" t="inlineStr">
        <is>
          <t>Bergen</t>
        </is>
      </c>
      <c r="C1748" s="58" t="inlineStr">
        <is>
          <t>Paul Mclaughlin</t>
        </is>
      </c>
      <c r="D1748" s="58" t="inlineStr">
        <is>
          <t>Unmatched</t>
        </is>
      </c>
      <c r="E1748" s="53" t="n">
        <v>155</v>
      </c>
      <c r="F1748" s="53" t="n">
        <v>209</v>
      </c>
      <c r="G1748" s="55" t="n">
        <v>1424.36</v>
      </c>
      <c r="H1748" s="55" t="n">
        <v>1807.39</v>
      </c>
      <c r="I1748" s="53" t="n">
        <v>32</v>
      </c>
      <c r="J1748" s="53" t="n">
        <v>35</v>
      </c>
      <c r="K1748" s="53" t="n">
        <v>7</v>
      </c>
      <c r="L1748" s="53" t="n">
        <v>5</v>
      </c>
      <c r="M1748" s="33">
        <f>F1748-E1748</f>
        <v/>
      </c>
      <c r="N1748" s="33">
        <f>L1748-K1748</f>
        <v/>
      </c>
    </row>
    <row r="1749">
      <c r="A1749" s="58" t="inlineStr">
        <is>
          <t>86002 Doghouse Saloon (Z)</t>
        </is>
      </c>
      <c r="B1749" s="58" t="inlineStr">
        <is>
          <t>Bergen</t>
        </is>
      </c>
      <c r="C1749" s="58" t="inlineStr">
        <is>
          <t>Paul Mclaughlin</t>
        </is>
      </c>
      <c r="D1749" s="58" t="inlineStr">
        <is>
          <t>On-premise</t>
        </is>
      </c>
      <c r="E1749" s="53" t="n">
        <v>225</v>
      </c>
      <c r="F1749" s="53" t="n">
        <v>261</v>
      </c>
      <c r="G1749" s="55" t="n">
        <v>1887.72</v>
      </c>
      <c r="H1749" s="55" t="n">
        <v>2087.3</v>
      </c>
      <c r="I1749" s="53" t="n">
        <v>91</v>
      </c>
      <c r="J1749" s="53" t="n">
        <v>121</v>
      </c>
      <c r="K1749" s="53" t="n">
        <v>27</v>
      </c>
      <c r="L1749" s="53" t="n">
        <v>25</v>
      </c>
      <c r="M1749" s="33">
        <f>F1749-E1749</f>
        <v/>
      </c>
      <c r="N1749" s="33">
        <f>L1749-K1749</f>
        <v/>
      </c>
    </row>
    <row r="1750">
      <c r="A1750" s="58" t="inlineStr">
        <is>
          <t>50004 Bistro Taino</t>
        </is>
      </c>
      <c r="B1750" s="58" t="inlineStr">
        <is>
          <t>Bergen</t>
        </is>
      </c>
      <c r="C1750" s="58" t="inlineStr">
        <is>
          <t>Paul Mclaughlin</t>
        </is>
      </c>
      <c r="D1750" s="58" t="inlineStr">
        <is>
          <t>Unmatched</t>
        </is>
      </c>
      <c r="E1750" s="53" t="n">
        <v>29</v>
      </c>
      <c r="F1750" s="53" t="n">
        <v>10</v>
      </c>
      <c r="G1750" s="55" t="n">
        <v>305.79</v>
      </c>
      <c r="H1750" s="55" t="n">
        <v>104.7</v>
      </c>
      <c r="I1750" s="53" t="n">
        <v>0</v>
      </c>
      <c r="J1750" s="53" t="n">
        <v>0</v>
      </c>
      <c r="K1750" s="53" t="n">
        <v>2</v>
      </c>
      <c r="L1750" s="53" t="n">
        <v>0</v>
      </c>
      <c r="M1750" s="33">
        <f>F1750-E1750</f>
        <v/>
      </c>
      <c r="N1750" s="33">
        <f>L1750-K1750</f>
        <v/>
      </c>
    </row>
    <row r="1751">
      <c r="A1751" s="58" t="inlineStr">
        <is>
          <t>62002 Rudy's Pizzeria (P)</t>
        </is>
      </c>
      <c r="B1751" s="58" t="inlineStr">
        <is>
          <t>Bergen</t>
        </is>
      </c>
      <c r="C1751" s="58" t="inlineStr">
        <is>
          <t>Paul Mclaughlin</t>
        </is>
      </c>
      <c r="D1751" s="58" t="inlineStr">
        <is>
          <t>On-premise</t>
        </is>
      </c>
      <c r="E1751" s="53" t="n">
        <v>25</v>
      </c>
      <c r="F1751" s="53" t="n">
        <v>24</v>
      </c>
      <c r="G1751" s="55" t="n">
        <v>236.84</v>
      </c>
      <c r="H1751" s="55" t="n">
        <v>223.64</v>
      </c>
      <c r="I1751" s="53" t="n">
        <v>7</v>
      </c>
      <c r="J1751" s="53" t="n">
        <v>4</v>
      </c>
      <c r="K1751" s="53" t="n">
        <v>9</v>
      </c>
      <c r="L1751" s="53" t="n">
        <v>7</v>
      </c>
      <c r="M1751" s="33">
        <f>F1751-E1751</f>
        <v/>
      </c>
      <c r="N1751" s="33">
        <f>L1751-K1751</f>
        <v/>
      </c>
    </row>
    <row r="1752">
      <c r="A1752" s="58" t="inlineStr">
        <is>
          <t>81007 Davia (P)</t>
        </is>
      </c>
      <c r="B1752" s="58" t="inlineStr">
        <is>
          <t>Bergen</t>
        </is>
      </c>
      <c r="C1752" s="58" t="inlineStr">
        <is>
          <t>Paul Mclaughlin</t>
        </is>
      </c>
      <c r="D1752" s="58" t="inlineStr">
        <is>
          <t>Unmatched</t>
        </is>
      </c>
      <c r="E1752" s="53" t="n">
        <v>17</v>
      </c>
      <c r="F1752" s="53" t="n">
        <v>0</v>
      </c>
      <c r="G1752" s="55" t="n">
        <v>160.4</v>
      </c>
      <c r="H1752" s="55" t="n">
        <v>0</v>
      </c>
      <c r="I1752" s="53" t="n">
        <v>7</v>
      </c>
      <c r="J1752" s="53" t="n">
        <v>0</v>
      </c>
      <c r="K1752" s="53" t="n">
        <v>2</v>
      </c>
      <c r="L1752" s="53" t="n">
        <v>0</v>
      </c>
      <c r="M1752" s="33">
        <f>F1752-E1752</f>
        <v/>
      </c>
      <c r="N1752" s="33">
        <f>L1752-K1752</f>
        <v/>
      </c>
    </row>
    <row r="1753">
      <c r="A1753" s="58" t="inlineStr">
        <is>
          <t>55005 Cresskill Tavern</t>
        </is>
      </c>
      <c r="B1753" s="58" t="inlineStr">
        <is>
          <t>Bergen</t>
        </is>
      </c>
      <c r="C1753" s="58" t="inlineStr">
        <is>
          <t>Paul Mclaughlin</t>
        </is>
      </c>
      <c r="D1753" s="58" t="inlineStr">
        <is>
          <t>On-premise</t>
        </is>
      </c>
      <c r="E1753" s="53" t="n">
        <v>254</v>
      </c>
      <c r="F1753" s="53" t="n">
        <v>210</v>
      </c>
      <c r="G1753" s="55" t="n">
        <v>1856.67</v>
      </c>
      <c r="H1753" s="55" t="n">
        <v>1627.7</v>
      </c>
      <c r="I1753" s="53" t="n">
        <v>73</v>
      </c>
      <c r="J1753" s="53" t="n">
        <v>38</v>
      </c>
      <c r="K1753" s="53" t="n">
        <v>19</v>
      </c>
      <c r="L1753" s="53" t="n">
        <v>17</v>
      </c>
      <c r="M1753" s="33">
        <f>F1753-E1753</f>
        <v/>
      </c>
      <c r="N1753" s="33">
        <f>L1753-K1753</f>
        <v/>
      </c>
    </row>
    <row r="1754">
      <c r="A1754" s="58" t="inlineStr">
        <is>
          <t>74012 Iron Horse</t>
        </is>
      </c>
      <c r="B1754" s="58" t="inlineStr">
        <is>
          <t>Bergen</t>
        </is>
      </c>
      <c r="C1754" s="58" t="inlineStr">
        <is>
          <t>Paul Mclaughlin</t>
        </is>
      </c>
      <c r="D1754" s="58" t="inlineStr">
        <is>
          <t>On-premise</t>
        </is>
      </c>
      <c r="E1754" s="53" t="n">
        <v>80</v>
      </c>
      <c r="F1754" s="53" t="n">
        <v>66</v>
      </c>
      <c r="G1754" s="55" t="n">
        <v>662.78</v>
      </c>
      <c r="H1754" s="55" t="n">
        <v>503.09</v>
      </c>
      <c r="I1754" s="53" t="n">
        <v>48</v>
      </c>
      <c r="J1754" s="53" t="n">
        <v>24</v>
      </c>
      <c r="K1754" s="53" t="n">
        <v>3</v>
      </c>
      <c r="L1754" s="53" t="n">
        <v>1</v>
      </c>
      <c r="M1754" s="33">
        <f>F1754-E1754</f>
        <v/>
      </c>
      <c r="N1754" s="33">
        <f>L1754-K1754</f>
        <v/>
      </c>
    </row>
    <row r="1755">
      <c r="A1755" s="58" t="inlineStr">
        <is>
          <t>41022 Coach House Diner/Rest(Z)</t>
        </is>
      </c>
      <c r="B1755" s="58" t="inlineStr">
        <is>
          <t>Bergen</t>
        </is>
      </c>
      <c r="C1755" s="58" t="inlineStr">
        <is>
          <t>Paul Mclaughlin</t>
        </is>
      </c>
      <c r="D1755" s="58" t="inlineStr">
        <is>
          <t>On-premise</t>
        </is>
      </c>
      <c r="E1755" s="53" t="n">
        <v>31</v>
      </c>
      <c r="F1755" s="53" t="n">
        <v>0</v>
      </c>
      <c r="G1755" s="55" t="n">
        <v>341.51</v>
      </c>
      <c r="H1755" s="55" t="n">
        <v>0</v>
      </c>
      <c r="I1755" s="53" t="n">
        <v>0</v>
      </c>
      <c r="J1755" s="53" t="n">
        <v>0</v>
      </c>
      <c r="K1755" s="53" t="n">
        <v>2</v>
      </c>
      <c r="L1755" s="53" t="n">
        <v>0</v>
      </c>
      <c r="M1755" s="33">
        <f>F1755-E1755</f>
        <v/>
      </c>
      <c r="N1755" s="33">
        <f>L1755-K1755</f>
        <v/>
      </c>
    </row>
    <row r="1756">
      <c r="A1756" s="58" t="inlineStr">
        <is>
          <t>40019 Budy's Wine &amp; Liq (A)</t>
        </is>
      </c>
      <c r="B1756" s="58" t="inlineStr">
        <is>
          <t>Bergen</t>
        </is>
      </c>
      <c r="C1756" s="58" t="inlineStr">
        <is>
          <t>Phil Ernst</t>
        </is>
      </c>
      <c r="D1756" s="58" t="inlineStr">
        <is>
          <t>Off-premise</t>
        </is>
      </c>
      <c r="E1756" s="53" t="n">
        <v>5906</v>
      </c>
      <c r="F1756" s="53" t="n">
        <v>5225</v>
      </c>
      <c r="G1756" s="55" t="n">
        <v>40312.65</v>
      </c>
      <c r="H1756" s="55" t="n">
        <v>35563.33000000001</v>
      </c>
      <c r="I1756" s="53" t="n">
        <v>356</v>
      </c>
      <c r="J1756" s="53" t="n">
        <v>317</v>
      </c>
      <c r="K1756" s="53" t="n">
        <v>497</v>
      </c>
      <c r="L1756" s="53" t="n">
        <v>495</v>
      </c>
      <c r="M1756" s="33">
        <f>F1756-E1756</f>
        <v/>
      </c>
      <c r="N1756" s="33">
        <f>L1756-K1756</f>
        <v/>
      </c>
    </row>
    <row r="1757">
      <c r="A1757" s="58" t="inlineStr">
        <is>
          <t>58008 K Of C River Edge</t>
        </is>
      </c>
      <c r="B1757" s="58" t="inlineStr">
        <is>
          <t>Bergen</t>
        </is>
      </c>
      <c r="C1757" s="58" t="inlineStr">
        <is>
          <t>Robin Feldman</t>
        </is>
      </c>
      <c r="D1757" s="58" t="inlineStr">
        <is>
          <t>On-premise</t>
        </is>
      </c>
      <c r="E1757" s="53" t="n">
        <v>115</v>
      </c>
      <c r="F1757" s="53" t="n">
        <v>92</v>
      </c>
      <c r="G1757" s="55" t="n">
        <v>563.29</v>
      </c>
      <c r="H1757" s="55" t="n">
        <v>464.23</v>
      </c>
      <c r="I1757" s="53" t="n">
        <v>2</v>
      </c>
      <c r="J1757" s="53" t="n">
        <v>1</v>
      </c>
      <c r="K1757" s="53" t="n">
        <v>2</v>
      </c>
      <c r="L1757" s="53" t="n">
        <v>0</v>
      </c>
      <c r="M1757" s="33">
        <f>F1757-E1757</f>
        <v/>
      </c>
      <c r="N1757" s="33">
        <f>L1757-K1757</f>
        <v/>
      </c>
    </row>
    <row r="1758">
      <c r="A1758" s="58" t="inlineStr">
        <is>
          <t>12066 Residence Inn</t>
        </is>
      </c>
      <c r="B1758" s="58" t="inlineStr">
        <is>
          <t>Passaic</t>
        </is>
      </c>
      <c r="C1758" s="58" t="inlineStr">
        <is>
          <t>Robin Feldman</t>
        </is>
      </c>
      <c r="D1758" s="58" t="inlineStr">
        <is>
          <t>On-premise</t>
        </is>
      </c>
      <c r="E1758" s="53" t="n">
        <v>9</v>
      </c>
      <c r="F1758" s="53" t="n">
        <v>8</v>
      </c>
      <c r="G1758" s="55" t="n">
        <v>125.93</v>
      </c>
      <c r="H1758" s="55" t="n">
        <v>86.38</v>
      </c>
      <c r="I1758" s="53" t="n">
        <v>1</v>
      </c>
      <c r="J1758" s="53" t="n">
        <v>2</v>
      </c>
      <c r="K1758" s="53" t="n">
        <v>4</v>
      </c>
      <c r="L1758" s="53" t="n">
        <v>2</v>
      </c>
      <c r="M1758" s="33">
        <f>F1758-E1758</f>
        <v/>
      </c>
      <c r="N1758" s="33">
        <f>L1758-K1758</f>
        <v/>
      </c>
    </row>
    <row r="1759">
      <c r="A1759" s="58" t="inlineStr">
        <is>
          <t>18007 The Tides</t>
        </is>
      </c>
      <c r="B1759" s="58" t="inlineStr">
        <is>
          <t>Passaic</t>
        </is>
      </c>
      <c r="C1759" s="58" t="inlineStr">
        <is>
          <t>Robin Feldman</t>
        </is>
      </c>
      <c r="D1759" s="58" t="inlineStr">
        <is>
          <t>On-premise</t>
        </is>
      </c>
      <c r="E1759" s="53" t="n">
        <v>84</v>
      </c>
      <c r="F1759" s="53" t="n">
        <v>51</v>
      </c>
      <c r="G1759" s="55" t="n">
        <v>759.28</v>
      </c>
      <c r="H1759" s="55" t="n">
        <v>501.53</v>
      </c>
      <c r="I1759" s="53" t="n">
        <v>0</v>
      </c>
      <c r="J1759" s="53" t="n">
        <v>3</v>
      </c>
      <c r="K1759" s="53" t="n">
        <v>4</v>
      </c>
      <c r="L1759" s="53" t="n">
        <v>2</v>
      </c>
      <c r="M1759" s="33">
        <f>F1759-E1759</f>
        <v/>
      </c>
      <c r="N1759" s="33">
        <f>L1759-K1759</f>
        <v/>
      </c>
    </row>
    <row r="1760">
      <c r="A1760" s="58" t="inlineStr">
        <is>
          <t>49067 Taverna Veranda</t>
        </is>
      </c>
      <c r="B1760" s="58" t="inlineStr">
        <is>
          <t>Bergen</t>
        </is>
      </c>
      <c r="C1760" s="58" t="inlineStr">
        <is>
          <t>Robin Feldman</t>
        </is>
      </c>
      <c r="D1760" s="58" t="inlineStr">
        <is>
          <t>Unmatched</t>
        </is>
      </c>
      <c r="E1760" s="53" t="n">
        <v>69</v>
      </c>
      <c r="F1760" s="53" t="n">
        <v>66</v>
      </c>
      <c r="G1760" s="55" t="n">
        <v>641.79</v>
      </c>
      <c r="H1760" s="55" t="n">
        <v>614.64</v>
      </c>
      <c r="I1760" s="53" t="n">
        <v>12</v>
      </c>
      <c r="J1760" s="53" t="n">
        <v>9</v>
      </c>
      <c r="K1760" s="53" t="n">
        <v>42</v>
      </c>
      <c r="L1760" s="53" t="n">
        <v>40</v>
      </c>
      <c r="M1760" s="33">
        <f>F1760-E1760</f>
        <v/>
      </c>
      <c r="N1760" s="33">
        <f>L1760-K1760</f>
        <v/>
      </c>
    </row>
    <row r="1761">
      <c r="A1761" s="58" t="inlineStr">
        <is>
          <t>50028 Amarone (P)</t>
        </is>
      </c>
      <c r="B1761" s="58" t="inlineStr">
        <is>
          <t>Bergen</t>
        </is>
      </c>
      <c r="C1761" s="58" t="inlineStr">
        <is>
          <t>Robin Feldman</t>
        </is>
      </c>
      <c r="D1761" s="58" t="inlineStr">
        <is>
          <t>On-premise</t>
        </is>
      </c>
      <c r="E1761" s="53" t="n">
        <v>19</v>
      </c>
      <c r="F1761" s="53" t="n">
        <v>20</v>
      </c>
      <c r="G1761" s="55" t="n">
        <v>182.77</v>
      </c>
      <c r="H1761" s="55" t="n">
        <v>203.33</v>
      </c>
      <c r="I1761" s="53" t="n">
        <v>1</v>
      </c>
      <c r="J1761" s="53" t="n">
        <v>2</v>
      </c>
      <c r="K1761" s="53" t="n">
        <v>13</v>
      </c>
      <c r="L1761" s="53" t="n">
        <v>11</v>
      </c>
      <c r="M1761" s="33">
        <f>F1761-E1761</f>
        <v/>
      </c>
      <c r="N1761" s="33">
        <f>L1761-K1761</f>
        <v/>
      </c>
    </row>
    <row r="1762">
      <c r="A1762" s="58" t="inlineStr">
        <is>
          <t>52023 Jerry's Outlet</t>
        </is>
      </c>
      <c r="B1762" s="58" t="inlineStr">
        <is>
          <t>Bergen</t>
        </is>
      </c>
      <c r="C1762" s="58" t="inlineStr">
        <is>
          <t>Robin Feldman</t>
        </is>
      </c>
      <c r="D1762" s="58" t="inlineStr">
        <is>
          <t>Off-premise</t>
        </is>
      </c>
      <c r="E1762" s="53" t="n">
        <v>109</v>
      </c>
      <c r="F1762" s="53" t="n">
        <v>88</v>
      </c>
      <c r="G1762" s="55" t="n">
        <v>904.9899999999999</v>
      </c>
      <c r="H1762" s="55" t="n">
        <v>647.29</v>
      </c>
      <c r="I1762" s="53" t="n">
        <v>32</v>
      </c>
      <c r="J1762" s="53" t="n">
        <v>46</v>
      </c>
      <c r="K1762" s="53" t="n">
        <v>47</v>
      </c>
      <c r="L1762" s="53" t="n">
        <v>45</v>
      </c>
      <c r="M1762" s="33">
        <f>F1762-E1762</f>
        <v/>
      </c>
      <c r="N1762" s="33">
        <f>L1762-K1762</f>
        <v/>
      </c>
    </row>
    <row r="1763">
      <c r="A1763" s="58" t="inlineStr">
        <is>
          <t>191815 Eastern Asian Bistro/Bar</t>
        </is>
      </c>
      <c r="B1763" s="58" t="inlineStr">
        <is>
          <t>Morris</t>
        </is>
      </c>
      <c r="C1763" s="58" t="inlineStr">
        <is>
          <t>Robin Feldman</t>
        </is>
      </c>
      <c r="D1763" s="58" t="inlineStr">
        <is>
          <t>On-premise</t>
        </is>
      </c>
      <c r="E1763" s="53" t="n">
        <v>102</v>
      </c>
      <c r="F1763" s="53" t="n">
        <v>136</v>
      </c>
      <c r="G1763" s="55" t="n">
        <v>601.7099999999999</v>
      </c>
      <c r="H1763" s="55" t="n">
        <v>826.17</v>
      </c>
      <c r="I1763" s="53" t="n">
        <v>12</v>
      </c>
      <c r="J1763" s="53" t="n">
        <v>4</v>
      </c>
      <c r="K1763" s="53" t="n">
        <v>2</v>
      </c>
      <c r="L1763" s="53" t="n">
        <v>0</v>
      </c>
      <c r="M1763" s="33">
        <f>F1763-E1763</f>
        <v/>
      </c>
      <c r="N1763" s="33">
        <f>L1763-K1763</f>
        <v/>
      </c>
    </row>
    <row r="1764">
      <c r="A1764" s="58" t="inlineStr">
        <is>
          <t>54017 Tenafly Classic Diner</t>
        </is>
      </c>
      <c r="B1764" s="58" t="inlineStr">
        <is>
          <t>Bergen</t>
        </is>
      </c>
      <c r="C1764" s="58" t="inlineStr">
        <is>
          <t>Robin Feldman</t>
        </is>
      </c>
      <c r="D1764" s="58" t="inlineStr">
        <is>
          <t>On-premise</t>
        </is>
      </c>
      <c r="E1764" s="53" t="n">
        <v>15</v>
      </c>
      <c r="F1764" s="53" t="n">
        <v>7</v>
      </c>
      <c r="G1764" s="55" t="n">
        <v>162.52</v>
      </c>
      <c r="H1764" s="55" t="n">
        <v>75.34</v>
      </c>
      <c r="I1764" s="53" t="n">
        <v>5</v>
      </c>
      <c r="J1764" s="53" t="n">
        <v>3</v>
      </c>
      <c r="K1764" s="53" t="n">
        <v>2</v>
      </c>
      <c r="L1764" s="53" t="n">
        <v>0</v>
      </c>
      <c r="M1764" s="33">
        <f>F1764-E1764</f>
        <v/>
      </c>
      <c r="N1764" s="33">
        <f>L1764-K1764</f>
        <v/>
      </c>
    </row>
    <row r="1765">
      <c r="A1765" s="58" t="inlineStr">
        <is>
          <t>28015 K Of C N Arlington (Z)</t>
        </is>
      </c>
      <c r="B1765" s="58" t="inlineStr">
        <is>
          <t>Bergen</t>
        </is>
      </c>
      <c r="C1765" s="58" t="inlineStr">
        <is>
          <t>Robin Feldman</t>
        </is>
      </c>
      <c r="D1765" s="58" t="inlineStr">
        <is>
          <t>On-premise</t>
        </is>
      </c>
      <c r="E1765" s="53" t="n">
        <v>98</v>
      </c>
      <c r="F1765" s="53" t="n">
        <v>93</v>
      </c>
      <c r="G1765" s="55" t="n">
        <v>752.79</v>
      </c>
      <c r="H1765" s="55" t="n">
        <v>652.4</v>
      </c>
      <c r="I1765" s="53" t="n">
        <v>30</v>
      </c>
      <c r="J1765" s="53" t="n">
        <v>6</v>
      </c>
      <c r="K1765" s="53" t="n">
        <v>2</v>
      </c>
      <c r="L1765" s="53" t="n">
        <v>0</v>
      </c>
      <c r="M1765" s="33">
        <f>F1765-E1765</f>
        <v/>
      </c>
      <c r="N1765" s="33">
        <f>L1765-K1765</f>
        <v/>
      </c>
    </row>
    <row r="1766">
      <c r="A1766" s="58" t="inlineStr">
        <is>
          <t>37010 Vfw Outwater (Z) Lane</t>
        </is>
      </c>
      <c r="B1766" s="58" t="inlineStr">
        <is>
          <t>Bergen</t>
        </is>
      </c>
      <c r="C1766" s="58" t="inlineStr">
        <is>
          <t>Robin Feldman</t>
        </is>
      </c>
      <c r="D1766" s="58" t="inlineStr">
        <is>
          <t>On-premise</t>
        </is>
      </c>
      <c r="E1766" s="53" t="n">
        <v>47</v>
      </c>
      <c r="F1766" s="53" t="n">
        <v>15</v>
      </c>
      <c r="G1766" s="55" t="n">
        <v>448.55</v>
      </c>
      <c r="H1766" s="55" t="n">
        <v>133.95</v>
      </c>
      <c r="I1766" s="53" t="n">
        <v>2</v>
      </c>
      <c r="J1766" s="53" t="n">
        <v>2</v>
      </c>
      <c r="K1766" s="53" t="n">
        <v>2</v>
      </c>
      <c r="L1766" s="53" t="n">
        <v>0</v>
      </c>
      <c r="M1766" s="33">
        <f>F1766-E1766</f>
        <v/>
      </c>
      <c r="N1766" s="33">
        <f>L1766-K1766</f>
        <v/>
      </c>
    </row>
    <row r="1767">
      <c r="A1767" s="58" t="inlineStr">
        <is>
          <t>62015 Elks Lodge 2304(Z)</t>
        </is>
      </c>
      <c r="B1767" s="58" t="inlineStr">
        <is>
          <t>Bergen</t>
        </is>
      </c>
      <c r="C1767" s="58" t="inlineStr">
        <is>
          <t>Robin Feldman</t>
        </is>
      </c>
      <c r="D1767" s="58" t="inlineStr">
        <is>
          <t>On-premise</t>
        </is>
      </c>
      <c r="E1767" s="53" t="n">
        <v>94</v>
      </c>
      <c r="F1767" s="53" t="n">
        <v>54</v>
      </c>
      <c r="G1767" s="55" t="n">
        <v>612.08</v>
      </c>
      <c r="H1767" s="55" t="n">
        <v>362.14</v>
      </c>
      <c r="I1767" s="53" t="n">
        <v>15</v>
      </c>
      <c r="J1767" s="53" t="n">
        <v>24</v>
      </c>
      <c r="K1767" s="53" t="n">
        <v>2</v>
      </c>
      <c r="L1767" s="53" t="n">
        <v>0</v>
      </c>
      <c r="M1767" s="33">
        <f>F1767-E1767</f>
        <v/>
      </c>
      <c r="N1767" s="33">
        <f>L1767-K1767</f>
        <v/>
      </c>
    </row>
    <row r="1768">
      <c r="A1768" s="58" t="inlineStr">
        <is>
          <t>70009 Montvale Fire Company</t>
        </is>
      </c>
      <c r="B1768" s="58" t="inlineStr">
        <is>
          <t>Bergen</t>
        </is>
      </c>
      <c r="C1768" s="58" t="inlineStr">
        <is>
          <t>Robin Feldman</t>
        </is>
      </c>
      <c r="D1768" s="58" t="inlineStr">
        <is>
          <t>On-premise</t>
        </is>
      </c>
      <c r="E1768" s="53" t="n">
        <v>10</v>
      </c>
      <c r="F1768" s="53" t="n">
        <v>0</v>
      </c>
      <c r="G1768" s="55" t="n">
        <v>88.36</v>
      </c>
      <c r="H1768" s="55" t="n">
        <v>0</v>
      </c>
      <c r="I1768" s="53" t="n">
        <v>0</v>
      </c>
      <c r="J1768" s="53" t="n">
        <v>0</v>
      </c>
      <c r="K1768" s="53" t="n">
        <v>2</v>
      </c>
      <c r="L1768" s="53" t="n">
        <v>0</v>
      </c>
      <c r="M1768" s="33">
        <f>F1768-E1768</f>
        <v/>
      </c>
      <c r="N1768" s="33">
        <f>L1768-K1768</f>
        <v/>
      </c>
    </row>
    <row r="1769">
      <c r="A1769" s="58" t="inlineStr">
        <is>
          <t>2010 Skyline Lakes Prop Owners</t>
        </is>
      </c>
      <c r="B1769" s="58" t="inlineStr">
        <is>
          <t>Passaic</t>
        </is>
      </c>
      <c r="C1769" s="58" t="inlineStr">
        <is>
          <t>Robin Feldman</t>
        </is>
      </c>
      <c r="D1769" s="58" t="inlineStr">
        <is>
          <t>On-premise</t>
        </is>
      </c>
      <c r="E1769" s="53" t="n">
        <v>22</v>
      </c>
      <c r="F1769" s="53" t="n">
        <v>15</v>
      </c>
      <c r="G1769" s="55" t="n">
        <v>144.62</v>
      </c>
      <c r="H1769" s="55" t="n">
        <v>72.61999999999999</v>
      </c>
      <c r="I1769" s="53" t="n">
        <v>5</v>
      </c>
      <c r="J1769" s="53" t="n">
        <v>15</v>
      </c>
      <c r="K1769" s="53" t="n">
        <v>3</v>
      </c>
      <c r="L1769" s="53" t="n">
        <v>1</v>
      </c>
      <c r="M1769" s="33">
        <f>F1769-E1769</f>
        <v/>
      </c>
      <c r="N1769" s="33">
        <f>L1769-K1769</f>
        <v/>
      </c>
    </row>
    <row r="1770">
      <c r="A1770" s="58" t="inlineStr">
        <is>
          <t>14013 Elks Post 2111 (A)</t>
        </is>
      </c>
      <c r="B1770" s="58" t="inlineStr">
        <is>
          <t>Passaic</t>
        </is>
      </c>
      <c r="C1770" s="58" t="inlineStr">
        <is>
          <t>Robin Feldman</t>
        </is>
      </c>
      <c r="D1770" s="58" t="inlineStr">
        <is>
          <t>On-premise</t>
        </is>
      </c>
      <c r="E1770" s="53" t="n">
        <v>27</v>
      </c>
      <c r="F1770" s="53" t="n">
        <v>21</v>
      </c>
      <c r="G1770" s="55" t="n">
        <v>266.07</v>
      </c>
      <c r="H1770" s="55" t="n">
        <v>199.86</v>
      </c>
      <c r="I1770" s="53" t="n">
        <v>2</v>
      </c>
      <c r="J1770" s="53" t="n">
        <v>5</v>
      </c>
      <c r="K1770" s="53" t="n">
        <v>4</v>
      </c>
      <c r="L1770" s="53" t="n">
        <v>2</v>
      </c>
      <c r="M1770" s="33">
        <f>F1770-E1770</f>
        <v/>
      </c>
      <c r="N1770" s="33">
        <f>L1770-K1770</f>
        <v/>
      </c>
    </row>
    <row r="1771">
      <c r="A1771" s="58" t="inlineStr">
        <is>
          <t>191403 Davy's Dogs</t>
        </is>
      </c>
      <c r="B1771" s="58" t="inlineStr">
        <is>
          <t>Morris</t>
        </is>
      </c>
      <c r="C1771" s="58" t="inlineStr">
        <is>
          <t>Robin Feldman</t>
        </is>
      </c>
      <c r="D1771" s="58" t="inlineStr">
        <is>
          <t>On-premise</t>
        </is>
      </c>
      <c r="E1771" s="53" t="n">
        <v>35</v>
      </c>
      <c r="F1771" s="53" t="n">
        <v>31</v>
      </c>
      <c r="G1771" s="55" t="n">
        <v>350.83</v>
      </c>
      <c r="H1771" s="55" t="n">
        <v>324.09</v>
      </c>
      <c r="I1771" s="53" t="n">
        <v>9</v>
      </c>
      <c r="J1771" s="53" t="n">
        <v>11</v>
      </c>
      <c r="K1771" s="53" t="n">
        <v>4</v>
      </c>
      <c r="L1771" s="53" t="n">
        <v>2</v>
      </c>
      <c r="M1771" s="33">
        <f>F1771-E1771</f>
        <v/>
      </c>
      <c r="N1771" s="33">
        <f>L1771-K1771</f>
        <v/>
      </c>
    </row>
    <row r="1772">
      <c r="A1772" s="58" t="inlineStr">
        <is>
          <t>230108 Vfw 7248 Sparta</t>
        </is>
      </c>
      <c r="B1772" s="58" t="inlineStr">
        <is>
          <t>Sussex</t>
        </is>
      </c>
      <c r="C1772" s="58" t="inlineStr">
        <is>
          <t>Robin Feldman</t>
        </is>
      </c>
      <c r="D1772" s="58" t="inlineStr">
        <is>
          <t>On-premise</t>
        </is>
      </c>
      <c r="E1772" s="53" t="n">
        <v>107</v>
      </c>
      <c r="F1772" s="53" t="n">
        <v>54</v>
      </c>
      <c r="G1772" s="55" t="n">
        <v>797.34</v>
      </c>
      <c r="H1772" s="55" t="n">
        <v>402.61</v>
      </c>
      <c r="I1772" s="53" t="n">
        <v>8</v>
      </c>
      <c r="J1772" s="53" t="n">
        <v>3</v>
      </c>
      <c r="K1772" s="53" t="n">
        <v>16</v>
      </c>
      <c r="L1772" s="53" t="n">
        <v>14</v>
      </c>
      <c r="M1772" s="33">
        <f>F1772-E1772</f>
        <v/>
      </c>
      <c r="N1772" s="33">
        <f>L1772-K1772</f>
        <v/>
      </c>
    </row>
    <row r="1773">
      <c r="A1773" s="58" t="inlineStr">
        <is>
          <t>150153 Wine Depot Of Livingston</t>
        </is>
      </c>
      <c r="B1773" s="58" t="inlineStr">
        <is>
          <t>Essex</t>
        </is>
      </c>
      <c r="C1773" s="58" t="inlineStr">
        <is>
          <t>Alex Rodriguez</t>
        </is>
      </c>
      <c r="D1773" s="58" t="inlineStr">
        <is>
          <t>Off-premise</t>
        </is>
      </c>
      <c r="E1773" s="53" t="n">
        <v>16</v>
      </c>
      <c r="F1773" s="53" t="n">
        <v>13</v>
      </c>
      <c r="G1773" s="55" t="n">
        <v>127.83</v>
      </c>
      <c r="H1773" s="55" t="n">
        <v>107.92</v>
      </c>
      <c r="I1773" s="53" t="n">
        <v>40</v>
      </c>
      <c r="J1773" s="53" t="n">
        <v>61</v>
      </c>
      <c r="K1773" s="53" t="n">
        <v>16</v>
      </c>
      <c r="L1773" s="53" t="n">
        <v>13</v>
      </c>
      <c r="M1773" s="33">
        <f>F1773-E1773</f>
        <v/>
      </c>
      <c r="N1773" s="33">
        <f>L1773-K1773</f>
        <v/>
      </c>
    </row>
    <row r="1774">
      <c r="A1774" s="58" t="inlineStr">
        <is>
          <t>12026 WAYNE ALE HOUSE &amp; PIZZA</t>
        </is>
      </c>
      <c r="B1774" s="58" t="inlineStr">
        <is>
          <t>Passaic</t>
        </is>
      </c>
      <c r="C1774" s="58" t="inlineStr">
        <is>
          <t>Allison Scott</t>
        </is>
      </c>
      <c r="D1774" s="58" t="inlineStr">
        <is>
          <t>On-premise</t>
        </is>
      </c>
      <c r="E1774" s="53" t="n">
        <v>468</v>
      </c>
      <c r="F1774" s="53" t="n">
        <v>485</v>
      </c>
      <c r="G1774" s="55" t="n">
        <v>3330.31</v>
      </c>
      <c r="H1774" s="55" t="n">
        <v>3418.48</v>
      </c>
      <c r="I1774" s="53" t="n">
        <v>59</v>
      </c>
      <c r="J1774" s="53" t="n">
        <v>71</v>
      </c>
      <c r="K1774" s="53" t="n">
        <v>74</v>
      </c>
      <c r="L1774" s="53" t="n">
        <v>71</v>
      </c>
      <c r="M1774" s="33">
        <f>F1774-E1774</f>
        <v/>
      </c>
      <c r="N1774" s="33">
        <f>L1774-K1774</f>
        <v/>
      </c>
    </row>
    <row r="1775">
      <c r="A1775" s="58" t="inlineStr">
        <is>
          <t>3007 Kitchen &amp; Beer Bar</t>
        </is>
      </c>
      <c r="B1775" s="58" t="inlineStr">
        <is>
          <t>Passaic</t>
        </is>
      </c>
      <c r="C1775" s="58" t="inlineStr">
        <is>
          <t>Allison Scott</t>
        </is>
      </c>
      <c r="D1775" s="58" t="inlineStr">
        <is>
          <t>On-premise</t>
        </is>
      </c>
      <c r="E1775" s="53" t="n">
        <v>34</v>
      </c>
      <c r="F1775" s="53" t="n">
        <v>4</v>
      </c>
      <c r="G1775" s="55" t="n">
        <v>395.9299999999999</v>
      </c>
      <c r="H1775" s="55" t="n">
        <v>36.72</v>
      </c>
      <c r="I1775" s="53" t="n">
        <v>25</v>
      </c>
      <c r="J1775" s="53" t="n">
        <v>22</v>
      </c>
      <c r="K1775" s="53" t="n">
        <v>3</v>
      </c>
      <c r="L1775" s="53" t="n">
        <v>0</v>
      </c>
      <c r="M1775" s="33">
        <f>F1775-E1775</f>
        <v/>
      </c>
      <c r="N1775" s="33">
        <f>L1775-K1775</f>
        <v/>
      </c>
    </row>
    <row r="1776">
      <c r="A1776" s="58" t="inlineStr">
        <is>
          <t>12034 Dave &amp; Buster's Nj, Inc</t>
        </is>
      </c>
      <c r="B1776" s="58" t="inlineStr">
        <is>
          <t>Passaic</t>
        </is>
      </c>
      <c r="C1776" s="58" t="inlineStr">
        <is>
          <t>Allison Scott</t>
        </is>
      </c>
      <c r="D1776" s="58" t="inlineStr">
        <is>
          <t>On-premise</t>
        </is>
      </c>
      <c r="E1776" s="53" t="n">
        <v>386</v>
      </c>
      <c r="F1776" s="53" t="n">
        <v>396</v>
      </c>
      <c r="G1776" s="55" t="n">
        <v>3022.16</v>
      </c>
      <c r="H1776" s="55" t="n">
        <v>3150.389999999999</v>
      </c>
      <c r="I1776" s="53" t="n">
        <v>135</v>
      </c>
      <c r="J1776" s="53" t="n">
        <v>150</v>
      </c>
      <c r="K1776" s="53" t="n">
        <v>17</v>
      </c>
      <c r="L1776" s="53" t="n">
        <v>14</v>
      </c>
      <c r="M1776" s="33">
        <f>F1776-E1776</f>
        <v/>
      </c>
      <c r="N1776" s="33">
        <f>L1776-K1776</f>
        <v/>
      </c>
    </row>
    <row r="1777">
      <c r="A1777" s="58" t="inlineStr">
        <is>
          <t>23013 Vfw 7165 (P)</t>
        </is>
      </c>
      <c r="B1777" s="58" t="inlineStr">
        <is>
          <t>Passaic</t>
        </is>
      </c>
      <c r="C1777" s="58" t="inlineStr">
        <is>
          <t>Allison Scott</t>
        </is>
      </c>
      <c r="D1777" s="58" t="inlineStr">
        <is>
          <t>On-premise</t>
        </is>
      </c>
      <c r="E1777" s="53" t="n">
        <v>170</v>
      </c>
      <c r="F1777" s="53" t="n">
        <v>118</v>
      </c>
      <c r="G1777" s="55" t="n">
        <v>1116.4</v>
      </c>
      <c r="H1777" s="55" t="n">
        <v>783.6900000000001</v>
      </c>
      <c r="I1777" s="53" t="n">
        <v>39</v>
      </c>
      <c r="J1777" s="53" t="n">
        <v>43</v>
      </c>
      <c r="K1777" s="53" t="n">
        <v>7</v>
      </c>
      <c r="L1777" s="53" t="n">
        <v>4</v>
      </c>
      <c r="M1777" s="33">
        <f>F1777-E1777</f>
        <v/>
      </c>
      <c r="N1777" s="33">
        <f>L1777-K1777</f>
        <v/>
      </c>
    </row>
    <row r="1778">
      <c r="A1778" s="58" t="inlineStr">
        <is>
          <t>12048 Anthonys CF Pizza (Wayne)</t>
        </is>
      </c>
      <c r="B1778" s="58" t="inlineStr">
        <is>
          <t>Passaic</t>
        </is>
      </c>
      <c r="C1778" s="58" t="inlineStr">
        <is>
          <t>Allison Scott</t>
        </is>
      </c>
      <c r="D1778" s="58" t="inlineStr">
        <is>
          <t>On-premise</t>
        </is>
      </c>
      <c r="E1778" s="53" t="n">
        <v>134</v>
      </c>
      <c r="F1778" s="53" t="n">
        <v>119</v>
      </c>
      <c r="G1778" s="55" t="n">
        <v>1275.91</v>
      </c>
      <c r="H1778" s="55" t="n">
        <v>1186.51</v>
      </c>
      <c r="I1778" s="53" t="n">
        <v>19</v>
      </c>
      <c r="J1778" s="53" t="n">
        <v>21</v>
      </c>
      <c r="K1778" s="53" t="n">
        <v>59</v>
      </c>
      <c r="L1778" s="53" t="n">
        <v>56</v>
      </c>
      <c r="M1778" s="33">
        <f>F1778-E1778</f>
        <v/>
      </c>
      <c r="N1778" s="33">
        <f>L1778-K1778</f>
        <v/>
      </c>
    </row>
    <row r="1779">
      <c r="A1779" s="58" t="inlineStr">
        <is>
          <t>25009 Spuntino Wine Bar/Italian</t>
        </is>
      </c>
      <c r="B1779" s="58" t="inlineStr">
        <is>
          <t>Passaic</t>
        </is>
      </c>
      <c r="C1779" s="58" t="inlineStr">
        <is>
          <t>Allison Scott</t>
        </is>
      </c>
      <c r="D1779" s="58" t="inlineStr">
        <is>
          <t>On-premise</t>
        </is>
      </c>
      <c r="E1779" s="53" t="n">
        <v>57</v>
      </c>
      <c r="F1779" s="53" t="n">
        <v>58</v>
      </c>
      <c r="G1779" s="55" t="n">
        <v>590.33</v>
      </c>
      <c r="H1779" s="55" t="n">
        <v>459.81</v>
      </c>
      <c r="I1779" s="53" t="n">
        <v>1</v>
      </c>
      <c r="J1779" s="53" t="n">
        <v>11</v>
      </c>
      <c r="K1779" s="53" t="n">
        <v>53</v>
      </c>
      <c r="L1779" s="53" t="n">
        <v>50</v>
      </c>
      <c r="M1779" s="33">
        <f>F1779-E1779</f>
        <v/>
      </c>
      <c r="N1779" s="33">
        <f>L1779-K1779</f>
        <v/>
      </c>
    </row>
    <row r="1780">
      <c r="A1780" s="58" t="inlineStr">
        <is>
          <t>14002 Applebee's (Totowa) (A)</t>
        </is>
      </c>
      <c r="B1780" s="58" t="inlineStr">
        <is>
          <t>Passaic</t>
        </is>
      </c>
      <c r="C1780" s="58" t="inlineStr">
        <is>
          <t>Allison Scott</t>
        </is>
      </c>
      <c r="D1780" s="58" t="inlineStr">
        <is>
          <t>On-premise</t>
        </is>
      </c>
      <c r="E1780" s="53" t="n">
        <v>248</v>
      </c>
      <c r="F1780" s="53" t="n">
        <v>311</v>
      </c>
      <c r="G1780" s="55" t="n">
        <v>1983.14</v>
      </c>
      <c r="H1780" s="55" t="n">
        <v>2355.05</v>
      </c>
      <c r="I1780" s="53" t="n">
        <v>59</v>
      </c>
      <c r="J1780" s="53" t="n">
        <v>38</v>
      </c>
      <c r="K1780" s="53" t="n">
        <v>20</v>
      </c>
      <c r="L1780" s="53" t="n">
        <v>17</v>
      </c>
      <c r="M1780" s="33">
        <f>F1780-E1780</f>
        <v/>
      </c>
      <c r="N1780" s="33">
        <f>L1780-K1780</f>
        <v/>
      </c>
    </row>
    <row r="1781">
      <c r="A1781" s="58" t="inlineStr">
        <is>
          <t>25049 Yesterdays (P)</t>
        </is>
      </c>
      <c r="B1781" s="58" t="inlineStr">
        <is>
          <t>Passaic</t>
        </is>
      </c>
      <c r="C1781" s="58" t="inlineStr">
        <is>
          <t>Allison Scott</t>
        </is>
      </c>
      <c r="D1781" s="58" t="inlineStr">
        <is>
          <t>On-premise</t>
        </is>
      </c>
      <c r="E1781" s="53" t="n">
        <v>429</v>
      </c>
      <c r="F1781" s="53" t="n">
        <v>520</v>
      </c>
      <c r="G1781" s="55" t="n">
        <v>3084.66</v>
      </c>
      <c r="H1781" s="55" t="n">
        <v>3797.98</v>
      </c>
      <c r="I1781" s="53" t="n">
        <v>30</v>
      </c>
      <c r="J1781" s="53" t="n">
        <v>42</v>
      </c>
      <c r="K1781" s="53" t="n">
        <v>4</v>
      </c>
      <c r="L1781" s="53" t="n">
        <v>1</v>
      </c>
      <c r="M1781" s="33">
        <f>F1781-E1781</f>
        <v/>
      </c>
      <c r="N1781" s="33">
        <f>L1781-K1781</f>
        <v/>
      </c>
    </row>
    <row r="1782">
      <c r="A1782" s="58" t="inlineStr">
        <is>
          <t>17023 D'Carbon BBQ B&amp;G Haledon</t>
        </is>
      </c>
      <c r="B1782" s="58" t="inlineStr">
        <is>
          <t>Passaic</t>
        </is>
      </c>
      <c r="C1782" s="58" t="inlineStr">
        <is>
          <t>Allison Scott</t>
        </is>
      </c>
      <c r="D1782" s="58" t="inlineStr">
        <is>
          <t>Unmatched</t>
        </is>
      </c>
      <c r="E1782" s="53" t="n">
        <v>84</v>
      </c>
      <c r="F1782" s="53" t="n">
        <v>0</v>
      </c>
      <c r="G1782" s="55" t="n">
        <v>814</v>
      </c>
      <c r="H1782" s="55" t="n">
        <v>0</v>
      </c>
      <c r="I1782" s="53" t="n">
        <v>15</v>
      </c>
      <c r="J1782" s="53" t="n">
        <v>0</v>
      </c>
      <c r="K1782" s="53" t="n">
        <v>3</v>
      </c>
      <c r="L1782" s="53" t="n">
        <v>0</v>
      </c>
      <c r="M1782" s="33">
        <f>F1782-E1782</f>
        <v/>
      </c>
      <c r="N1782" s="33">
        <f>L1782-K1782</f>
        <v/>
      </c>
    </row>
    <row r="1783">
      <c r="A1783" s="58" t="inlineStr">
        <is>
          <t>20010 Riverside Grill(D'carbon)</t>
        </is>
      </c>
      <c r="B1783" s="58" t="inlineStr">
        <is>
          <t>Passaic</t>
        </is>
      </c>
      <c r="C1783" s="58" t="inlineStr">
        <is>
          <t>Allison Scott</t>
        </is>
      </c>
      <c r="D1783" s="58" t="inlineStr">
        <is>
          <t>On-premise</t>
        </is>
      </c>
      <c r="E1783" s="53" t="n">
        <v>164</v>
      </c>
      <c r="F1783" s="53" t="n">
        <v>115</v>
      </c>
      <c r="G1783" s="55" t="n">
        <v>1568.93</v>
      </c>
      <c r="H1783" s="55" t="n">
        <v>1215.16</v>
      </c>
      <c r="I1783" s="53" t="n">
        <v>80</v>
      </c>
      <c r="J1783" s="53" t="n">
        <v>70</v>
      </c>
      <c r="K1783" s="53" t="n">
        <v>6</v>
      </c>
      <c r="L1783" s="53" t="n">
        <v>3</v>
      </c>
      <c r="M1783" s="33">
        <f>F1783-E1783</f>
        <v/>
      </c>
      <c r="N1783" s="33">
        <f>L1783-K1783</f>
        <v/>
      </c>
    </row>
    <row r="1784">
      <c r="A1784" s="58" t="inlineStr">
        <is>
          <t>250091 Denny's Liquors</t>
        </is>
      </c>
      <c r="B1784" s="58" t="inlineStr">
        <is>
          <t>Union</t>
        </is>
      </c>
      <c r="C1784" s="58" t="inlineStr">
        <is>
          <t>Andrew Lundy</t>
        </is>
      </c>
      <c r="D1784" s="58" t="inlineStr">
        <is>
          <t>Off-premise</t>
        </is>
      </c>
      <c r="E1784" s="53" t="n">
        <v>3</v>
      </c>
      <c r="F1784" s="53" t="n">
        <v>0</v>
      </c>
      <c r="G1784" s="55" t="n">
        <v>37.21</v>
      </c>
      <c r="H1784" s="55" t="n">
        <v>0</v>
      </c>
      <c r="I1784" s="53" t="n">
        <v>220</v>
      </c>
      <c r="J1784" s="53" t="n">
        <v>134</v>
      </c>
      <c r="K1784" s="53" t="n">
        <v>3</v>
      </c>
      <c r="L1784" s="53" t="n">
        <v>0</v>
      </c>
      <c r="M1784" s="33">
        <f>F1784-E1784</f>
        <v/>
      </c>
      <c r="N1784" s="33">
        <f>L1784-K1784</f>
        <v/>
      </c>
    </row>
    <row r="1785">
      <c r="A1785" s="58" t="inlineStr">
        <is>
          <t>250440 Metro Liquor (Linden)</t>
        </is>
      </c>
      <c r="B1785" s="58" t="inlineStr">
        <is>
          <t>Union</t>
        </is>
      </c>
      <c r="C1785" s="58" t="inlineStr">
        <is>
          <t>Andrew Lundy</t>
        </is>
      </c>
      <c r="D1785" s="58" t="inlineStr">
        <is>
          <t>Off-premise</t>
        </is>
      </c>
      <c r="E1785" s="53" t="n">
        <v>48</v>
      </c>
      <c r="F1785" s="53" t="n">
        <v>45</v>
      </c>
      <c r="G1785" s="55" t="n">
        <v>357.78</v>
      </c>
      <c r="H1785" s="55" t="n">
        <v>335.88</v>
      </c>
      <c r="I1785" s="53" t="n">
        <v>939</v>
      </c>
      <c r="J1785" s="53" t="n">
        <v>693</v>
      </c>
      <c r="K1785" s="53" t="n">
        <v>48</v>
      </c>
      <c r="L1785" s="53" t="n">
        <v>45</v>
      </c>
      <c r="M1785" s="33">
        <f>F1785-E1785</f>
        <v/>
      </c>
      <c r="N1785" s="33">
        <f>L1785-K1785</f>
        <v/>
      </c>
    </row>
    <row r="1786">
      <c r="A1786" s="58" t="inlineStr">
        <is>
          <t>190815 Sam Adam's Pub (NAFIB4-22-A-0036)</t>
        </is>
      </c>
      <c r="B1786" s="58" t="inlineStr">
        <is>
          <t>Morris</t>
        </is>
      </c>
      <c r="C1786" s="58" t="inlineStr">
        <is>
          <t>Brian Sengebush</t>
        </is>
      </c>
      <c r="D1786" s="58" t="inlineStr">
        <is>
          <t>On-premise</t>
        </is>
      </c>
      <c r="E1786" s="53" t="n">
        <v>52</v>
      </c>
      <c r="F1786" s="53" t="n">
        <v>41</v>
      </c>
      <c r="G1786" s="55" t="n">
        <v>432.26</v>
      </c>
      <c r="H1786" s="55" t="n">
        <v>357.26</v>
      </c>
      <c r="I1786" s="53" t="n">
        <v>16</v>
      </c>
      <c r="J1786" s="53" t="n">
        <v>8</v>
      </c>
      <c r="K1786" s="53" t="n">
        <v>14</v>
      </c>
      <c r="L1786" s="53" t="n">
        <v>11</v>
      </c>
      <c r="M1786" s="33">
        <f>F1786-E1786</f>
        <v/>
      </c>
      <c r="N1786" s="33">
        <f>L1786-K1786</f>
        <v/>
      </c>
    </row>
    <row r="1787">
      <c r="A1787" s="58" t="inlineStr">
        <is>
          <t>190903 Taphouse 15</t>
        </is>
      </c>
      <c r="B1787" s="58" t="inlineStr">
        <is>
          <t>Morris</t>
        </is>
      </c>
      <c r="C1787" s="58" t="inlineStr">
        <is>
          <t>Brian Sengebush</t>
        </is>
      </c>
      <c r="D1787" s="58" t="inlineStr">
        <is>
          <t>On-premise</t>
        </is>
      </c>
      <c r="E1787" s="53" t="n">
        <v>91</v>
      </c>
      <c r="F1787" s="53" t="n">
        <v>75</v>
      </c>
      <c r="G1787" s="55" t="n">
        <v>849.63</v>
      </c>
      <c r="H1787" s="55" t="n">
        <v>699.88</v>
      </c>
      <c r="I1787" s="53" t="n">
        <v>19</v>
      </c>
      <c r="J1787" s="53" t="n">
        <v>7</v>
      </c>
      <c r="K1787" s="53" t="n">
        <v>3</v>
      </c>
      <c r="L1787" s="53" t="n">
        <v>0</v>
      </c>
      <c r="M1787" s="33">
        <f>F1787-E1787</f>
        <v/>
      </c>
      <c r="N1787" s="33">
        <f>L1787-K1787</f>
        <v/>
      </c>
    </row>
    <row r="1788">
      <c r="A1788" s="58" t="inlineStr">
        <is>
          <t>231706 The Carriage House</t>
        </is>
      </c>
      <c r="B1788" s="58" t="inlineStr">
        <is>
          <t>Sussex</t>
        </is>
      </c>
      <c r="C1788" s="58" t="inlineStr">
        <is>
          <t>Brian Sengebush</t>
        </is>
      </c>
      <c r="D1788" s="58" t="inlineStr">
        <is>
          <t>Unmatched</t>
        </is>
      </c>
      <c r="E1788" s="53" t="n">
        <v>25</v>
      </c>
      <c r="F1788" s="53" t="n">
        <v>0</v>
      </c>
      <c r="G1788" s="55" t="n">
        <v>172.85</v>
      </c>
      <c r="H1788" s="55" t="n">
        <v>0</v>
      </c>
      <c r="I1788" s="53" t="n">
        <v>18</v>
      </c>
      <c r="J1788" s="53" t="n">
        <v>0</v>
      </c>
      <c r="K1788" s="53" t="n">
        <v>3</v>
      </c>
      <c r="L1788" s="53" t="n">
        <v>0</v>
      </c>
      <c r="M1788" s="33">
        <f>F1788-E1788</f>
        <v/>
      </c>
      <c r="N1788" s="33">
        <f>L1788-K1788</f>
        <v/>
      </c>
    </row>
    <row r="1789">
      <c r="A1789" s="58" t="inlineStr">
        <is>
          <t>190106 Rails Steakhouse (A)</t>
        </is>
      </c>
      <c r="B1789" s="58" t="inlineStr">
        <is>
          <t>Morris</t>
        </is>
      </c>
      <c r="C1789" s="58" t="inlineStr">
        <is>
          <t>Brian Sengebush</t>
        </is>
      </c>
      <c r="D1789" s="58" t="inlineStr">
        <is>
          <t>On-premise</t>
        </is>
      </c>
      <c r="E1789" s="53" t="n">
        <v>69</v>
      </c>
      <c r="F1789" s="53" t="n">
        <v>63</v>
      </c>
      <c r="G1789" s="55" t="n">
        <v>709.99</v>
      </c>
      <c r="H1789" s="55" t="n">
        <v>635.7599999999999</v>
      </c>
      <c r="I1789" s="53" t="n">
        <v>22</v>
      </c>
      <c r="J1789" s="53" t="n">
        <v>26</v>
      </c>
      <c r="K1789" s="53" t="n">
        <v>20</v>
      </c>
      <c r="L1789" s="53" t="n">
        <v>17</v>
      </c>
      <c r="M1789" s="33">
        <f>F1789-E1789</f>
        <v/>
      </c>
      <c r="N1789" s="33">
        <f>L1789-K1789</f>
        <v/>
      </c>
    </row>
    <row r="1790">
      <c r="A1790" s="58" t="inlineStr">
        <is>
          <t>81001 B &amp; B Liquors (Fair Lawn)</t>
        </is>
      </c>
      <c r="B1790" s="58" t="inlineStr">
        <is>
          <t>Bergen</t>
        </is>
      </c>
      <c r="C1790" s="58" t="inlineStr">
        <is>
          <t>Chris Payton</t>
        </is>
      </c>
      <c r="D1790" s="58" t="inlineStr">
        <is>
          <t>Off-premise</t>
        </is>
      </c>
      <c r="E1790" s="53" t="n">
        <v>1669</v>
      </c>
      <c r="F1790" s="53" t="n">
        <v>1708</v>
      </c>
      <c r="G1790" s="55" t="n">
        <v>11287.88</v>
      </c>
      <c r="H1790" s="55" t="n">
        <v>11995.94</v>
      </c>
      <c r="I1790" s="53" t="n">
        <v>475</v>
      </c>
      <c r="J1790" s="53" t="n">
        <v>448</v>
      </c>
      <c r="K1790" s="53" t="n">
        <v>243</v>
      </c>
      <c r="L1790" s="53" t="n">
        <v>240</v>
      </c>
      <c r="M1790" s="33">
        <f>F1790-E1790</f>
        <v/>
      </c>
      <c r="N1790" s="33">
        <f>L1790-K1790</f>
        <v/>
      </c>
    </row>
    <row r="1791">
      <c r="A1791" s="58" t="inlineStr">
        <is>
          <t>43022 C &amp; C Bar Factory</t>
        </is>
      </c>
      <c r="B1791" s="58" t="inlineStr">
        <is>
          <t>Bergen</t>
        </is>
      </c>
      <c r="C1791" s="58" t="inlineStr">
        <is>
          <t>Dan Lagala</t>
        </is>
      </c>
      <c r="D1791" s="58" t="inlineStr">
        <is>
          <t>On-premise</t>
        </is>
      </c>
      <c r="E1791" s="53" t="n">
        <v>84</v>
      </c>
      <c r="F1791" s="53" t="n">
        <v>0</v>
      </c>
      <c r="G1791" s="55" t="n">
        <v>771.9499999999999</v>
      </c>
      <c r="H1791" s="55" t="n">
        <v>0</v>
      </c>
      <c r="I1791" s="53" t="n">
        <v>20</v>
      </c>
      <c r="J1791" s="53" t="n">
        <v>0</v>
      </c>
      <c r="K1791" s="53" t="n">
        <v>3</v>
      </c>
      <c r="L1791" s="53" t="n">
        <v>0</v>
      </c>
      <c r="M1791" s="33">
        <f>F1791-E1791</f>
        <v/>
      </c>
      <c r="N1791" s="33">
        <f>L1791-K1791</f>
        <v/>
      </c>
    </row>
    <row r="1792">
      <c r="A1792" s="58" t="inlineStr">
        <is>
          <t>44012 690 Park</t>
        </is>
      </c>
      <c r="B1792" s="58" t="inlineStr">
        <is>
          <t>Bergen</t>
        </is>
      </c>
      <c r="C1792" s="58" t="inlineStr">
        <is>
          <t>Dan Lagala</t>
        </is>
      </c>
      <c r="D1792" s="58" t="inlineStr">
        <is>
          <t>On-premise</t>
        </is>
      </c>
      <c r="E1792" s="53" t="n">
        <v>146</v>
      </c>
      <c r="F1792" s="53" t="n">
        <v>289</v>
      </c>
      <c r="G1792" s="55" t="n">
        <v>1255.16</v>
      </c>
      <c r="H1792" s="55" t="n">
        <v>2431.33</v>
      </c>
      <c r="I1792" s="53" t="n">
        <v>16</v>
      </c>
      <c r="J1792" s="53" t="n">
        <v>98</v>
      </c>
      <c r="K1792" s="53" t="n">
        <v>3</v>
      </c>
      <c r="L1792" s="53" t="n">
        <v>0</v>
      </c>
      <c r="M1792" s="33">
        <f>F1792-E1792</f>
        <v/>
      </c>
      <c r="N1792" s="33">
        <f>L1792-K1792</f>
        <v/>
      </c>
    </row>
    <row r="1793">
      <c r="A1793" s="58" t="inlineStr">
        <is>
          <t>56015 VINEYARD</t>
        </is>
      </c>
      <c r="B1793" s="58" t="inlineStr">
        <is>
          <t>Bergen</t>
        </is>
      </c>
      <c r="C1793" s="58" t="inlineStr">
        <is>
          <t>Dave Ehlers</t>
        </is>
      </c>
      <c r="D1793" s="58" t="inlineStr">
        <is>
          <t>Unmatched</t>
        </is>
      </c>
      <c r="E1793" s="53" t="n">
        <v>289</v>
      </c>
      <c r="F1793" s="53" t="n">
        <v>237</v>
      </c>
      <c r="G1793" s="55" t="n">
        <v>2699.86</v>
      </c>
      <c r="H1793" s="55" t="n">
        <v>2319.840000000001</v>
      </c>
      <c r="I1793" s="53" t="n">
        <v>65</v>
      </c>
      <c r="J1793" s="53" t="n">
        <v>49</v>
      </c>
      <c r="K1793" s="53" t="n">
        <v>33</v>
      </c>
      <c r="L1793" s="53" t="n">
        <v>30</v>
      </c>
      <c r="M1793" s="33">
        <f>F1793-E1793</f>
        <v/>
      </c>
      <c r="N1793" s="33">
        <f>L1793-K1793</f>
        <v/>
      </c>
    </row>
    <row r="1794">
      <c r="A1794" s="58" t="inlineStr">
        <is>
          <t>178002 Boulevard W &amp; L (P)</t>
        </is>
      </c>
      <c r="B1794" s="58" t="inlineStr">
        <is>
          <t>Hudson</t>
        </is>
      </c>
      <c r="C1794" s="58" t="inlineStr">
        <is>
          <t>Dylan Rubino</t>
        </is>
      </c>
      <c r="D1794" s="58" t="inlineStr">
        <is>
          <t>Off-premise</t>
        </is>
      </c>
      <c r="E1794" s="53" t="n">
        <v>23</v>
      </c>
      <c r="F1794" s="53" t="n">
        <v>20</v>
      </c>
      <c r="G1794" s="55" t="n">
        <v>178.81</v>
      </c>
      <c r="H1794" s="55" t="n">
        <v>108.4</v>
      </c>
      <c r="I1794" s="53" t="n">
        <v>25</v>
      </c>
      <c r="J1794" s="53" t="n">
        <v>2</v>
      </c>
      <c r="K1794" s="53" t="n">
        <v>23</v>
      </c>
      <c r="L1794" s="53" t="n">
        <v>20</v>
      </c>
      <c r="M1794" s="33">
        <f>F1794-E1794</f>
        <v/>
      </c>
      <c r="N1794" s="33">
        <f>L1794-K1794</f>
        <v/>
      </c>
    </row>
    <row r="1795">
      <c r="A1795" s="58" t="inlineStr">
        <is>
          <t>36026 Agave Cocina Mexicana</t>
        </is>
      </c>
      <c r="B1795" s="58" t="inlineStr">
        <is>
          <t>Bergen</t>
        </is>
      </c>
      <c r="C1795" s="58" t="inlineStr">
        <is>
          <t>Javier Melo</t>
        </is>
      </c>
      <c r="D1795" s="58" t="inlineStr">
        <is>
          <t>On-premise</t>
        </is>
      </c>
      <c r="E1795" s="53" t="n">
        <v>26</v>
      </c>
      <c r="F1795" s="53" t="n">
        <v>48</v>
      </c>
      <c r="G1795" s="55" t="n">
        <v>227.12</v>
      </c>
      <c r="H1795" s="55" t="n">
        <v>480.0599999999999</v>
      </c>
      <c r="I1795" s="53" t="n">
        <v>1</v>
      </c>
      <c r="J1795" s="53" t="n">
        <v>1</v>
      </c>
      <c r="K1795" s="53" t="n">
        <v>3</v>
      </c>
      <c r="L1795" s="53" t="n">
        <v>0</v>
      </c>
      <c r="M1795" s="33">
        <f>F1795-E1795</f>
        <v/>
      </c>
      <c r="N1795" s="33">
        <f>L1795-K1795</f>
        <v/>
      </c>
    </row>
    <row r="1796">
      <c r="A1796" s="58" t="inlineStr">
        <is>
          <t>24021 Liquor Stop (P) (Clifton)</t>
        </is>
      </c>
      <c r="B1796" s="58" t="inlineStr">
        <is>
          <t>Passaic</t>
        </is>
      </c>
      <c r="C1796" s="58" t="inlineStr">
        <is>
          <t>Jim Heaney</t>
        </is>
      </c>
      <c r="D1796" s="58" t="inlineStr">
        <is>
          <t>Off-premise</t>
        </is>
      </c>
      <c r="E1796" s="53" t="n">
        <v>437</v>
      </c>
      <c r="F1796" s="53" t="n">
        <v>294</v>
      </c>
      <c r="G1796" s="55" t="n">
        <v>3033.64</v>
      </c>
      <c r="H1796" s="55" t="n">
        <v>2113.51</v>
      </c>
      <c r="I1796" s="53" t="n">
        <v>54</v>
      </c>
      <c r="J1796" s="53" t="n">
        <v>36</v>
      </c>
      <c r="K1796" s="53" t="n">
        <v>47</v>
      </c>
      <c r="L1796" s="53" t="n">
        <v>44</v>
      </c>
      <c r="M1796" s="33">
        <f>F1796-E1796</f>
        <v/>
      </c>
      <c r="N1796" s="33">
        <f>L1796-K1796</f>
        <v/>
      </c>
    </row>
    <row r="1797">
      <c r="A1797" s="58" t="inlineStr">
        <is>
          <t>190022 Bottle Republic (Randolph)</t>
        </is>
      </c>
      <c r="B1797" s="58" t="inlineStr">
        <is>
          <t>Morris</t>
        </is>
      </c>
      <c r="C1797" s="58" t="inlineStr">
        <is>
          <t>John O'Donoghue</t>
        </is>
      </c>
      <c r="D1797" s="58" t="inlineStr">
        <is>
          <t>Unmatched</t>
        </is>
      </c>
      <c r="E1797" s="53" t="n">
        <v>13</v>
      </c>
      <c r="F1797" s="53" t="n">
        <v>10</v>
      </c>
      <c r="G1797" s="55" t="n">
        <v>91.86</v>
      </c>
      <c r="H1797" s="55" t="n">
        <v>69.91</v>
      </c>
      <c r="I1797" s="53" t="n">
        <v>151</v>
      </c>
      <c r="J1797" s="53" t="n">
        <v>46</v>
      </c>
      <c r="K1797" s="53" t="n">
        <v>13</v>
      </c>
      <c r="L1797" s="53" t="n">
        <v>10</v>
      </c>
      <c r="M1797" s="33">
        <f>F1797-E1797</f>
        <v/>
      </c>
      <c r="N1797" s="33">
        <f>L1797-K1797</f>
        <v/>
      </c>
    </row>
    <row r="1798">
      <c r="A1798" s="58" t="inlineStr">
        <is>
          <t>150002 Shoprite Wine &amp; Spirits</t>
        </is>
      </c>
      <c r="B1798" s="58" t="inlineStr">
        <is>
          <t>Essex</t>
        </is>
      </c>
      <c r="C1798" s="58" t="inlineStr">
        <is>
          <t>Michael Harboy</t>
        </is>
      </c>
      <c r="D1798" s="58" t="inlineStr">
        <is>
          <t>Off-premise</t>
        </is>
      </c>
      <c r="E1798" s="53" t="n">
        <v>22</v>
      </c>
      <c r="F1798" s="53" t="n">
        <v>19</v>
      </c>
      <c r="G1798" s="55" t="n">
        <v>168.52</v>
      </c>
      <c r="H1798" s="55" t="n">
        <v>140.54</v>
      </c>
      <c r="I1798" s="53" t="n">
        <v>1025</v>
      </c>
      <c r="J1798" s="53" t="n">
        <v>876</v>
      </c>
      <c r="K1798" s="53" t="n">
        <v>22</v>
      </c>
      <c r="L1798" s="53" t="n">
        <v>19</v>
      </c>
      <c r="M1798" s="33">
        <f>F1798-E1798</f>
        <v/>
      </c>
      <c r="N1798" s="33">
        <f>L1798-K1798</f>
        <v/>
      </c>
    </row>
    <row r="1799">
      <c r="A1799" s="58" t="inlineStr">
        <is>
          <t>31046 H Mart Inc (Space A101-A)</t>
        </is>
      </c>
      <c r="B1799" s="58" t="inlineStr">
        <is>
          <t>Bergen</t>
        </is>
      </c>
      <c r="C1799" s="58" t="inlineStr">
        <is>
          <t>Nick Melissari</t>
        </is>
      </c>
      <c r="D1799" s="58" t="inlineStr">
        <is>
          <t>Off-premise</t>
        </is>
      </c>
      <c r="E1799" s="53" t="n">
        <v>310</v>
      </c>
      <c r="F1799" s="53" t="n">
        <v>396</v>
      </c>
      <c r="G1799" s="55" t="n">
        <v>2776.16</v>
      </c>
      <c r="H1799" s="55" t="n">
        <v>3424.31</v>
      </c>
      <c r="I1799" s="53" t="n">
        <v>76</v>
      </c>
      <c r="J1799" s="53" t="n">
        <v>57</v>
      </c>
      <c r="K1799" s="53" t="n">
        <v>87</v>
      </c>
      <c r="L1799" s="53" t="n">
        <v>84</v>
      </c>
      <c r="M1799" s="33">
        <f>F1799-E1799</f>
        <v/>
      </c>
      <c r="N1799" s="33">
        <f>L1799-K1799</f>
        <v/>
      </c>
    </row>
    <row r="1800">
      <c r="A1800" s="58" t="inlineStr">
        <is>
          <t>92010 Houlihan's Ramsey</t>
        </is>
      </c>
      <c r="B1800" s="58" t="inlineStr">
        <is>
          <t>Bergen</t>
        </is>
      </c>
      <c r="C1800" s="58" t="inlineStr">
        <is>
          <t>Nick Melissari</t>
        </is>
      </c>
      <c r="D1800" s="58" t="inlineStr">
        <is>
          <t>On-premise</t>
        </is>
      </c>
      <c r="E1800" s="53" t="n">
        <v>236</v>
      </c>
      <c r="F1800" s="53" t="n">
        <v>180</v>
      </c>
      <c r="G1800" s="55" t="n">
        <v>1539.55</v>
      </c>
      <c r="H1800" s="55" t="n">
        <v>1260.11</v>
      </c>
      <c r="I1800" s="53" t="n">
        <v>75</v>
      </c>
      <c r="J1800" s="53" t="n">
        <v>60</v>
      </c>
      <c r="K1800" s="53" t="n">
        <v>33</v>
      </c>
      <c r="L1800" s="53" t="n">
        <v>30</v>
      </c>
      <c r="M1800" s="33">
        <f>F1800-E1800</f>
        <v/>
      </c>
      <c r="N1800" s="33">
        <f>L1800-K1800</f>
        <v/>
      </c>
    </row>
    <row r="1801">
      <c r="A1801" s="58" t="inlineStr">
        <is>
          <t>41009 TRUE FOOD</t>
        </is>
      </c>
      <c r="B1801" s="58" t="inlineStr">
        <is>
          <t>Bergen</t>
        </is>
      </c>
      <c r="C1801" s="58" t="inlineStr">
        <is>
          <t>Nick Melissari</t>
        </is>
      </c>
      <c r="D1801" s="58" t="inlineStr">
        <is>
          <t>Unmatched</t>
        </is>
      </c>
      <c r="E1801" s="53" t="n">
        <v>26</v>
      </c>
      <c r="F1801" s="53" t="n">
        <v>23</v>
      </c>
      <c r="G1801" s="55" t="n">
        <v>238.58</v>
      </c>
      <c r="H1801" s="55" t="n">
        <v>216.15</v>
      </c>
      <c r="I1801" s="53" t="n">
        <v>0</v>
      </c>
      <c r="J1801" s="53" t="n">
        <v>10</v>
      </c>
      <c r="K1801" s="53" t="n">
        <v>16</v>
      </c>
      <c r="L1801" s="53" t="n">
        <v>13</v>
      </c>
      <c r="M1801" s="33">
        <f>F1801-E1801</f>
        <v/>
      </c>
      <c r="N1801" s="33">
        <f>L1801-K1801</f>
        <v/>
      </c>
    </row>
    <row r="1802">
      <c r="A1802" s="58" t="inlineStr">
        <is>
          <t>28008 Tavern On Ridge</t>
        </is>
      </c>
      <c r="B1802" s="58" t="inlineStr">
        <is>
          <t>Bergen</t>
        </is>
      </c>
      <c r="C1802" s="58" t="inlineStr">
        <is>
          <t>Nick Melissari</t>
        </is>
      </c>
      <c r="D1802" s="58" t="inlineStr">
        <is>
          <t>Unmatched</t>
        </is>
      </c>
      <c r="E1802" s="53" t="n">
        <v>500</v>
      </c>
      <c r="F1802" s="53" t="n">
        <v>413</v>
      </c>
      <c r="G1802" s="55" t="n">
        <v>3530.23</v>
      </c>
      <c r="H1802" s="55" t="n">
        <v>3028.1</v>
      </c>
      <c r="I1802" s="53" t="n">
        <v>62</v>
      </c>
      <c r="J1802" s="53" t="n">
        <v>37</v>
      </c>
      <c r="K1802" s="53" t="n">
        <v>5</v>
      </c>
      <c r="L1802" s="53" t="n">
        <v>2</v>
      </c>
      <c r="M1802" s="33">
        <f>F1802-E1802</f>
        <v/>
      </c>
      <c r="N1802" s="33">
        <f>L1802-K1802</f>
        <v/>
      </c>
    </row>
    <row r="1803">
      <c r="A1803" s="58" t="inlineStr">
        <is>
          <t>49060 Franco's Metro Rest (P)</t>
        </is>
      </c>
      <c r="B1803" s="58" t="inlineStr">
        <is>
          <t>Bergen</t>
        </is>
      </c>
      <c r="C1803" s="58" t="inlineStr">
        <is>
          <t>Nick Melissari</t>
        </is>
      </c>
      <c r="D1803" s="58" t="inlineStr">
        <is>
          <t>On-premise</t>
        </is>
      </c>
      <c r="E1803" s="53" t="n">
        <v>30</v>
      </c>
      <c r="F1803" s="53" t="n">
        <v>19</v>
      </c>
      <c r="G1803" s="55" t="n">
        <v>314.81</v>
      </c>
      <c r="H1803" s="55" t="n">
        <v>191.39</v>
      </c>
      <c r="I1803" s="53" t="n">
        <v>2</v>
      </c>
      <c r="J1803" s="53" t="n">
        <v>0</v>
      </c>
      <c r="K1803" s="53" t="n">
        <v>7</v>
      </c>
      <c r="L1803" s="53" t="n">
        <v>4</v>
      </c>
      <c r="M1803" s="33">
        <f>F1803-E1803</f>
        <v/>
      </c>
      <c r="N1803" s="33">
        <f>L1803-K1803</f>
        <v/>
      </c>
    </row>
    <row r="1804">
      <c r="A1804" s="58" t="inlineStr">
        <is>
          <t>25051 Portuguese Tavern Steak House</t>
        </is>
      </c>
      <c r="B1804" s="58" t="inlineStr">
        <is>
          <t>Passaic</t>
        </is>
      </c>
      <c r="C1804" s="58" t="inlineStr">
        <is>
          <t>Pablo Lopez</t>
        </is>
      </c>
      <c r="D1804" s="58" t="inlineStr">
        <is>
          <t>On-premise</t>
        </is>
      </c>
      <c r="E1804" s="53" t="n">
        <v>303</v>
      </c>
      <c r="F1804" s="53" t="n">
        <v>227</v>
      </c>
      <c r="G1804" s="55" t="n">
        <v>2424.63</v>
      </c>
      <c r="H1804" s="55" t="n">
        <v>1958.29</v>
      </c>
      <c r="I1804" s="53" t="n">
        <v>21</v>
      </c>
      <c r="J1804" s="53" t="n">
        <v>13</v>
      </c>
      <c r="K1804" s="53" t="n">
        <v>6</v>
      </c>
      <c r="L1804" s="53" t="n">
        <v>3</v>
      </c>
      <c r="M1804" s="33">
        <f>F1804-E1804</f>
        <v/>
      </c>
      <c r="N1804" s="33">
        <f>L1804-K1804</f>
        <v/>
      </c>
    </row>
    <row r="1805">
      <c r="A1805" s="58" t="inlineStr">
        <is>
          <t>76005 Midland Brewhouse (A)</t>
        </is>
      </c>
      <c r="B1805" s="58" t="inlineStr">
        <is>
          <t>Bergen</t>
        </is>
      </c>
      <c r="C1805" s="58" t="inlineStr">
        <is>
          <t>Paul Mclaughlin</t>
        </is>
      </c>
      <c r="D1805" s="58" t="inlineStr">
        <is>
          <t>On-premise</t>
        </is>
      </c>
      <c r="E1805" s="53" t="n">
        <v>524</v>
      </c>
      <c r="F1805" s="53" t="n">
        <v>317</v>
      </c>
      <c r="G1805" s="55" t="n">
        <v>4223</v>
      </c>
      <c r="H1805" s="55" t="n">
        <v>2249.06</v>
      </c>
      <c r="I1805" s="53" t="n">
        <v>100</v>
      </c>
      <c r="J1805" s="53" t="n">
        <v>59</v>
      </c>
      <c r="K1805" s="53" t="n">
        <v>32</v>
      </c>
      <c r="L1805" s="53" t="n">
        <v>29</v>
      </c>
      <c r="M1805" s="33">
        <f>F1805-E1805</f>
        <v/>
      </c>
      <c r="N1805" s="33">
        <f>L1805-K1805</f>
        <v/>
      </c>
    </row>
    <row r="1806">
      <c r="A1806" s="58" t="inlineStr">
        <is>
          <t>41023 The Whiskey Priest (Hackensack)</t>
        </is>
      </c>
      <c r="B1806" s="58" t="inlineStr">
        <is>
          <t>Bergen</t>
        </is>
      </c>
      <c r="C1806" s="58" t="inlineStr">
        <is>
          <t>Paul Mclaughlin</t>
        </is>
      </c>
      <c r="D1806" s="58" t="inlineStr">
        <is>
          <t>On-premise</t>
        </is>
      </c>
      <c r="E1806" s="53" t="n">
        <v>346</v>
      </c>
      <c r="F1806" s="53" t="n">
        <v>400</v>
      </c>
      <c r="G1806" s="55" t="n">
        <v>2879.3</v>
      </c>
      <c r="H1806" s="55" t="n">
        <v>3564.51</v>
      </c>
      <c r="I1806" s="53" t="n">
        <v>99</v>
      </c>
      <c r="J1806" s="53" t="n">
        <v>73</v>
      </c>
      <c r="K1806" s="53" t="n">
        <v>40</v>
      </c>
      <c r="L1806" s="53" t="n">
        <v>37</v>
      </c>
      <c r="M1806" s="33">
        <f>F1806-E1806</f>
        <v/>
      </c>
      <c r="N1806" s="33">
        <f>L1806-K1806</f>
        <v/>
      </c>
    </row>
    <row r="1807">
      <c r="A1807" s="58" t="inlineStr">
        <is>
          <t>67001 Olar Noso</t>
        </is>
      </c>
      <c r="B1807" s="58" t="inlineStr">
        <is>
          <t>Bergen</t>
        </is>
      </c>
      <c r="C1807" s="58" t="inlineStr">
        <is>
          <t>Paul Mclaughlin</t>
        </is>
      </c>
      <c r="D1807" s="58" t="inlineStr">
        <is>
          <t>On-premise</t>
        </is>
      </c>
      <c r="E1807" s="53" t="n">
        <v>11</v>
      </c>
      <c r="F1807" s="53" t="n">
        <v>8</v>
      </c>
      <c r="G1807" s="55" t="n">
        <v>96.88999999999999</v>
      </c>
      <c r="H1807" s="55" t="n">
        <v>63.54</v>
      </c>
      <c r="I1807" s="53" t="n">
        <v>4</v>
      </c>
      <c r="J1807" s="53" t="n">
        <v>1</v>
      </c>
      <c r="K1807" s="53" t="n">
        <v>11</v>
      </c>
      <c r="L1807" s="53" t="n">
        <v>8</v>
      </c>
      <c r="M1807" s="33">
        <f>F1807-E1807</f>
        <v/>
      </c>
      <c r="N1807" s="33">
        <f>L1807-K1807</f>
        <v/>
      </c>
    </row>
    <row r="1808">
      <c r="A1808" s="58" t="inlineStr">
        <is>
          <t>52003 Cassies (A)</t>
        </is>
      </c>
      <c r="B1808" s="58" t="inlineStr">
        <is>
          <t>Bergen</t>
        </is>
      </c>
      <c r="C1808" s="58" t="inlineStr">
        <is>
          <t>Paul Mclaughlin</t>
        </is>
      </c>
      <c r="D1808" s="58" t="inlineStr">
        <is>
          <t>On-premise</t>
        </is>
      </c>
      <c r="E1808" s="53" t="n">
        <v>27</v>
      </c>
      <c r="F1808" s="53" t="n">
        <v>34</v>
      </c>
      <c r="G1808" s="55" t="n">
        <v>304</v>
      </c>
      <c r="H1808" s="55" t="n">
        <v>331.73</v>
      </c>
      <c r="I1808" s="53" t="n">
        <v>15</v>
      </c>
      <c r="J1808" s="53" t="n">
        <v>7</v>
      </c>
      <c r="K1808" s="53" t="n">
        <v>9</v>
      </c>
      <c r="L1808" s="53" t="n">
        <v>6</v>
      </c>
      <c r="M1808" s="33">
        <f>F1808-E1808</f>
        <v/>
      </c>
      <c r="N1808" s="33">
        <f>L1808-K1808</f>
        <v/>
      </c>
    </row>
    <row r="1809">
      <c r="A1809" s="58" t="inlineStr">
        <is>
          <t>56001 Tony's Italian Cuisine</t>
        </is>
      </c>
      <c r="B1809" s="58" t="inlineStr">
        <is>
          <t>Bergen</t>
        </is>
      </c>
      <c r="C1809" s="58" t="inlineStr">
        <is>
          <t>Paul Mclaughlin</t>
        </is>
      </c>
      <c r="D1809" s="58" t="inlineStr">
        <is>
          <t>Unmatched</t>
        </is>
      </c>
      <c r="E1809" s="53" t="n">
        <v>150</v>
      </c>
      <c r="F1809" s="53" t="n">
        <v>121</v>
      </c>
      <c r="G1809" s="55" t="n">
        <v>1278.84</v>
      </c>
      <c r="H1809" s="55" t="n">
        <v>1100.65</v>
      </c>
      <c r="I1809" s="53" t="n">
        <v>4</v>
      </c>
      <c r="J1809" s="53" t="n">
        <v>7</v>
      </c>
      <c r="K1809" s="53" t="n">
        <v>5</v>
      </c>
      <c r="L1809" s="53" t="n">
        <v>2</v>
      </c>
      <c r="M1809" s="33">
        <f>F1809-E1809</f>
        <v/>
      </c>
      <c r="N1809" s="33">
        <f>L1809-K1809</f>
        <v/>
      </c>
    </row>
    <row r="1810">
      <c r="A1810" s="58" t="inlineStr">
        <is>
          <t>67011 Mykos</t>
        </is>
      </c>
      <c r="B1810" s="58" t="inlineStr">
        <is>
          <t>Bergen</t>
        </is>
      </c>
      <c r="C1810" s="58" t="inlineStr">
        <is>
          <t>Paul Mclaughlin</t>
        </is>
      </c>
      <c r="D1810" s="58" t="inlineStr">
        <is>
          <t>Off-premise</t>
        </is>
      </c>
      <c r="E1810" s="53" t="n">
        <v>6</v>
      </c>
      <c r="F1810" s="53" t="n">
        <v>3</v>
      </c>
      <c r="G1810" s="55" t="n">
        <v>53.72</v>
      </c>
      <c r="H1810" s="55" t="n">
        <v>22.34</v>
      </c>
      <c r="I1810" s="53" t="n">
        <v>14</v>
      </c>
      <c r="J1810" s="53" t="n">
        <v>16</v>
      </c>
      <c r="K1810" s="53" t="n">
        <v>6</v>
      </c>
      <c r="L1810" s="53" t="n">
        <v>3</v>
      </c>
      <c r="M1810" s="33">
        <f>F1810-E1810</f>
        <v/>
      </c>
      <c r="N1810" s="33">
        <f>L1810-K1810</f>
        <v/>
      </c>
    </row>
    <row r="1811">
      <c r="A1811" s="58" t="inlineStr">
        <is>
          <t>72002 Bareburger (Woodcliff Lake)</t>
        </is>
      </c>
      <c r="B1811" s="58" t="inlineStr">
        <is>
          <t>Bergen</t>
        </is>
      </c>
      <c r="C1811" s="58" t="inlineStr">
        <is>
          <t>Paul Mclaughlin</t>
        </is>
      </c>
      <c r="D1811" s="58" t="inlineStr">
        <is>
          <t>On-premise</t>
        </is>
      </c>
      <c r="E1811" s="53" t="n">
        <v>32</v>
      </c>
      <c r="F1811" s="53" t="n">
        <v>32</v>
      </c>
      <c r="G1811" s="55" t="n">
        <v>364.23</v>
      </c>
      <c r="H1811" s="55" t="n">
        <v>367.7900000000001</v>
      </c>
      <c r="I1811" s="53" t="n">
        <v>53</v>
      </c>
      <c r="J1811" s="53" t="n">
        <v>44</v>
      </c>
      <c r="K1811" s="53" t="n">
        <v>9</v>
      </c>
      <c r="L1811" s="53" t="n">
        <v>6</v>
      </c>
      <c r="M1811" s="33">
        <f>F1811-E1811</f>
        <v/>
      </c>
      <c r="N1811" s="33">
        <f>L1811-K1811</f>
        <v/>
      </c>
    </row>
    <row r="1812">
      <c r="A1812" s="58" t="inlineStr">
        <is>
          <t>75001 Emerson Hotel</t>
        </is>
      </c>
      <c r="B1812" s="58" t="inlineStr">
        <is>
          <t>Bergen</t>
        </is>
      </c>
      <c r="C1812" s="58" t="inlineStr">
        <is>
          <t>Paul Mclaughlin</t>
        </is>
      </c>
      <c r="D1812" s="58" t="inlineStr">
        <is>
          <t>On-premise</t>
        </is>
      </c>
      <c r="E1812" s="53" t="n">
        <v>256</v>
      </c>
      <c r="F1812" s="53" t="n">
        <v>184</v>
      </c>
      <c r="G1812" s="55" t="n">
        <v>1817.24</v>
      </c>
      <c r="H1812" s="55" t="n">
        <v>1269.16</v>
      </c>
      <c r="I1812" s="53" t="n">
        <v>109</v>
      </c>
      <c r="J1812" s="53" t="n">
        <v>98</v>
      </c>
      <c r="K1812" s="53" t="n">
        <v>8</v>
      </c>
      <c r="L1812" s="53" t="n">
        <v>5</v>
      </c>
      <c r="M1812" s="33">
        <f>F1812-E1812</f>
        <v/>
      </c>
      <c r="N1812" s="33">
        <f>L1812-K1812</f>
        <v/>
      </c>
    </row>
    <row r="1813">
      <c r="A1813" s="58" t="inlineStr">
        <is>
          <t>191203 American Lgn Oak Ridge Post 423</t>
        </is>
      </c>
      <c r="B1813" s="58" t="inlineStr">
        <is>
          <t>Morris</t>
        </is>
      </c>
      <c r="C1813" s="58" t="inlineStr">
        <is>
          <t>Robin Feldman</t>
        </is>
      </c>
      <c r="D1813" s="58" t="inlineStr">
        <is>
          <t>On-premise</t>
        </is>
      </c>
      <c r="E1813" s="53" t="n">
        <v>86</v>
      </c>
      <c r="F1813" s="53" t="n">
        <v>72</v>
      </c>
      <c r="G1813" s="55" t="n">
        <v>748.26</v>
      </c>
      <c r="H1813" s="55" t="n">
        <v>606.47</v>
      </c>
      <c r="I1813" s="53" t="n">
        <v>22</v>
      </c>
      <c r="J1813" s="53" t="n">
        <v>23</v>
      </c>
      <c r="K1813" s="53" t="n">
        <v>11</v>
      </c>
      <c r="L1813" s="53" t="n">
        <v>8</v>
      </c>
      <c r="M1813" s="33">
        <f>F1813-E1813</f>
        <v/>
      </c>
      <c r="N1813" s="33">
        <f>L1813-K1813</f>
        <v/>
      </c>
    </row>
    <row r="1814">
      <c r="A1814" s="58" t="inlineStr">
        <is>
          <t>231314 Elks Lodge 2288</t>
        </is>
      </c>
      <c r="B1814" s="58" t="inlineStr">
        <is>
          <t>Sussex</t>
        </is>
      </c>
      <c r="C1814" s="58" t="inlineStr">
        <is>
          <t>Robin Feldman</t>
        </is>
      </c>
      <c r="D1814" s="58" t="inlineStr">
        <is>
          <t>On-premise</t>
        </is>
      </c>
      <c r="E1814" s="53" t="n">
        <v>47</v>
      </c>
      <c r="F1814" s="53" t="n">
        <v>62</v>
      </c>
      <c r="G1814" s="55" t="n">
        <v>373.39</v>
      </c>
      <c r="H1814" s="55" t="n">
        <v>519.0899999999999</v>
      </c>
      <c r="I1814" s="53" t="n">
        <v>10</v>
      </c>
      <c r="J1814" s="53" t="n">
        <v>11</v>
      </c>
      <c r="K1814" s="53" t="n">
        <v>20</v>
      </c>
      <c r="L1814" s="53" t="n">
        <v>17</v>
      </c>
      <c r="M1814" s="33">
        <f>F1814-E1814</f>
        <v/>
      </c>
      <c r="N1814" s="33">
        <f>L1814-K1814</f>
        <v/>
      </c>
    </row>
    <row r="1815">
      <c r="A1815" s="58" t="inlineStr">
        <is>
          <t>12058 Sports Friends Soccer (A)</t>
        </is>
      </c>
      <c r="B1815" s="58" t="inlineStr">
        <is>
          <t>Passaic</t>
        </is>
      </c>
      <c r="C1815" s="58" t="inlineStr">
        <is>
          <t>Robin Feldman</t>
        </is>
      </c>
      <c r="D1815" s="58" t="inlineStr">
        <is>
          <t>On-premise</t>
        </is>
      </c>
      <c r="E1815" s="53" t="n">
        <v>49</v>
      </c>
      <c r="F1815" s="53" t="n">
        <v>18</v>
      </c>
      <c r="G1815" s="55" t="n">
        <v>464.69</v>
      </c>
      <c r="H1815" s="55" t="n">
        <v>181.87</v>
      </c>
      <c r="I1815" s="53" t="n">
        <v>67</v>
      </c>
      <c r="J1815" s="53" t="n">
        <v>31</v>
      </c>
      <c r="K1815" s="53" t="n">
        <v>9</v>
      </c>
      <c r="L1815" s="53" t="n">
        <v>6</v>
      </c>
      <c r="M1815" s="33">
        <f>F1815-E1815</f>
        <v/>
      </c>
      <c r="N1815" s="33">
        <f>L1815-K1815</f>
        <v/>
      </c>
    </row>
    <row r="1816">
      <c r="A1816" s="58" t="inlineStr">
        <is>
          <t>230305 Casa Bellisma (A)</t>
        </is>
      </c>
      <c r="B1816" s="58" t="inlineStr">
        <is>
          <t>Sussex</t>
        </is>
      </c>
      <c r="C1816" s="58" t="inlineStr">
        <is>
          <t>Robin Feldman</t>
        </is>
      </c>
      <c r="D1816" s="58" t="inlineStr">
        <is>
          <t>On-premise</t>
        </is>
      </c>
      <c r="E1816" s="53" t="n">
        <v>27</v>
      </c>
      <c r="F1816" s="53" t="n">
        <v>20</v>
      </c>
      <c r="G1816" s="55" t="n">
        <v>255.65</v>
      </c>
      <c r="H1816" s="55" t="n">
        <v>200.58</v>
      </c>
      <c r="I1816" s="53" t="n">
        <v>3</v>
      </c>
      <c r="J1816" s="53" t="n">
        <v>0</v>
      </c>
      <c r="K1816" s="53" t="n">
        <v>8</v>
      </c>
      <c r="L1816" s="53" t="n">
        <v>5</v>
      </c>
      <c r="M1816" s="33">
        <f>F1816-E1816</f>
        <v/>
      </c>
      <c r="N1816" s="33">
        <f>L1816-K1816</f>
        <v/>
      </c>
    </row>
    <row r="1817">
      <c r="A1817" s="58" t="inlineStr">
        <is>
          <t>31022 Candlewick</t>
        </is>
      </c>
      <c r="B1817" s="58" t="inlineStr">
        <is>
          <t>Bergen</t>
        </is>
      </c>
      <c r="C1817" s="58" t="inlineStr">
        <is>
          <t>Robin Feldman</t>
        </is>
      </c>
      <c r="D1817" s="58" t="inlineStr">
        <is>
          <t>On-premise</t>
        </is>
      </c>
      <c r="E1817" s="53" t="n">
        <v>45</v>
      </c>
      <c r="F1817" s="53" t="n">
        <v>48</v>
      </c>
      <c r="G1817" s="55" t="n">
        <v>530.63</v>
      </c>
      <c r="H1817" s="55" t="n">
        <v>516.62</v>
      </c>
      <c r="I1817" s="53" t="n">
        <v>18</v>
      </c>
      <c r="J1817" s="53" t="n">
        <v>20</v>
      </c>
      <c r="K1817" s="53" t="n">
        <v>14</v>
      </c>
      <c r="L1817" s="53" t="n">
        <v>11</v>
      </c>
      <c r="M1817" s="33">
        <f>F1817-E1817</f>
        <v/>
      </c>
      <c r="N1817" s="33">
        <f>L1817-K1817</f>
        <v/>
      </c>
    </row>
    <row r="1818">
      <c r="A1818" s="58" t="inlineStr">
        <is>
          <t>43033 American Lgn Fairview (A)</t>
        </is>
      </c>
      <c r="B1818" s="58" t="inlineStr">
        <is>
          <t>Bergen</t>
        </is>
      </c>
      <c r="C1818" s="58" t="inlineStr">
        <is>
          <t>Robin Feldman</t>
        </is>
      </c>
      <c r="D1818" s="58" t="inlineStr">
        <is>
          <t>On-premise</t>
        </is>
      </c>
      <c r="E1818" s="53" t="n">
        <v>157</v>
      </c>
      <c r="F1818" s="53" t="n">
        <v>25</v>
      </c>
      <c r="G1818" s="55" t="n">
        <v>1378.11</v>
      </c>
      <c r="H1818" s="55" t="n">
        <v>233.94</v>
      </c>
      <c r="I1818" s="53" t="n">
        <v>0</v>
      </c>
      <c r="J1818" s="53" t="n">
        <v>0</v>
      </c>
      <c r="K1818" s="53" t="n">
        <v>3</v>
      </c>
      <c r="L1818" s="53" t="n">
        <v>0</v>
      </c>
      <c r="M1818" s="33">
        <f>F1818-E1818</f>
        <v/>
      </c>
      <c r="N1818" s="33">
        <f>L1818-K1818</f>
        <v/>
      </c>
    </row>
    <row r="1819">
      <c r="A1819" s="58" t="inlineStr">
        <is>
          <t>190708 American Lgn Rockaway</t>
        </is>
      </c>
      <c r="B1819" s="58" t="inlineStr">
        <is>
          <t>Morris</t>
        </is>
      </c>
      <c r="C1819" s="58" t="inlineStr">
        <is>
          <t>Robin Feldman</t>
        </is>
      </c>
      <c r="D1819" s="58" t="inlineStr">
        <is>
          <t>On-premise</t>
        </is>
      </c>
      <c r="E1819" s="53" t="n">
        <v>132</v>
      </c>
      <c r="F1819" s="53" t="n">
        <v>100</v>
      </c>
      <c r="G1819" s="55" t="n">
        <v>727.8399999999999</v>
      </c>
      <c r="H1819" s="55" t="n">
        <v>589.36</v>
      </c>
      <c r="I1819" s="53" t="n">
        <v>17</v>
      </c>
      <c r="J1819" s="53" t="n">
        <v>7</v>
      </c>
      <c r="K1819" s="53" t="n">
        <v>3</v>
      </c>
      <c r="L1819" s="53" t="n">
        <v>0</v>
      </c>
      <c r="M1819" s="33">
        <f>F1819-E1819</f>
        <v/>
      </c>
      <c r="N1819" s="33">
        <f>L1819-K1819</f>
        <v/>
      </c>
    </row>
    <row r="1820">
      <c r="A1820" s="58" t="inlineStr">
        <is>
          <t>19006 Blackjack Mulligans (Hawthorne)</t>
        </is>
      </c>
      <c r="B1820" s="58" t="inlineStr">
        <is>
          <t>Passaic</t>
        </is>
      </c>
      <c r="C1820" s="58" t="inlineStr">
        <is>
          <t>Allison Scott</t>
        </is>
      </c>
      <c r="D1820" s="58" t="inlineStr">
        <is>
          <t>On-premise</t>
        </is>
      </c>
      <c r="E1820" s="53" t="n">
        <v>673</v>
      </c>
      <c r="F1820" s="53" t="n">
        <v>675</v>
      </c>
      <c r="G1820" s="55" t="n">
        <v>4864.22</v>
      </c>
      <c r="H1820" s="55" t="n">
        <v>4935.879999999999</v>
      </c>
      <c r="I1820" s="53" t="n">
        <v>166</v>
      </c>
      <c r="J1820" s="53" t="n">
        <v>144</v>
      </c>
      <c r="K1820" s="53" t="n">
        <v>56</v>
      </c>
      <c r="L1820" s="53" t="n">
        <v>52</v>
      </c>
      <c r="M1820" s="33">
        <f>F1820-E1820</f>
        <v/>
      </c>
      <c r="N1820" s="33">
        <f>L1820-K1820</f>
        <v/>
      </c>
    </row>
    <row r="1821">
      <c r="A1821" s="58" t="inlineStr">
        <is>
          <t>1005 Grasshopper Irish Pub (A)</t>
        </is>
      </c>
      <c r="B1821" s="58" t="inlineStr">
        <is>
          <t>Passaic</t>
        </is>
      </c>
      <c r="C1821" s="58" t="inlineStr">
        <is>
          <t>Allison Scott</t>
        </is>
      </c>
      <c r="D1821" s="58" t="inlineStr">
        <is>
          <t>On-premise</t>
        </is>
      </c>
      <c r="E1821" s="53" t="n">
        <v>692</v>
      </c>
      <c r="F1821" s="53" t="n">
        <v>705</v>
      </c>
      <c r="G1821" s="55" t="n">
        <v>4214.98</v>
      </c>
      <c r="H1821" s="55" t="n">
        <v>4486.22</v>
      </c>
      <c r="I1821" s="53" t="n">
        <v>214</v>
      </c>
      <c r="J1821" s="53" t="n">
        <v>173</v>
      </c>
      <c r="K1821" s="53" t="n">
        <v>17</v>
      </c>
      <c r="L1821" s="53" t="n">
        <v>13</v>
      </c>
      <c r="M1821" s="33">
        <f>F1821-E1821</f>
        <v/>
      </c>
      <c r="N1821" s="33">
        <f>L1821-K1821</f>
        <v/>
      </c>
    </row>
    <row r="1822">
      <c r="A1822" s="58" t="inlineStr">
        <is>
          <t>12049 Aramark Educational Services@WPU</t>
        </is>
      </c>
      <c r="B1822" s="58" t="inlineStr">
        <is>
          <t>Passaic</t>
        </is>
      </c>
      <c r="C1822" s="58" t="inlineStr">
        <is>
          <t>Allison Scott</t>
        </is>
      </c>
      <c r="D1822" s="58" t="inlineStr">
        <is>
          <t>On-premise</t>
        </is>
      </c>
      <c r="E1822" s="53" t="n">
        <v>10</v>
      </c>
      <c r="F1822" s="53" t="n">
        <v>0</v>
      </c>
      <c r="G1822" s="55" t="n">
        <v>118.76</v>
      </c>
      <c r="H1822" s="55" t="n">
        <v>0</v>
      </c>
      <c r="I1822" s="53" t="n">
        <v>0</v>
      </c>
      <c r="J1822" s="53" t="n">
        <v>0</v>
      </c>
      <c r="K1822" s="53" t="n">
        <v>4</v>
      </c>
      <c r="L1822" s="53" t="n">
        <v>0</v>
      </c>
      <c r="M1822" s="33">
        <f>F1822-E1822</f>
        <v/>
      </c>
      <c r="N1822" s="33">
        <f>L1822-K1822</f>
        <v/>
      </c>
    </row>
    <row r="1823">
      <c r="A1823" s="58" t="inlineStr">
        <is>
          <t>3002 The Celtic Knot</t>
        </is>
      </c>
      <c r="B1823" s="58" t="inlineStr">
        <is>
          <t>Passaic</t>
        </is>
      </c>
      <c r="C1823" s="58" t="inlineStr">
        <is>
          <t>Allison Scott</t>
        </is>
      </c>
      <c r="D1823" s="58" t="inlineStr">
        <is>
          <t>On-premise</t>
        </is>
      </c>
      <c r="E1823" s="53" t="n">
        <v>855</v>
      </c>
      <c r="F1823" s="53" t="n">
        <v>648</v>
      </c>
      <c r="G1823" s="55" t="n">
        <v>5836.46</v>
      </c>
      <c r="H1823" s="55" t="n">
        <v>4920.360000000001</v>
      </c>
      <c r="I1823" s="53" t="n">
        <v>177</v>
      </c>
      <c r="J1823" s="53" t="n">
        <v>212</v>
      </c>
      <c r="K1823" s="53" t="n">
        <v>62</v>
      </c>
      <c r="L1823" s="53" t="n">
        <v>58</v>
      </c>
      <c r="M1823" s="33">
        <f>F1823-E1823</f>
        <v/>
      </c>
      <c r="N1823" s="33">
        <f>L1823-K1823</f>
        <v/>
      </c>
    </row>
    <row r="1824">
      <c r="A1824" s="58" t="inlineStr">
        <is>
          <t>5002 100 Proof Bar &amp; Bites</t>
        </is>
      </c>
      <c r="B1824" s="58" t="inlineStr">
        <is>
          <t>Morris</t>
        </is>
      </c>
      <c r="C1824" s="58" t="inlineStr">
        <is>
          <t>Allison Scott</t>
        </is>
      </c>
      <c r="D1824" s="58" t="inlineStr">
        <is>
          <t>On-premise</t>
        </is>
      </c>
      <c r="E1824" s="53" t="n">
        <v>142</v>
      </c>
      <c r="F1824" s="53" t="n">
        <v>0</v>
      </c>
      <c r="G1824" s="55" t="n">
        <v>1299.66</v>
      </c>
      <c r="H1824" s="55" t="n">
        <v>0</v>
      </c>
      <c r="I1824" s="53" t="n">
        <v>9</v>
      </c>
      <c r="J1824" s="53" t="n">
        <v>0</v>
      </c>
      <c r="K1824" s="53" t="n">
        <v>4</v>
      </c>
      <c r="L1824" s="53" t="n">
        <v>0</v>
      </c>
      <c r="M1824" s="33">
        <f>F1824-E1824</f>
        <v/>
      </c>
      <c r="N1824" s="33">
        <f>L1824-K1824</f>
        <v/>
      </c>
    </row>
    <row r="1825">
      <c r="A1825" s="58" t="inlineStr">
        <is>
          <t>250133 Bayway World Of Liquor</t>
        </is>
      </c>
      <c r="B1825" s="58" t="inlineStr">
        <is>
          <t>Union</t>
        </is>
      </c>
      <c r="C1825" s="58" t="inlineStr">
        <is>
          <t>Andrew Lundy</t>
        </is>
      </c>
      <c r="D1825" s="58" t="inlineStr">
        <is>
          <t>Off-premise</t>
        </is>
      </c>
      <c r="E1825" s="53" t="n">
        <v>159</v>
      </c>
      <c r="F1825" s="53" t="n">
        <v>155</v>
      </c>
      <c r="G1825" s="55" t="n">
        <v>1092.22</v>
      </c>
      <c r="H1825" s="55" t="n">
        <v>1051.16</v>
      </c>
      <c r="I1825" s="53" t="n">
        <v>760</v>
      </c>
      <c r="J1825" s="53" t="n">
        <v>696</v>
      </c>
      <c r="K1825" s="53" t="n">
        <v>159</v>
      </c>
      <c r="L1825" s="53" t="n">
        <v>155</v>
      </c>
      <c r="M1825" s="33">
        <f>F1825-E1825</f>
        <v/>
      </c>
      <c r="N1825" s="33">
        <f>L1825-K1825</f>
        <v/>
      </c>
    </row>
    <row r="1826">
      <c r="A1826" s="58" t="inlineStr">
        <is>
          <t>250136 M &amp; M Liquors</t>
        </is>
      </c>
      <c r="B1826" s="58" t="inlineStr">
        <is>
          <t>Union</t>
        </is>
      </c>
      <c r="C1826" s="58" t="inlineStr">
        <is>
          <t>Andrew Lundy</t>
        </is>
      </c>
      <c r="D1826" s="58" t="inlineStr">
        <is>
          <t>Off-premise</t>
        </is>
      </c>
      <c r="E1826" s="53" t="n">
        <v>16</v>
      </c>
      <c r="F1826" s="53" t="n">
        <v>12</v>
      </c>
      <c r="G1826" s="55" t="n">
        <v>123.4</v>
      </c>
      <c r="H1826" s="55" t="n">
        <v>84.47</v>
      </c>
      <c r="I1826" s="53" t="n">
        <v>152</v>
      </c>
      <c r="J1826" s="53" t="n">
        <v>180</v>
      </c>
      <c r="K1826" s="53" t="n">
        <v>16</v>
      </c>
      <c r="L1826" s="53" t="n">
        <v>12</v>
      </c>
      <c r="M1826" s="33">
        <f>F1826-E1826</f>
        <v/>
      </c>
      <c r="N1826" s="33">
        <f>L1826-K1826</f>
        <v/>
      </c>
    </row>
    <row r="1827">
      <c r="A1827" s="58" t="inlineStr">
        <is>
          <t>230411 Cesco's Pizza (P)</t>
        </is>
      </c>
      <c r="B1827" s="58" t="inlineStr">
        <is>
          <t>Sussex</t>
        </is>
      </c>
      <c r="C1827" s="58" t="inlineStr">
        <is>
          <t>Brian Sengebush</t>
        </is>
      </c>
      <c r="D1827" s="58" t="inlineStr">
        <is>
          <t>On-premise</t>
        </is>
      </c>
      <c r="E1827" s="53" t="n">
        <v>38</v>
      </c>
      <c r="F1827" s="53" t="n">
        <v>27</v>
      </c>
      <c r="G1827" s="55" t="n">
        <v>334.99</v>
      </c>
      <c r="H1827" s="55" t="n">
        <v>238.18</v>
      </c>
      <c r="I1827" s="53" t="n">
        <v>4</v>
      </c>
      <c r="J1827" s="53" t="n">
        <v>3</v>
      </c>
      <c r="K1827" s="53" t="n">
        <v>7</v>
      </c>
      <c r="L1827" s="53" t="n">
        <v>3</v>
      </c>
      <c r="M1827" s="33">
        <f>F1827-E1827</f>
        <v/>
      </c>
      <c r="N1827" s="33">
        <f>L1827-K1827</f>
        <v/>
      </c>
    </row>
    <row r="1828">
      <c r="A1828" s="58" t="inlineStr">
        <is>
          <t>191523 Rustic Texmex &amp; Sports Bar</t>
        </is>
      </c>
      <c r="B1828" s="58" t="inlineStr">
        <is>
          <t>Sussex</t>
        </is>
      </c>
      <c r="C1828" s="58" t="inlineStr">
        <is>
          <t>Brian Sengebush</t>
        </is>
      </c>
      <c r="D1828" s="58" t="inlineStr">
        <is>
          <t>Unmatched</t>
        </is>
      </c>
      <c r="E1828" s="53" t="n">
        <v>135</v>
      </c>
      <c r="F1828" s="53" t="n">
        <v>108</v>
      </c>
      <c r="G1828" s="55" t="n">
        <v>906.6800000000001</v>
      </c>
      <c r="H1828" s="55" t="n">
        <v>531.3100000000001</v>
      </c>
      <c r="I1828" s="53" t="n">
        <v>43</v>
      </c>
      <c r="J1828" s="53" t="n">
        <v>13</v>
      </c>
      <c r="K1828" s="53" t="n">
        <v>4</v>
      </c>
      <c r="L1828" s="53" t="n">
        <v>0</v>
      </c>
      <c r="M1828" s="33">
        <f>F1828-E1828</f>
        <v/>
      </c>
      <c r="N1828" s="33">
        <f>L1828-K1828</f>
        <v/>
      </c>
    </row>
    <row r="1829">
      <c r="A1829" s="58" t="inlineStr">
        <is>
          <t>38016 Lodi Liquor Store(P)</t>
        </is>
      </c>
      <c r="B1829" s="58" t="inlineStr">
        <is>
          <t>Bergen</t>
        </is>
      </c>
      <c r="C1829" s="58" t="inlineStr">
        <is>
          <t>Chris Payton</t>
        </is>
      </c>
      <c r="D1829" s="58" t="inlineStr">
        <is>
          <t>Off-premise</t>
        </is>
      </c>
      <c r="E1829" s="53" t="n">
        <v>1962</v>
      </c>
      <c r="F1829" s="53" t="n">
        <v>2021</v>
      </c>
      <c r="G1829" s="55" t="n">
        <v>13451.38</v>
      </c>
      <c r="H1829" s="55" t="n">
        <v>14336</v>
      </c>
      <c r="I1829" s="53" t="n">
        <v>361</v>
      </c>
      <c r="J1829" s="53" t="n">
        <v>337</v>
      </c>
      <c r="K1829" s="53" t="n">
        <v>267</v>
      </c>
      <c r="L1829" s="53" t="n">
        <v>263</v>
      </c>
      <c r="M1829" s="33">
        <f>F1829-E1829</f>
        <v/>
      </c>
      <c r="N1829" s="33">
        <f>L1829-K1829</f>
        <v/>
      </c>
    </row>
    <row r="1830">
      <c r="A1830" s="58" t="inlineStr">
        <is>
          <t>53001 Brownstone Pancake Factor</t>
        </is>
      </c>
      <c r="B1830" s="58" t="inlineStr">
        <is>
          <t>Bergen</t>
        </is>
      </c>
      <c r="C1830" s="58" t="inlineStr">
        <is>
          <t>Dan Lagala</t>
        </is>
      </c>
      <c r="D1830" s="58" t="inlineStr">
        <is>
          <t>On-premise</t>
        </is>
      </c>
      <c r="E1830" s="53" t="n">
        <v>38</v>
      </c>
      <c r="F1830" s="53" t="n">
        <v>20</v>
      </c>
      <c r="G1830" s="55" t="n">
        <v>394.4</v>
      </c>
      <c r="H1830" s="55" t="n">
        <v>200.7</v>
      </c>
      <c r="I1830" s="53" t="n">
        <v>2</v>
      </c>
      <c r="J1830" s="53" t="n">
        <v>0</v>
      </c>
      <c r="K1830" s="53" t="n">
        <v>4</v>
      </c>
      <c r="L1830" s="53" t="n">
        <v>0</v>
      </c>
      <c r="M1830" s="33">
        <f>F1830-E1830</f>
        <v/>
      </c>
      <c r="N1830" s="33">
        <f>L1830-K1830</f>
        <v/>
      </c>
    </row>
    <row r="1831">
      <c r="A1831" s="58" t="inlineStr">
        <is>
          <t>43031 La Fortuna (P)</t>
        </is>
      </c>
      <c r="B1831" s="58" t="inlineStr">
        <is>
          <t>Bergen</t>
        </is>
      </c>
      <c r="C1831" s="58" t="inlineStr">
        <is>
          <t>Dan Lagala</t>
        </is>
      </c>
      <c r="D1831" s="58" t="inlineStr">
        <is>
          <t>On-premise</t>
        </is>
      </c>
      <c r="E1831" s="53" t="n">
        <v>234</v>
      </c>
      <c r="F1831" s="53" t="n">
        <v>185</v>
      </c>
      <c r="G1831" s="55" t="n">
        <v>1886.22</v>
      </c>
      <c r="H1831" s="55" t="n">
        <v>1547.41</v>
      </c>
      <c r="I1831" s="53" t="n">
        <v>0</v>
      </c>
      <c r="J1831" s="53" t="n">
        <v>0</v>
      </c>
      <c r="K1831" s="53" t="n">
        <v>4</v>
      </c>
      <c r="L1831" s="53" t="n">
        <v>0</v>
      </c>
      <c r="M1831" s="33">
        <f>F1831-E1831</f>
        <v/>
      </c>
      <c r="N1831" s="33">
        <f>L1831-K1831</f>
        <v/>
      </c>
    </row>
    <row r="1832">
      <c r="A1832" s="58" t="inlineStr">
        <is>
          <t>15069 Mexico Bar &amp; Grill</t>
        </is>
      </c>
      <c r="B1832" s="58" t="inlineStr">
        <is>
          <t>Passaic</t>
        </is>
      </c>
      <c r="C1832" s="58" t="inlineStr">
        <is>
          <t>Derrick Laws</t>
        </is>
      </c>
      <c r="D1832" s="58" t="inlineStr">
        <is>
          <t>On-premise</t>
        </is>
      </c>
      <c r="E1832" s="53" t="n">
        <v>290</v>
      </c>
      <c r="F1832" s="53" t="n">
        <v>345</v>
      </c>
      <c r="G1832" s="55" t="n">
        <v>2762.72</v>
      </c>
      <c r="H1832" s="55" t="n">
        <v>3170.71</v>
      </c>
      <c r="I1832" s="53" t="n">
        <v>24</v>
      </c>
      <c r="J1832" s="53" t="n">
        <v>24</v>
      </c>
      <c r="K1832" s="53" t="n">
        <v>12</v>
      </c>
      <c r="L1832" s="53" t="n">
        <v>8</v>
      </c>
      <c r="M1832" s="33">
        <f>F1832-E1832</f>
        <v/>
      </c>
      <c r="N1832" s="33">
        <f>L1832-K1832</f>
        <v/>
      </c>
    </row>
    <row r="1833">
      <c r="A1833" s="58" t="inlineStr">
        <is>
          <t>21012 Elks Ldge 333 (Z) Pater.</t>
        </is>
      </c>
      <c r="B1833" s="58" t="inlineStr">
        <is>
          <t>Passaic</t>
        </is>
      </c>
      <c r="C1833" s="58" t="inlineStr">
        <is>
          <t>Derrick Laws</t>
        </is>
      </c>
      <c r="D1833" s="58" t="inlineStr">
        <is>
          <t>On-premise</t>
        </is>
      </c>
      <c r="E1833" s="53" t="n">
        <v>166</v>
      </c>
      <c r="F1833" s="53" t="n">
        <v>56</v>
      </c>
      <c r="G1833" s="55" t="n">
        <v>1611.38</v>
      </c>
      <c r="H1833" s="55" t="n">
        <v>566.3200000000001</v>
      </c>
      <c r="I1833" s="53" t="n">
        <v>8</v>
      </c>
      <c r="J1833" s="53" t="n">
        <v>0</v>
      </c>
      <c r="K1833" s="53" t="n">
        <v>5</v>
      </c>
      <c r="L1833" s="53" t="n">
        <v>1</v>
      </c>
      <c r="M1833" s="33">
        <f>F1833-E1833</f>
        <v/>
      </c>
      <c r="N1833" s="33">
        <f>L1833-K1833</f>
        <v/>
      </c>
    </row>
    <row r="1834">
      <c r="A1834" s="58" t="inlineStr">
        <is>
          <t>170057 New Town Liquors (P)</t>
        </is>
      </c>
      <c r="B1834" s="58" t="inlineStr">
        <is>
          <t>Hudson</t>
        </is>
      </c>
      <c r="C1834" s="58" t="inlineStr">
        <is>
          <t>Dylan Rubino</t>
        </is>
      </c>
      <c r="D1834" s="58" t="inlineStr">
        <is>
          <t>Off-premise</t>
        </is>
      </c>
      <c r="E1834" s="53" t="n">
        <v>14</v>
      </c>
      <c r="F1834" s="53" t="n">
        <v>10</v>
      </c>
      <c r="G1834" s="55" t="n">
        <v>107.33</v>
      </c>
      <c r="H1834" s="55" t="n">
        <v>75.31</v>
      </c>
      <c r="I1834" s="53" t="n">
        <v>42</v>
      </c>
      <c r="J1834" s="53" t="n">
        <v>74</v>
      </c>
      <c r="K1834" s="53" t="n">
        <v>14</v>
      </c>
      <c r="L1834" s="53" t="n">
        <v>10</v>
      </c>
      <c r="M1834" s="33">
        <f>F1834-E1834</f>
        <v/>
      </c>
      <c r="N1834" s="33">
        <f>L1834-K1834</f>
        <v/>
      </c>
    </row>
    <row r="1835">
      <c r="A1835" s="58" t="inlineStr">
        <is>
          <t>170181 Power Liquors</t>
        </is>
      </c>
      <c r="B1835" s="58" t="inlineStr">
        <is>
          <t>Hudson</t>
        </is>
      </c>
      <c r="C1835" s="58" t="inlineStr">
        <is>
          <t>Dylan Rubino</t>
        </is>
      </c>
      <c r="D1835" s="58" t="inlineStr">
        <is>
          <t>Off-premise</t>
        </is>
      </c>
      <c r="E1835" s="53" t="n">
        <v>9</v>
      </c>
      <c r="F1835" s="53" t="n">
        <v>5</v>
      </c>
      <c r="G1835" s="55" t="n">
        <v>71.53</v>
      </c>
      <c r="H1835" s="55" t="n">
        <v>42.01</v>
      </c>
      <c r="I1835" s="53" t="n">
        <v>39</v>
      </c>
      <c r="J1835" s="53" t="n">
        <v>35</v>
      </c>
      <c r="K1835" s="53" t="n">
        <v>9</v>
      </c>
      <c r="L1835" s="53" t="n">
        <v>5</v>
      </c>
      <c r="M1835" s="33">
        <f>F1835-E1835</f>
        <v/>
      </c>
      <c r="N1835" s="33">
        <f>L1835-K1835</f>
        <v/>
      </c>
    </row>
    <row r="1836">
      <c r="A1836" s="58" t="inlineStr">
        <is>
          <t>178000 Wine Spot</t>
        </is>
      </c>
      <c r="B1836" s="58" t="inlineStr">
        <is>
          <t>Hudson</t>
        </is>
      </c>
      <c r="C1836" s="58" t="inlineStr">
        <is>
          <t>Dylan Rubino</t>
        </is>
      </c>
      <c r="D1836" s="58" t="inlineStr">
        <is>
          <t>Off-premise</t>
        </is>
      </c>
      <c r="E1836" s="53" t="n">
        <v>28</v>
      </c>
      <c r="F1836" s="53" t="n">
        <v>24</v>
      </c>
      <c r="G1836" s="55" t="n">
        <v>229.14</v>
      </c>
      <c r="H1836" s="55" t="n">
        <v>220.25</v>
      </c>
      <c r="I1836" s="53" t="n">
        <v>99</v>
      </c>
      <c r="J1836" s="53" t="n">
        <v>88</v>
      </c>
      <c r="K1836" s="53" t="n">
        <v>28</v>
      </c>
      <c r="L1836" s="53" t="n">
        <v>24</v>
      </c>
      <c r="M1836" s="33">
        <f>F1836-E1836</f>
        <v/>
      </c>
      <c r="N1836" s="33">
        <f>L1836-K1836</f>
        <v/>
      </c>
    </row>
    <row r="1837">
      <c r="A1837" s="58" t="inlineStr">
        <is>
          <t>178005 Best Liquors &amp; Deli</t>
        </is>
      </c>
      <c r="B1837" s="58" t="inlineStr">
        <is>
          <t>Hudson</t>
        </is>
      </c>
      <c r="C1837" s="58" t="inlineStr">
        <is>
          <t>Dylan Rubino</t>
        </is>
      </c>
      <c r="D1837" s="58" t="inlineStr">
        <is>
          <t>Off-premise</t>
        </is>
      </c>
      <c r="E1837" s="53" t="n">
        <v>4</v>
      </c>
      <c r="F1837" s="53" t="n">
        <v>0</v>
      </c>
      <c r="G1837" s="55" t="n">
        <v>51.13</v>
      </c>
      <c r="H1837" s="55" t="n">
        <v>0</v>
      </c>
      <c r="I1837" s="53" t="n">
        <v>25</v>
      </c>
      <c r="J1837" s="53" t="n">
        <v>48</v>
      </c>
      <c r="K1837" s="53" t="n">
        <v>4</v>
      </c>
      <c r="L1837" s="53" t="n">
        <v>0</v>
      </c>
      <c r="M1837" s="33">
        <f>F1837-E1837</f>
        <v/>
      </c>
      <c r="N1837" s="33">
        <f>L1837-K1837</f>
        <v/>
      </c>
    </row>
    <row r="1838">
      <c r="A1838" s="58" t="inlineStr">
        <is>
          <t>150620 Maplewood Wine &amp; Liquor</t>
        </is>
      </c>
      <c r="B1838" s="58" t="inlineStr">
        <is>
          <t>Essex</t>
        </is>
      </c>
      <c r="C1838" s="58" t="inlineStr">
        <is>
          <t>Hakan Sadik</t>
        </is>
      </c>
      <c r="D1838" s="58" t="inlineStr">
        <is>
          <t>Off-premise</t>
        </is>
      </c>
      <c r="E1838" s="53" t="n">
        <v>13</v>
      </c>
      <c r="F1838" s="53" t="n">
        <v>9</v>
      </c>
      <c r="G1838" s="55" t="n">
        <v>114.27</v>
      </c>
      <c r="H1838" s="55" t="n">
        <v>71.55</v>
      </c>
      <c r="I1838" s="53" t="n">
        <v>86</v>
      </c>
      <c r="J1838" s="53" t="n">
        <v>76</v>
      </c>
      <c r="K1838" s="53" t="n">
        <v>13</v>
      </c>
      <c r="L1838" s="53" t="n">
        <v>9</v>
      </c>
      <c r="M1838" s="33">
        <f>F1838-E1838</f>
        <v/>
      </c>
      <c r="N1838" s="33">
        <f>L1838-K1838</f>
        <v/>
      </c>
    </row>
    <row r="1839">
      <c r="A1839" s="58" t="inlineStr">
        <is>
          <t>150134 Bell Liquor</t>
        </is>
      </c>
      <c r="B1839" s="58" t="inlineStr">
        <is>
          <t>Essex</t>
        </is>
      </c>
      <c r="C1839" s="58" t="inlineStr">
        <is>
          <t>Hakan Sadik</t>
        </is>
      </c>
      <c r="D1839" s="58" t="inlineStr">
        <is>
          <t>Off-premise</t>
        </is>
      </c>
      <c r="E1839" s="53" t="n">
        <v>14</v>
      </c>
      <c r="F1839" s="53" t="n">
        <v>10</v>
      </c>
      <c r="G1839" s="55" t="n">
        <v>114.83</v>
      </c>
      <c r="H1839" s="55" t="n">
        <v>70.83</v>
      </c>
      <c r="I1839" s="53" t="n">
        <v>111</v>
      </c>
      <c r="J1839" s="53" t="n">
        <v>54</v>
      </c>
      <c r="K1839" s="53" t="n">
        <v>14</v>
      </c>
      <c r="L1839" s="53" t="n">
        <v>10</v>
      </c>
      <c r="M1839" s="33">
        <f>F1839-E1839</f>
        <v/>
      </c>
      <c r="N1839" s="33">
        <f>L1839-K1839</f>
        <v/>
      </c>
    </row>
    <row r="1840">
      <c r="A1840" s="58" t="inlineStr">
        <is>
          <t>150147 Irvington Liquors</t>
        </is>
      </c>
      <c r="B1840" s="58" t="inlineStr">
        <is>
          <t>Essex</t>
        </is>
      </c>
      <c r="C1840" s="58" t="inlineStr">
        <is>
          <t>Hakan Sadik</t>
        </is>
      </c>
      <c r="D1840" s="58" t="inlineStr">
        <is>
          <t>Off-premise</t>
        </is>
      </c>
      <c r="E1840" s="53" t="n">
        <v>9</v>
      </c>
      <c r="F1840" s="53" t="n">
        <v>5</v>
      </c>
      <c r="G1840" s="55" t="n">
        <v>71.53</v>
      </c>
      <c r="H1840" s="55" t="n">
        <v>42.01</v>
      </c>
      <c r="I1840" s="53" t="n">
        <v>105</v>
      </c>
      <c r="J1840" s="53" t="n">
        <v>44</v>
      </c>
      <c r="K1840" s="53" t="n">
        <v>9</v>
      </c>
      <c r="L1840" s="53" t="n">
        <v>5</v>
      </c>
      <c r="M1840" s="33">
        <f>F1840-E1840</f>
        <v/>
      </c>
      <c r="N1840" s="33">
        <f>L1840-K1840</f>
        <v/>
      </c>
    </row>
    <row r="1841">
      <c r="A1841" s="58" t="inlineStr">
        <is>
          <t>150154 Toast Of The Town</t>
        </is>
      </c>
      <c r="B1841" s="58" t="inlineStr">
        <is>
          <t>Essex</t>
        </is>
      </c>
      <c r="C1841" s="58" t="inlineStr">
        <is>
          <t>Hakan Sadik</t>
        </is>
      </c>
      <c r="D1841" s="58" t="inlineStr">
        <is>
          <t>Off-premise</t>
        </is>
      </c>
      <c r="E1841" s="53" t="n">
        <v>13</v>
      </c>
      <c r="F1841" s="53" t="n">
        <v>9</v>
      </c>
      <c r="G1841" s="55" t="n">
        <v>107.21</v>
      </c>
      <c r="H1841" s="55" t="n">
        <v>70.83</v>
      </c>
      <c r="I1841" s="53" t="n">
        <v>422</v>
      </c>
      <c r="J1841" s="53" t="n">
        <v>362</v>
      </c>
      <c r="K1841" s="53" t="n">
        <v>13</v>
      </c>
      <c r="L1841" s="53" t="n">
        <v>9</v>
      </c>
      <c r="M1841" s="33">
        <f>F1841-E1841</f>
        <v/>
      </c>
      <c r="N1841" s="33">
        <f>L1841-K1841</f>
        <v/>
      </c>
    </row>
    <row r="1842">
      <c r="A1842" s="58" t="inlineStr">
        <is>
          <t>27146 Foxes Place</t>
        </is>
      </c>
      <c r="B1842" s="58" t="inlineStr">
        <is>
          <t>Passaic</t>
        </is>
      </c>
      <c r="C1842" s="58" t="inlineStr">
        <is>
          <t>Javier Melo</t>
        </is>
      </c>
      <c r="D1842" s="58" t="inlineStr">
        <is>
          <t>On-premise</t>
        </is>
      </c>
      <c r="E1842" s="53" t="n">
        <v>126</v>
      </c>
      <c r="F1842" s="53" t="n">
        <v>0</v>
      </c>
      <c r="G1842" s="55" t="n">
        <v>1118.15</v>
      </c>
      <c r="H1842" s="55" t="n">
        <v>0</v>
      </c>
      <c r="I1842" s="53" t="n">
        <v>6</v>
      </c>
      <c r="J1842" s="53" t="n">
        <v>0</v>
      </c>
      <c r="K1842" s="53" t="n">
        <v>4</v>
      </c>
      <c r="L1842" s="53" t="n">
        <v>0</v>
      </c>
      <c r="M1842" s="33">
        <f>F1842-E1842</f>
        <v/>
      </c>
      <c r="N1842" s="33">
        <f>L1842-K1842</f>
        <v/>
      </c>
    </row>
    <row r="1843">
      <c r="A1843" s="58" t="inlineStr">
        <is>
          <t>190036 Wine Cellar Of Morristown</t>
        </is>
      </c>
      <c r="B1843" s="58" t="inlineStr">
        <is>
          <t>Morris</t>
        </is>
      </c>
      <c r="C1843" s="58" t="inlineStr">
        <is>
          <t>John O'Donoghue</t>
        </is>
      </c>
      <c r="D1843" s="58" t="inlineStr">
        <is>
          <t>Unmatched</t>
        </is>
      </c>
      <c r="E1843" s="53" t="n">
        <v>14</v>
      </c>
      <c r="F1843" s="53" t="n">
        <v>10</v>
      </c>
      <c r="G1843" s="55" t="n">
        <v>128.1</v>
      </c>
      <c r="H1843" s="55" t="n">
        <v>85.56999999999999</v>
      </c>
      <c r="I1843" s="53" t="n">
        <v>93</v>
      </c>
      <c r="J1843" s="53" t="n">
        <v>71</v>
      </c>
      <c r="K1843" s="53" t="n">
        <v>14</v>
      </c>
      <c r="L1843" s="53" t="n">
        <v>10</v>
      </c>
      <c r="M1843" s="33">
        <f>F1843-E1843</f>
        <v/>
      </c>
      <c r="N1843" s="33">
        <f>L1843-K1843</f>
        <v/>
      </c>
    </row>
    <row r="1844">
      <c r="A1844" s="58" t="inlineStr">
        <is>
          <t>191604 The Village Place</t>
        </is>
      </c>
      <c r="B1844" s="58" t="inlineStr">
        <is>
          <t>Morris</t>
        </is>
      </c>
      <c r="C1844" s="58" t="inlineStr">
        <is>
          <t>Klejdi Lamo</t>
        </is>
      </c>
      <c r="D1844" s="58" t="inlineStr">
        <is>
          <t>Off-premise</t>
        </is>
      </c>
      <c r="E1844" s="53" t="n">
        <v>485</v>
      </c>
      <c r="F1844" s="53" t="n">
        <v>391</v>
      </c>
      <c r="G1844" s="55" t="n">
        <v>3134.88</v>
      </c>
      <c r="H1844" s="55" t="n">
        <v>2762.55</v>
      </c>
      <c r="I1844" s="53" t="n">
        <v>14</v>
      </c>
      <c r="J1844" s="53" t="n">
        <v>2</v>
      </c>
      <c r="K1844" s="53" t="n">
        <v>27</v>
      </c>
      <c r="L1844" s="53" t="n">
        <v>23</v>
      </c>
      <c r="M1844" s="33">
        <f>F1844-E1844</f>
        <v/>
      </c>
      <c r="N1844" s="33">
        <f>L1844-K1844</f>
        <v/>
      </c>
    </row>
    <row r="1845">
      <c r="A1845" s="58" t="inlineStr">
        <is>
          <t>36008 Vicki's Bar &amp; Liquors</t>
        </is>
      </c>
      <c r="B1845" s="58" t="inlineStr">
        <is>
          <t>Bergen</t>
        </is>
      </c>
      <c r="C1845" s="58" t="inlineStr">
        <is>
          <t>Matt Powierski</t>
        </is>
      </c>
      <c r="D1845" s="58" t="inlineStr">
        <is>
          <t>Off-premise</t>
        </is>
      </c>
      <c r="E1845" s="53" t="n">
        <v>375</v>
      </c>
      <c r="F1845" s="53" t="n">
        <v>264</v>
      </c>
      <c r="G1845" s="55" t="n">
        <v>3311.24</v>
      </c>
      <c r="H1845" s="55" t="n">
        <v>2505.29</v>
      </c>
      <c r="I1845" s="53" t="n">
        <v>35</v>
      </c>
      <c r="J1845" s="53" t="n">
        <v>41</v>
      </c>
      <c r="K1845" s="53" t="n">
        <v>8</v>
      </c>
      <c r="L1845" s="53" t="n">
        <v>4</v>
      </c>
      <c r="M1845" s="33">
        <f>F1845-E1845</f>
        <v/>
      </c>
      <c r="N1845" s="33">
        <f>L1845-K1845</f>
        <v/>
      </c>
    </row>
    <row r="1846">
      <c r="A1846" s="58" t="inlineStr">
        <is>
          <t>150005 The Bottle Stop (Caldwell)</t>
        </is>
      </c>
      <c r="B1846" s="58" t="inlineStr">
        <is>
          <t>Essex</t>
        </is>
      </c>
      <c r="C1846" s="58" t="inlineStr">
        <is>
          <t>Michael Harboy</t>
        </is>
      </c>
      <c r="D1846" s="58" t="inlineStr">
        <is>
          <t>Off-premise</t>
        </is>
      </c>
      <c r="E1846" s="53" t="n">
        <v>9</v>
      </c>
      <c r="F1846" s="53" t="n">
        <v>5</v>
      </c>
      <c r="G1846" s="55" t="n">
        <v>77.78</v>
      </c>
      <c r="H1846" s="55" t="n">
        <v>42.01</v>
      </c>
      <c r="I1846" s="53" t="n">
        <v>169</v>
      </c>
      <c r="J1846" s="53" t="n">
        <v>297</v>
      </c>
      <c r="K1846" s="53" t="n">
        <v>9</v>
      </c>
      <c r="L1846" s="53" t="n">
        <v>5</v>
      </c>
      <c r="M1846" s="33">
        <f>F1846-E1846</f>
        <v/>
      </c>
      <c r="N1846" s="33">
        <f>L1846-K1846</f>
        <v/>
      </c>
    </row>
    <row r="1847">
      <c r="A1847" s="58" t="inlineStr">
        <is>
          <t>88007 Charlie's Place</t>
        </is>
      </c>
      <c r="B1847" s="58" t="inlineStr">
        <is>
          <t>Bergen</t>
        </is>
      </c>
      <c r="C1847" s="58" t="inlineStr">
        <is>
          <t>Nick Melissari</t>
        </is>
      </c>
      <c r="D1847" s="58" t="inlineStr">
        <is>
          <t>On-premise</t>
        </is>
      </c>
      <c r="E1847" s="53" t="n">
        <v>59</v>
      </c>
      <c r="F1847" s="53" t="n">
        <v>71</v>
      </c>
      <c r="G1847" s="55" t="n">
        <v>465.72</v>
      </c>
      <c r="H1847" s="55" t="n">
        <v>533.71</v>
      </c>
      <c r="I1847" s="53" t="n">
        <v>13</v>
      </c>
      <c r="J1847" s="53" t="n">
        <v>21</v>
      </c>
      <c r="K1847" s="53" t="n">
        <v>41</v>
      </c>
      <c r="L1847" s="53" t="n">
        <v>37</v>
      </c>
      <c r="M1847" s="33">
        <f>F1847-E1847</f>
        <v/>
      </c>
      <c r="N1847" s="33">
        <f>L1847-K1847</f>
        <v/>
      </c>
    </row>
    <row r="1848">
      <c r="A1848" s="58" t="inlineStr">
        <is>
          <t>94009 Oakland Diner</t>
        </is>
      </c>
      <c r="B1848" s="58" t="inlineStr">
        <is>
          <t>Bergen</t>
        </is>
      </c>
      <c r="C1848" s="58" t="inlineStr">
        <is>
          <t>Nick Melissari</t>
        </is>
      </c>
      <c r="D1848" s="58" t="inlineStr">
        <is>
          <t>On-premise</t>
        </is>
      </c>
      <c r="E1848" s="53" t="n">
        <v>28</v>
      </c>
      <c r="F1848" s="53" t="n">
        <v>28</v>
      </c>
      <c r="G1848" s="55" t="n">
        <v>308.96</v>
      </c>
      <c r="H1848" s="55" t="n">
        <v>262.62</v>
      </c>
      <c r="I1848" s="53" t="n">
        <v>19</v>
      </c>
      <c r="J1848" s="53" t="n">
        <v>17</v>
      </c>
      <c r="K1848" s="53" t="n">
        <v>10</v>
      </c>
      <c r="L1848" s="53" t="n">
        <v>6</v>
      </c>
      <c r="M1848" s="33">
        <f>F1848-E1848</f>
        <v/>
      </c>
      <c r="N1848" s="33">
        <f>L1848-K1848</f>
        <v/>
      </c>
    </row>
    <row r="1849">
      <c r="A1849" s="58" t="inlineStr">
        <is>
          <t>31030 Al-Di-La' (P)</t>
        </is>
      </c>
      <c r="B1849" s="58" t="inlineStr">
        <is>
          <t>Bergen</t>
        </is>
      </c>
      <c r="C1849" s="58" t="inlineStr">
        <is>
          <t>Nick Melissari</t>
        </is>
      </c>
      <c r="D1849" s="58" t="inlineStr">
        <is>
          <t>On-premise</t>
        </is>
      </c>
      <c r="E1849" s="53" t="n">
        <v>43</v>
      </c>
      <c r="F1849" s="53" t="n">
        <v>16</v>
      </c>
      <c r="G1849" s="55" t="n">
        <v>438.33</v>
      </c>
      <c r="H1849" s="55" t="n">
        <v>163.9</v>
      </c>
      <c r="I1849" s="53" t="n">
        <v>1</v>
      </c>
      <c r="J1849" s="53" t="n">
        <v>0</v>
      </c>
      <c r="K1849" s="53" t="n">
        <v>7</v>
      </c>
      <c r="L1849" s="53" t="n">
        <v>3</v>
      </c>
      <c r="M1849" s="33">
        <f>F1849-E1849</f>
        <v/>
      </c>
      <c r="N1849" s="33">
        <f>L1849-K1849</f>
        <v/>
      </c>
    </row>
    <row r="1850">
      <c r="A1850" s="58" t="inlineStr">
        <is>
          <t>38020 Lodi Lanes (A)</t>
        </is>
      </c>
      <c r="B1850" s="58" t="inlineStr">
        <is>
          <t>Bergen</t>
        </is>
      </c>
      <c r="C1850" s="58" t="inlineStr">
        <is>
          <t>Nick Melissari</t>
        </is>
      </c>
      <c r="D1850" s="58" t="inlineStr">
        <is>
          <t>On-premise</t>
        </is>
      </c>
      <c r="E1850" s="53" t="n">
        <v>228</v>
      </c>
      <c r="F1850" s="53" t="n">
        <v>233</v>
      </c>
      <c r="G1850" s="55" t="n">
        <v>1616.16</v>
      </c>
      <c r="H1850" s="55" t="n">
        <v>1816.27</v>
      </c>
      <c r="I1850" s="53" t="n">
        <v>152</v>
      </c>
      <c r="J1850" s="53" t="n">
        <v>148</v>
      </c>
      <c r="K1850" s="53" t="n">
        <v>7</v>
      </c>
      <c r="L1850" s="53" t="n">
        <v>3</v>
      </c>
      <c r="M1850" s="33">
        <f>F1850-E1850</f>
        <v/>
      </c>
      <c r="N1850" s="33">
        <f>L1850-K1850</f>
        <v/>
      </c>
    </row>
    <row r="1851">
      <c r="A1851" s="58" t="inlineStr">
        <is>
          <t>37004 Tres Agaves</t>
        </is>
      </c>
      <c r="B1851" s="58" t="inlineStr">
        <is>
          <t>Bergen</t>
        </is>
      </c>
      <c r="C1851" s="58" t="inlineStr">
        <is>
          <t>Nick Melissari</t>
        </is>
      </c>
      <c r="D1851" s="58" t="inlineStr">
        <is>
          <t>On-premise</t>
        </is>
      </c>
      <c r="E1851" s="53" t="n">
        <v>56</v>
      </c>
      <c r="F1851" s="53" t="n">
        <v>63</v>
      </c>
      <c r="G1851" s="55" t="n">
        <v>549.12</v>
      </c>
      <c r="H1851" s="55" t="n">
        <v>589.63</v>
      </c>
      <c r="I1851" s="53" t="n">
        <v>7</v>
      </c>
      <c r="J1851" s="53" t="n">
        <v>10</v>
      </c>
      <c r="K1851" s="53" t="n">
        <v>8</v>
      </c>
      <c r="L1851" s="53" t="n">
        <v>4</v>
      </c>
      <c r="M1851" s="33">
        <f>F1851-E1851</f>
        <v/>
      </c>
      <c r="N1851" s="33">
        <f>L1851-K1851</f>
        <v/>
      </c>
    </row>
    <row r="1852">
      <c r="A1852" s="58" t="inlineStr">
        <is>
          <t>37019 BJ Polonia</t>
        </is>
      </c>
      <c r="B1852" s="58" t="inlineStr">
        <is>
          <t>Bergen</t>
        </is>
      </c>
      <c r="C1852" s="58" t="inlineStr">
        <is>
          <t>Nick Melissari</t>
        </is>
      </c>
      <c r="D1852" s="58" t="inlineStr">
        <is>
          <t>On-premise</t>
        </is>
      </c>
      <c r="E1852" s="53" t="n">
        <v>312</v>
      </c>
      <c r="F1852" s="53" t="n">
        <v>346</v>
      </c>
      <c r="G1852" s="55" t="n">
        <v>2891.09</v>
      </c>
      <c r="H1852" s="55" t="n">
        <v>3296.6</v>
      </c>
      <c r="I1852" s="53" t="n">
        <v>57</v>
      </c>
      <c r="J1852" s="53" t="n">
        <v>154</v>
      </c>
      <c r="K1852" s="53" t="n">
        <v>7</v>
      </c>
      <c r="L1852" s="53" t="n">
        <v>3</v>
      </c>
      <c r="M1852" s="33">
        <f>F1852-E1852</f>
        <v/>
      </c>
      <c r="N1852" s="33">
        <f>L1852-K1852</f>
        <v/>
      </c>
    </row>
    <row r="1853">
      <c r="A1853" s="58" t="inlineStr">
        <is>
          <t>21030 Bonfire Mofongo House (P)</t>
        </is>
      </c>
      <c r="B1853" s="58" t="inlineStr">
        <is>
          <t>Passaic</t>
        </is>
      </c>
      <c r="C1853" s="58" t="inlineStr">
        <is>
          <t>Pablo Lopez</t>
        </is>
      </c>
      <c r="D1853" s="58" t="inlineStr">
        <is>
          <t>On-premise</t>
        </is>
      </c>
      <c r="E1853" s="53" t="n">
        <v>539</v>
      </c>
      <c r="F1853" s="53" t="n">
        <v>498</v>
      </c>
      <c r="G1853" s="55" t="n">
        <v>4211.2</v>
      </c>
      <c r="H1853" s="55" t="n">
        <v>4059.94</v>
      </c>
      <c r="I1853" s="53" t="n">
        <v>176</v>
      </c>
      <c r="J1853" s="53" t="n">
        <v>111</v>
      </c>
      <c r="K1853" s="53" t="n">
        <v>14</v>
      </c>
      <c r="L1853" s="53" t="n">
        <v>10</v>
      </c>
      <c r="M1853" s="33">
        <f>F1853-E1853</f>
        <v/>
      </c>
      <c r="N1853" s="33">
        <f>L1853-K1853</f>
        <v/>
      </c>
    </row>
    <row r="1854">
      <c r="A1854" s="58" t="inlineStr">
        <is>
          <t>25040 Palenque Bar &amp; Grill(A)</t>
        </is>
      </c>
      <c r="B1854" s="58" t="inlineStr">
        <is>
          <t>Passaic</t>
        </is>
      </c>
      <c r="C1854" s="58" t="inlineStr">
        <is>
          <t>Pablo Lopez</t>
        </is>
      </c>
      <c r="D1854" s="58" t="inlineStr">
        <is>
          <t>On-premise</t>
        </is>
      </c>
      <c r="E1854" s="53" t="n">
        <v>79</v>
      </c>
      <c r="F1854" s="53" t="n">
        <v>87</v>
      </c>
      <c r="G1854" s="55" t="n">
        <v>762.39</v>
      </c>
      <c r="H1854" s="55" t="n">
        <v>849.97</v>
      </c>
      <c r="I1854" s="53" t="n">
        <v>4</v>
      </c>
      <c r="J1854" s="53" t="n">
        <v>5</v>
      </c>
      <c r="K1854" s="53" t="n">
        <v>13</v>
      </c>
      <c r="L1854" s="53" t="n">
        <v>9</v>
      </c>
      <c r="M1854" s="33">
        <f>F1854-E1854</f>
        <v/>
      </c>
      <c r="N1854" s="33">
        <f>L1854-K1854</f>
        <v/>
      </c>
    </row>
    <row r="1855">
      <c r="A1855" s="58" t="inlineStr">
        <is>
          <t>56009 Tommy Fox's Pub Hse(P)</t>
        </is>
      </c>
      <c r="B1855" s="58" t="inlineStr">
        <is>
          <t>Bergen</t>
        </is>
      </c>
      <c r="C1855" s="58" t="inlineStr">
        <is>
          <t>Paul Mclaughlin</t>
        </is>
      </c>
      <c r="D1855" s="58" t="inlineStr">
        <is>
          <t>On-premise</t>
        </is>
      </c>
      <c r="E1855" s="53" t="n">
        <v>420</v>
      </c>
      <c r="F1855" s="53" t="n">
        <v>345</v>
      </c>
      <c r="G1855" s="55" t="n">
        <v>3097.96</v>
      </c>
      <c r="H1855" s="55" t="n">
        <v>2603.79</v>
      </c>
      <c r="I1855" s="53" t="n">
        <v>114</v>
      </c>
      <c r="J1855" s="53" t="n">
        <v>95</v>
      </c>
      <c r="K1855" s="53" t="n">
        <v>58</v>
      </c>
      <c r="L1855" s="53" t="n">
        <v>54</v>
      </c>
      <c r="M1855" s="33">
        <f>F1855-E1855</f>
        <v/>
      </c>
      <c r="N1855" s="33">
        <f>L1855-K1855</f>
        <v/>
      </c>
    </row>
    <row r="1856">
      <c r="A1856" s="58" t="inlineStr">
        <is>
          <t>62011 Sear House (A)</t>
        </is>
      </c>
      <c r="B1856" s="58" t="inlineStr">
        <is>
          <t>Bergen</t>
        </is>
      </c>
      <c r="C1856" s="58" t="inlineStr">
        <is>
          <t>Paul Mclaughlin</t>
        </is>
      </c>
      <c r="D1856" s="58" t="inlineStr">
        <is>
          <t>On-premise</t>
        </is>
      </c>
      <c r="E1856" s="53" t="n">
        <v>101</v>
      </c>
      <c r="F1856" s="53" t="n">
        <v>93</v>
      </c>
      <c r="G1856" s="55" t="n">
        <v>960.3299999999999</v>
      </c>
      <c r="H1856" s="55" t="n">
        <v>925.79</v>
      </c>
      <c r="I1856" s="53" t="n">
        <v>8</v>
      </c>
      <c r="J1856" s="53" t="n">
        <v>5</v>
      </c>
      <c r="K1856" s="53" t="n">
        <v>40</v>
      </c>
      <c r="L1856" s="53" t="n">
        <v>36</v>
      </c>
      <c r="M1856" s="33">
        <f>F1856-E1856</f>
        <v/>
      </c>
      <c r="N1856" s="33">
        <f>L1856-K1856</f>
        <v/>
      </c>
    </row>
    <row r="1857">
      <c r="A1857" s="58" t="inlineStr">
        <is>
          <t>67002 Brady's Fox Hunt Inn</t>
        </is>
      </c>
      <c r="B1857" s="58" t="inlineStr">
        <is>
          <t>Bergen</t>
        </is>
      </c>
      <c r="C1857" s="58" t="inlineStr">
        <is>
          <t>Paul Mclaughlin</t>
        </is>
      </c>
      <c r="D1857" s="58" t="inlineStr">
        <is>
          <t>On-premise</t>
        </is>
      </c>
      <c r="E1857" s="53" t="n">
        <v>205</v>
      </c>
      <c r="F1857" s="53" t="n">
        <v>184</v>
      </c>
      <c r="G1857" s="55" t="n">
        <v>1511.88</v>
      </c>
      <c r="H1857" s="55" t="n">
        <v>1354.4</v>
      </c>
      <c r="I1857" s="53" t="n">
        <v>26</v>
      </c>
      <c r="J1857" s="53" t="n">
        <v>29</v>
      </c>
      <c r="K1857" s="53" t="n">
        <v>44</v>
      </c>
      <c r="L1857" s="53" t="n">
        <v>40</v>
      </c>
      <c r="M1857" s="33">
        <f>F1857-E1857</f>
        <v/>
      </c>
      <c r="N1857" s="33">
        <f>L1857-K1857</f>
        <v/>
      </c>
    </row>
    <row r="1858">
      <c r="A1858" s="58" t="inlineStr">
        <is>
          <t>191206 Bella Vista</t>
        </is>
      </c>
      <c r="B1858" s="58" t="inlineStr">
        <is>
          <t>Morris</t>
        </is>
      </c>
      <c r="C1858" s="58" t="inlineStr">
        <is>
          <t>Robin Feldman</t>
        </is>
      </c>
      <c r="D1858" s="58" t="inlineStr">
        <is>
          <t>On-premise</t>
        </is>
      </c>
      <c r="E1858" s="53" t="n">
        <v>18</v>
      </c>
      <c r="F1858" s="53" t="n">
        <v>0</v>
      </c>
      <c r="G1858" s="55" t="n">
        <v>168.86</v>
      </c>
      <c r="H1858" s="55" t="n">
        <v>0</v>
      </c>
      <c r="I1858" s="53" t="n">
        <v>4</v>
      </c>
      <c r="J1858" s="53" t="n">
        <v>0</v>
      </c>
      <c r="K1858" s="53" t="n">
        <v>4</v>
      </c>
      <c r="L1858" s="53" t="n">
        <v>0</v>
      </c>
      <c r="M1858" s="33">
        <f>F1858-E1858</f>
        <v/>
      </c>
      <c r="N1858" s="33">
        <f>L1858-K1858</f>
        <v/>
      </c>
    </row>
    <row r="1859">
      <c r="A1859" s="58" t="inlineStr">
        <is>
          <t>54014 Elks Post 2271 (Z)</t>
        </is>
      </c>
      <c r="B1859" s="58" t="inlineStr">
        <is>
          <t>Bergen</t>
        </is>
      </c>
      <c r="C1859" s="58" t="inlineStr">
        <is>
          <t>Robin Feldman</t>
        </is>
      </c>
      <c r="D1859" s="58" t="inlineStr">
        <is>
          <t>On-premise</t>
        </is>
      </c>
      <c r="E1859" s="53" t="n">
        <v>82</v>
      </c>
      <c r="F1859" s="53" t="n">
        <v>60</v>
      </c>
      <c r="G1859" s="55" t="n">
        <v>701.0699999999999</v>
      </c>
      <c r="H1859" s="55" t="n">
        <v>528.25</v>
      </c>
      <c r="I1859" s="53" t="n">
        <v>19</v>
      </c>
      <c r="J1859" s="53" t="n">
        <v>22</v>
      </c>
      <c r="K1859" s="53" t="n">
        <v>4</v>
      </c>
      <c r="L1859" s="53" t="n">
        <v>0</v>
      </c>
      <c r="M1859" s="33">
        <f>F1859-E1859</f>
        <v/>
      </c>
      <c r="N1859" s="33">
        <f>L1859-K1859</f>
        <v/>
      </c>
    </row>
    <row r="1860">
      <c r="A1860" s="58" t="inlineStr">
        <is>
          <t>31040 Hilton Meadowlnd E Ruth</t>
        </is>
      </c>
      <c r="B1860" s="58" t="inlineStr">
        <is>
          <t>Bergen</t>
        </is>
      </c>
      <c r="C1860" s="58" t="inlineStr">
        <is>
          <t>Robin Feldman</t>
        </is>
      </c>
      <c r="D1860" s="58" t="inlineStr">
        <is>
          <t>Unmatched</t>
        </is>
      </c>
      <c r="E1860" s="53" t="n">
        <v>63</v>
      </c>
      <c r="F1860" s="53" t="n">
        <v>0</v>
      </c>
      <c r="G1860" s="55" t="n">
        <v>630.89</v>
      </c>
      <c r="H1860" s="55" t="n">
        <v>0</v>
      </c>
      <c r="I1860" s="53" t="n">
        <v>4</v>
      </c>
      <c r="J1860" s="53" t="n">
        <v>0</v>
      </c>
      <c r="K1860" s="53" t="n">
        <v>4</v>
      </c>
      <c r="L1860" s="53" t="n">
        <v>0</v>
      </c>
      <c r="M1860" s="33">
        <f>F1860-E1860</f>
        <v/>
      </c>
      <c r="N1860" s="33">
        <f>L1860-K1860</f>
        <v/>
      </c>
    </row>
    <row r="1861">
      <c r="A1861" s="58" t="inlineStr">
        <is>
          <t>12047 American Lgn 174 Wayne</t>
        </is>
      </c>
      <c r="B1861" s="58" t="inlineStr">
        <is>
          <t>Passaic</t>
        </is>
      </c>
      <c r="C1861" s="58" t="inlineStr">
        <is>
          <t>Robin Feldman</t>
        </is>
      </c>
      <c r="D1861" s="58" t="inlineStr">
        <is>
          <t>On-premise</t>
        </is>
      </c>
      <c r="E1861" s="53" t="n">
        <v>160</v>
      </c>
      <c r="F1861" s="53" t="n">
        <v>145</v>
      </c>
      <c r="G1861" s="55" t="n">
        <v>1222.9</v>
      </c>
      <c r="H1861" s="55" t="n">
        <v>1107.84</v>
      </c>
      <c r="I1861" s="53" t="n">
        <v>20</v>
      </c>
      <c r="J1861" s="53" t="n">
        <v>29</v>
      </c>
      <c r="K1861" s="53" t="n">
        <v>11</v>
      </c>
      <c r="L1861" s="53" t="n">
        <v>7</v>
      </c>
      <c r="M1861" s="33">
        <f>F1861-E1861</f>
        <v/>
      </c>
      <c r="N1861" s="33">
        <f>L1861-K1861</f>
        <v/>
      </c>
    </row>
    <row r="1862">
      <c r="A1862" s="58" t="inlineStr">
        <is>
          <t>250151 Paul &amp; Joe Deli And Liq</t>
        </is>
      </c>
      <c r="B1862" s="58" t="inlineStr">
        <is>
          <t>Union</t>
        </is>
      </c>
      <c r="C1862" s="58" t="inlineStr">
        <is>
          <t>Alex Rodriguez</t>
        </is>
      </c>
      <c r="D1862" s="58" t="inlineStr">
        <is>
          <t>Off-premise</t>
        </is>
      </c>
      <c r="E1862" s="53" t="n">
        <v>5</v>
      </c>
      <c r="F1862" s="53" t="n">
        <v>0</v>
      </c>
      <c r="G1862" s="55" t="n">
        <v>42.01</v>
      </c>
      <c r="H1862" s="55" t="n">
        <v>0</v>
      </c>
      <c r="I1862" s="53" t="n">
        <v>10</v>
      </c>
      <c r="J1862" s="53" t="n">
        <v>19</v>
      </c>
      <c r="K1862" s="53" t="n">
        <v>5</v>
      </c>
      <c r="L1862" s="53" t="n">
        <v>0</v>
      </c>
      <c r="M1862" s="33">
        <f>F1862-E1862</f>
        <v/>
      </c>
      <c r="N1862" s="33">
        <f>L1862-K1862</f>
        <v/>
      </c>
    </row>
    <row r="1863">
      <c r="A1863" s="58" t="inlineStr">
        <is>
          <t>150144 Home Liquors(480 Newark) (P)</t>
        </is>
      </c>
      <c r="B1863" s="58" t="inlineStr">
        <is>
          <t>Essex</t>
        </is>
      </c>
      <c r="C1863" s="58" t="inlineStr">
        <is>
          <t>Alisa Acciardi</t>
        </is>
      </c>
      <c r="D1863" s="58" t="inlineStr">
        <is>
          <t>Off-premise</t>
        </is>
      </c>
      <c r="E1863" s="53" t="n">
        <v>15</v>
      </c>
      <c r="F1863" s="53" t="n">
        <v>10</v>
      </c>
      <c r="G1863" s="55" t="n">
        <v>114.48</v>
      </c>
      <c r="H1863" s="55" t="n">
        <v>71.56</v>
      </c>
      <c r="I1863" s="53" t="n">
        <v>79</v>
      </c>
      <c r="J1863" s="53" t="n">
        <v>95</v>
      </c>
      <c r="K1863" s="53" t="n">
        <v>15</v>
      </c>
      <c r="L1863" s="53" t="n">
        <v>10</v>
      </c>
      <c r="M1863" s="33">
        <f>F1863-E1863</f>
        <v/>
      </c>
      <c r="N1863" s="33">
        <f>L1863-K1863</f>
        <v/>
      </c>
    </row>
    <row r="1864">
      <c r="A1864" s="58" t="inlineStr">
        <is>
          <t>152040 Top Shelf Wine &amp; Liquor</t>
        </is>
      </c>
      <c r="B1864" s="58" t="inlineStr">
        <is>
          <t>Essex</t>
        </is>
      </c>
      <c r="C1864" s="58" t="inlineStr">
        <is>
          <t>Alisa Acciardi</t>
        </is>
      </c>
      <c r="D1864" s="58" t="inlineStr">
        <is>
          <t>Off-premise</t>
        </is>
      </c>
      <c r="E1864" s="53" t="n">
        <v>18</v>
      </c>
      <c r="F1864" s="53" t="n">
        <v>13</v>
      </c>
      <c r="G1864" s="55" t="n">
        <v>163.27</v>
      </c>
      <c r="H1864" s="55" t="n">
        <v>97.12</v>
      </c>
      <c r="I1864" s="53" t="n">
        <v>98</v>
      </c>
      <c r="J1864" s="53" t="n">
        <v>84</v>
      </c>
      <c r="K1864" s="53" t="n">
        <v>18</v>
      </c>
      <c r="L1864" s="53" t="n">
        <v>13</v>
      </c>
      <c r="M1864" s="33">
        <f>F1864-E1864</f>
        <v/>
      </c>
      <c r="N1864" s="33">
        <f>L1864-K1864</f>
        <v/>
      </c>
    </row>
    <row r="1865">
      <c r="A1865" s="58" t="inlineStr">
        <is>
          <t>21043 Duffy's Tavern (Z)</t>
        </is>
      </c>
      <c r="B1865" s="58" t="inlineStr">
        <is>
          <t>Passaic</t>
        </is>
      </c>
      <c r="C1865" s="58" t="inlineStr">
        <is>
          <t>Allison Scott</t>
        </is>
      </c>
      <c r="D1865" s="58" t="inlineStr">
        <is>
          <t>On-premise</t>
        </is>
      </c>
      <c r="E1865" s="53" t="n">
        <v>451</v>
      </c>
      <c r="F1865" s="53" t="n">
        <v>539</v>
      </c>
      <c r="G1865" s="55" t="n">
        <v>3561.78</v>
      </c>
      <c r="H1865" s="55" t="n">
        <v>4391.41</v>
      </c>
      <c r="I1865" s="53" t="n">
        <v>65</v>
      </c>
      <c r="J1865" s="53" t="n">
        <v>78</v>
      </c>
      <c r="K1865" s="53" t="n">
        <v>49</v>
      </c>
      <c r="L1865" s="53" t="n">
        <v>44</v>
      </c>
      <c r="M1865" s="33">
        <f>F1865-E1865</f>
        <v/>
      </c>
      <c r="N1865" s="33">
        <f>L1865-K1865</f>
        <v/>
      </c>
    </row>
    <row r="1866">
      <c r="A1866" s="58" t="inlineStr">
        <is>
          <t>13005 Sear</t>
        </is>
      </c>
      <c r="B1866" s="58" t="inlineStr">
        <is>
          <t>Passaic</t>
        </is>
      </c>
      <c r="C1866" s="58" t="inlineStr">
        <is>
          <t>Allison Scott</t>
        </is>
      </c>
      <c r="D1866" s="58" t="inlineStr">
        <is>
          <t>On-premise</t>
        </is>
      </c>
      <c r="E1866" s="53" t="n">
        <v>53</v>
      </c>
      <c r="F1866" s="53" t="n">
        <v>46</v>
      </c>
      <c r="G1866" s="55" t="n">
        <v>531.4299999999999</v>
      </c>
      <c r="H1866" s="55" t="n">
        <v>468.84</v>
      </c>
      <c r="I1866" s="53" t="n">
        <v>7</v>
      </c>
      <c r="J1866" s="53" t="n">
        <v>2</v>
      </c>
      <c r="K1866" s="53" t="n">
        <v>23</v>
      </c>
      <c r="L1866" s="53" t="n">
        <v>18</v>
      </c>
      <c r="M1866" s="33">
        <f>F1866-E1866</f>
        <v/>
      </c>
      <c r="N1866" s="33">
        <f>L1866-K1866</f>
        <v/>
      </c>
    </row>
    <row r="1867">
      <c r="A1867" s="58" t="inlineStr">
        <is>
          <t>5003 Applebee's (A)Butler</t>
        </is>
      </c>
      <c r="B1867" s="58" t="inlineStr">
        <is>
          <t>Morris</t>
        </is>
      </c>
      <c r="C1867" s="58" t="inlineStr">
        <is>
          <t>Allison Scott</t>
        </is>
      </c>
      <c r="D1867" s="58" t="inlineStr">
        <is>
          <t>On-premise</t>
        </is>
      </c>
      <c r="E1867" s="53" t="n">
        <v>246</v>
      </c>
      <c r="F1867" s="53" t="n">
        <v>240</v>
      </c>
      <c r="G1867" s="55" t="n">
        <v>1591.37</v>
      </c>
      <c r="H1867" s="55" t="n">
        <v>1443.77</v>
      </c>
      <c r="I1867" s="53" t="n">
        <v>38</v>
      </c>
      <c r="J1867" s="53" t="n">
        <v>45</v>
      </c>
      <c r="K1867" s="53" t="n">
        <v>7</v>
      </c>
      <c r="L1867" s="53" t="n">
        <v>2</v>
      </c>
      <c r="M1867" s="33">
        <f>F1867-E1867</f>
        <v/>
      </c>
      <c r="N1867" s="33">
        <f>L1867-K1867</f>
        <v/>
      </c>
    </row>
    <row r="1868">
      <c r="A1868" s="58" t="inlineStr">
        <is>
          <t>250011 Shop Rite of Westfield</t>
        </is>
      </c>
      <c r="B1868" s="58" t="inlineStr">
        <is>
          <t>Union</t>
        </is>
      </c>
      <c r="C1868" s="58" t="inlineStr">
        <is>
          <t>Andrew Lundy</t>
        </is>
      </c>
      <c r="D1868" s="58" t="inlineStr">
        <is>
          <t>Off-premise</t>
        </is>
      </c>
      <c r="E1868" s="53" t="n">
        <v>20</v>
      </c>
      <c r="F1868" s="53" t="n">
        <v>15</v>
      </c>
      <c r="G1868" s="55" t="n">
        <v>143.16</v>
      </c>
      <c r="H1868" s="55" t="n">
        <v>114.89</v>
      </c>
      <c r="I1868" s="53" t="n">
        <v>634</v>
      </c>
      <c r="J1868" s="53" t="n">
        <v>684</v>
      </c>
      <c r="K1868" s="53" t="n">
        <v>20</v>
      </c>
      <c r="L1868" s="53" t="n">
        <v>15</v>
      </c>
      <c r="M1868" s="33">
        <f>F1868-E1868</f>
        <v/>
      </c>
      <c r="N1868" s="33">
        <f>L1868-K1868</f>
        <v/>
      </c>
    </row>
    <row r="1869">
      <c r="A1869" s="58" t="inlineStr">
        <is>
          <t>250075 Cap N Cork Liquors</t>
        </is>
      </c>
      <c r="B1869" s="58" t="inlineStr">
        <is>
          <t>Union</t>
        </is>
      </c>
      <c r="C1869" s="58" t="inlineStr">
        <is>
          <t>Andrew Lundy</t>
        </is>
      </c>
      <c r="D1869" s="58" t="inlineStr">
        <is>
          <t>Off-premise</t>
        </is>
      </c>
      <c r="E1869" s="53" t="n">
        <v>14</v>
      </c>
      <c r="F1869" s="53" t="n">
        <v>9</v>
      </c>
      <c r="G1869" s="55" t="n">
        <v>127.58</v>
      </c>
      <c r="H1869" s="55" t="n">
        <v>71.55</v>
      </c>
      <c r="I1869" s="53" t="n">
        <v>54</v>
      </c>
      <c r="J1869" s="53" t="n">
        <v>19</v>
      </c>
      <c r="K1869" s="53" t="n">
        <v>14</v>
      </c>
      <c r="L1869" s="53" t="n">
        <v>9</v>
      </c>
      <c r="M1869" s="33">
        <f>F1869-E1869</f>
        <v/>
      </c>
      <c r="N1869" s="33">
        <f>L1869-K1869</f>
        <v/>
      </c>
    </row>
    <row r="1870">
      <c r="A1870" s="58" t="inlineStr">
        <is>
          <t>250161 The Wine Rack Summit</t>
        </is>
      </c>
      <c r="B1870" s="58" t="inlineStr">
        <is>
          <t>Union</t>
        </is>
      </c>
      <c r="C1870" s="58" t="inlineStr">
        <is>
          <t>Andrew Lundy</t>
        </is>
      </c>
      <c r="D1870" s="58" t="inlineStr">
        <is>
          <t>Off-premise</t>
        </is>
      </c>
      <c r="E1870" s="53" t="n">
        <v>12</v>
      </c>
      <c r="F1870" s="53" t="n">
        <v>7</v>
      </c>
      <c r="G1870" s="55" t="n">
        <v>91.2</v>
      </c>
      <c r="H1870" s="55" t="n">
        <v>68.11</v>
      </c>
      <c r="I1870" s="53" t="n">
        <v>65</v>
      </c>
      <c r="J1870" s="53" t="n">
        <v>79</v>
      </c>
      <c r="K1870" s="53" t="n">
        <v>12</v>
      </c>
      <c r="L1870" s="53" t="n">
        <v>7</v>
      </c>
      <c r="M1870" s="33">
        <f>F1870-E1870</f>
        <v/>
      </c>
      <c r="N1870" s="33">
        <f>L1870-K1870</f>
        <v/>
      </c>
    </row>
    <row r="1871">
      <c r="A1871" s="58" t="inlineStr">
        <is>
          <t>231210 Bally Owen Golf Club</t>
        </is>
      </c>
      <c r="B1871" s="58" t="inlineStr">
        <is>
          <t>Sussex</t>
        </is>
      </c>
      <c r="C1871" s="58" t="inlineStr">
        <is>
          <t>Anthony Palmisano</t>
        </is>
      </c>
      <c r="D1871" s="58" t="inlineStr">
        <is>
          <t>On-premise</t>
        </is>
      </c>
      <c r="E1871" s="53" t="n">
        <v>416</v>
      </c>
      <c r="F1871" s="53" t="n">
        <v>304</v>
      </c>
      <c r="G1871" s="55" t="n">
        <v>2114.74</v>
      </c>
      <c r="H1871" s="55" t="n">
        <v>1483.57</v>
      </c>
      <c r="I1871" s="53" t="n">
        <v>130</v>
      </c>
      <c r="J1871" s="53" t="n">
        <v>106</v>
      </c>
      <c r="K1871" s="53" t="n">
        <v>24</v>
      </c>
      <c r="L1871" s="53" t="n">
        <v>19</v>
      </c>
      <c r="M1871" s="33">
        <f>F1871-E1871</f>
        <v/>
      </c>
      <c r="N1871" s="33">
        <f>L1871-K1871</f>
        <v/>
      </c>
    </row>
    <row r="1872">
      <c r="A1872" s="58" t="inlineStr">
        <is>
          <t>1002 Country Cottage Rest (P)</t>
        </is>
      </c>
      <c r="B1872" s="58" t="inlineStr">
        <is>
          <t>Passaic</t>
        </is>
      </c>
      <c r="C1872" s="58" t="inlineStr">
        <is>
          <t>Anthony Palmisano</t>
        </is>
      </c>
      <c r="D1872" s="58" t="inlineStr">
        <is>
          <t>On-premise</t>
        </is>
      </c>
      <c r="E1872" s="53" t="n">
        <v>128</v>
      </c>
      <c r="F1872" s="53" t="n">
        <v>139</v>
      </c>
      <c r="G1872" s="55" t="n">
        <v>1137.36</v>
      </c>
      <c r="H1872" s="55" t="n">
        <v>1317.54</v>
      </c>
      <c r="I1872" s="53" t="n">
        <v>29</v>
      </c>
      <c r="J1872" s="53" t="n">
        <v>55</v>
      </c>
      <c r="K1872" s="53" t="n">
        <v>7</v>
      </c>
      <c r="L1872" s="53" t="n">
        <v>2</v>
      </c>
      <c r="M1872" s="33">
        <f>F1872-E1872</f>
        <v/>
      </c>
      <c r="N1872" s="33">
        <f>L1872-K1872</f>
        <v/>
      </c>
    </row>
    <row r="1873">
      <c r="A1873" s="58" t="inlineStr">
        <is>
          <t>190813 Picatinney Golf(NAFIB4-22-A-0036)</t>
        </is>
      </c>
      <c r="B1873" s="58" t="inlineStr">
        <is>
          <t>Morris</t>
        </is>
      </c>
      <c r="C1873" s="58" t="inlineStr">
        <is>
          <t>Brian Sengebush</t>
        </is>
      </c>
      <c r="D1873" s="58" t="inlineStr">
        <is>
          <t>On-premise</t>
        </is>
      </c>
      <c r="E1873" s="53" t="n">
        <v>215</v>
      </c>
      <c r="F1873" s="53" t="n">
        <v>121</v>
      </c>
      <c r="G1873" s="55" t="n">
        <v>1600.98</v>
      </c>
      <c r="H1873" s="55" t="n">
        <v>913.99</v>
      </c>
      <c r="I1873" s="53" t="n">
        <v>64</v>
      </c>
      <c r="J1873" s="53" t="n">
        <v>36</v>
      </c>
      <c r="K1873" s="53" t="n">
        <v>20</v>
      </c>
      <c r="L1873" s="53" t="n">
        <v>15</v>
      </c>
      <c r="M1873" s="33">
        <f>F1873-E1873</f>
        <v/>
      </c>
      <c r="N1873" s="33">
        <f>L1873-K1873</f>
        <v/>
      </c>
    </row>
    <row r="1874">
      <c r="A1874" s="58" t="inlineStr">
        <is>
          <t>230424 Moose Lodge 432</t>
        </is>
      </c>
      <c r="B1874" s="58" t="inlineStr">
        <is>
          <t>Sussex</t>
        </is>
      </c>
      <c r="C1874" s="58" t="inlineStr">
        <is>
          <t>Brian Sengebush</t>
        </is>
      </c>
      <c r="D1874" s="58" t="inlineStr">
        <is>
          <t>On-premise</t>
        </is>
      </c>
      <c r="E1874" s="53" t="n">
        <v>69</v>
      </c>
      <c r="F1874" s="53" t="n">
        <v>45</v>
      </c>
      <c r="G1874" s="55" t="n">
        <v>561.3000000000001</v>
      </c>
      <c r="H1874" s="55" t="n">
        <v>331.82</v>
      </c>
      <c r="I1874" s="53" t="n">
        <v>15</v>
      </c>
      <c r="J1874" s="53" t="n">
        <v>16</v>
      </c>
      <c r="K1874" s="53" t="n">
        <v>5</v>
      </c>
      <c r="L1874" s="53" t="n">
        <v>0</v>
      </c>
      <c r="M1874" s="33">
        <f>F1874-E1874</f>
        <v/>
      </c>
      <c r="N1874" s="33">
        <f>L1874-K1874</f>
        <v/>
      </c>
    </row>
    <row r="1875">
      <c r="A1875" s="58" t="inlineStr">
        <is>
          <t>191601 Stoll Street Tavern</t>
        </is>
      </c>
      <c r="B1875" s="58" t="inlineStr">
        <is>
          <t>Morris</t>
        </is>
      </c>
      <c r="C1875" s="58" t="inlineStr">
        <is>
          <t>Brian Sengebush</t>
        </is>
      </c>
      <c r="D1875" s="58" t="inlineStr">
        <is>
          <t>On-premise</t>
        </is>
      </c>
      <c r="E1875" s="53" t="n">
        <v>354</v>
      </c>
      <c r="F1875" s="53" t="n">
        <v>298</v>
      </c>
      <c r="G1875" s="55" t="n">
        <v>2798.860000000001</v>
      </c>
      <c r="H1875" s="55" t="n">
        <v>2332.3</v>
      </c>
      <c r="I1875" s="53" t="n">
        <v>85</v>
      </c>
      <c r="J1875" s="53" t="n">
        <v>99</v>
      </c>
      <c r="K1875" s="53" t="n">
        <v>5</v>
      </c>
      <c r="L1875" s="53" t="n">
        <v>0</v>
      </c>
      <c r="M1875" s="33">
        <f>F1875-E1875</f>
        <v/>
      </c>
      <c r="N1875" s="33">
        <f>L1875-K1875</f>
        <v/>
      </c>
    </row>
    <row r="1876">
      <c r="A1876" s="58" t="inlineStr">
        <is>
          <t>230312 Skyland Baseball</t>
        </is>
      </c>
      <c r="B1876" s="58" t="inlineStr">
        <is>
          <t>Sussex</t>
        </is>
      </c>
      <c r="C1876" s="58" t="inlineStr">
        <is>
          <t>Brian Sengebush</t>
        </is>
      </c>
      <c r="D1876" s="58" t="inlineStr">
        <is>
          <t>On-premise</t>
        </is>
      </c>
      <c r="E1876" s="53" t="n">
        <v>552</v>
      </c>
      <c r="F1876" s="53" t="n">
        <v>451</v>
      </c>
      <c r="G1876" s="55" t="n">
        <v>2807.57</v>
      </c>
      <c r="H1876" s="55" t="n">
        <v>2162.11</v>
      </c>
      <c r="I1876" s="53" t="n">
        <v>53</v>
      </c>
      <c r="J1876" s="53" t="n">
        <v>162</v>
      </c>
      <c r="K1876" s="53" t="n">
        <v>24</v>
      </c>
      <c r="L1876" s="53" t="n">
        <v>19</v>
      </c>
      <c r="M1876" s="33">
        <f>F1876-E1876</f>
        <v/>
      </c>
      <c r="N1876" s="33">
        <f>L1876-K1876</f>
        <v/>
      </c>
    </row>
    <row r="1877">
      <c r="A1877" s="58" t="inlineStr">
        <is>
          <t>20041 Yaremy Liquors</t>
        </is>
      </c>
      <c r="B1877" s="58" t="inlineStr">
        <is>
          <t>Passaic</t>
        </is>
      </c>
      <c r="C1877" s="58" t="inlineStr">
        <is>
          <t>Derrick Laws</t>
        </is>
      </c>
      <c r="D1877" s="58" t="inlineStr">
        <is>
          <t>Off-premise</t>
        </is>
      </c>
      <c r="E1877" s="53" t="n">
        <v>795</v>
      </c>
      <c r="F1877" s="53" t="n">
        <v>415</v>
      </c>
      <c r="G1877" s="55" t="n">
        <v>6109.099999999999</v>
      </c>
      <c r="H1877" s="55" t="n">
        <v>3497.38</v>
      </c>
      <c r="I1877" s="53" t="n">
        <v>88</v>
      </c>
      <c r="J1877" s="53" t="n">
        <v>20</v>
      </c>
      <c r="K1877" s="53" t="n">
        <v>43</v>
      </c>
      <c r="L1877" s="53" t="n">
        <v>38</v>
      </c>
      <c r="M1877" s="33">
        <f>F1877-E1877</f>
        <v/>
      </c>
      <c r="N1877" s="33">
        <f>L1877-K1877</f>
        <v/>
      </c>
    </row>
    <row r="1878">
      <c r="A1878" s="58" t="inlineStr">
        <is>
          <t>20089 Carlitto's Bar(P)</t>
        </is>
      </c>
      <c r="B1878" s="58" t="inlineStr">
        <is>
          <t>Passaic</t>
        </is>
      </c>
      <c r="C1878" s="58" t="inlineStr">
        <is>
          <t>Derrick Laws</t>
        </is>
      </c>
      <c r="D1878" s="58" t="inlineStr">
        <is>
          <t>On-premise</t>
        </is>
      </c>
      <c r="E1878" s="53" t="n">
        <v>44</v>
      </c>
      <c r="F1878" s="53" t="n">
        <v>0</v>
      </c>
      <c r="G1878" s="55" t="n">
        <v>387.58</v>
      </c>
      <c r="H1878" s="55" t="n">
        <v>0</v>
      </c>
      <c r="I1878" s="53" t="n">
        <v>0</v>
      </c>
      <c r="J1878" s="53" t="n">
        <v>0</v>
      </c>
      <c r="K1878" s="53" t="n">
        <v>5</v>
      </c>
      <c r="L1878" s="53" t="n">
        <v>0</v>
      </c>
      <c r="M1878" s="33">
        <f>F1878-E1878</f>
        <v/>
      </c>
      <c r="N1878" s="33">
        <f>L1878-K1878</f>
        <v/>
      </c>
    </row>
    <row r="1879">
      <c r="A1879" s="58" t="inlineStr">
        <is>
          <t>170034 Metro Liquors (1212 Jersey City)</t>
        </is>
      </c>
      <c r="B1879" s="58" t="inlineStr">
        <is>
          <t>Hudson</t>
        </is>
      </c>
      <c r="C1879" s="58" t="inlineStr">
        <is>
          <t>Dylan Rubino</t>
        </is>
      </c>
      <c r="D1879" s="58" t="inlineStr">
        <is>
          <t>Off-premise</t>
        </is>
      </c>
      <c r="E1879" s="53" t="n">
        <v>43</v>
      </c>
      <c r="F1879" s="53" t="n">
        <v>38</v>
      </c>
      <c r="G1879" s="55" t="n">
        <v>328.28</v>
      </c>
      <c r="H1879" s="55" t="n">
        <v>285.5</v>
      </c>
      <c r="I1879" s="53" t="n">
        <v>58</v>
      </c>
      <c r="J1879" s="53" t="n">
        <v>46</v>
      </c>
      <c r="K1879" s="53" t="n">
        <v>43</v>
      </c>
      <c r="L1879" s="53" t="n">
        <v>38</v>
      </c>
      <c r="M1879" s="33">
        <f>F1879-E1879</f>
        <v/>
      </c>
      <c r="N1879" s="33">
        <f>L1879-K1879</f>
        <v/>
      </c>
    </row>
    <row r="1880">
      <c r="A1880" s="58" t="inlineStr">
        <is>
          <t>170041 Binny's Liquors (306 Jersey City)</t>
        </is>
      </c>
      <c r="B1880" s="58" t="inlineStr">
        <is>
          <t>Hudson</t>
        </is>
      </c>
      <c r="C1880" s="58" t="inlineStr">
        <is>
          <t>Dylan Rubino</t>
        </is>
      </c>
      <c r="D1880" s="58" t="inlineStr">
        <is>
          <t>Off-premise</t>
        </is>
      </c>
      <c r="E1880" s="53" t="n">
        <v>25</v>
      </c>
      <c r="F1880" s="53" t="n">
        <v>20</v>
      </c>
      <c r="G1880" s="55" t="n">
        <v>144.16</v>
      </c>
      <c r="H1880" s="55" t="n">
        <v>138.4</v>
      </c>
      <c r="I1880" s="53" t="n">
        <v>74</v>
      </c>
      <c r="J1880" s="53" t="n">
        <v>26</v>
      </c>
      <c r="K1880" s="53" t="n">
        <v>25</v>
      </c>
      <c r="L1880" s="53" t="n">
        <v>20</v>
      </c>
      <c r="M1880" s="33">
        <f>F1880-E1880</f>
        <v/>
      </c>
      <c r="N1880" s="33">
        <f>L1880-K1880</f>
        <v/>
      </c>
    </row>
    <row r="1881">
      <c r="A1881" s="58" t="inlineStr">
        <is>
          <t>170261 Bela Wine &amp; Spirits_2</t>
        </is>
      </c>
      <c r="B1881" s="58" t="inlineStr">
        <is>
          <t>Hudson</t>
        </is>
      </c>
      <c r="C1881" s="58" t="inlineStr">
        <is>
          <t>Dylan Rubino</t>
        </is>
      </c>
      <c r="D1881" s="58" t="inlineStr">
        <is>
          <t>Off-premise</t>
        </is>
      </c>
      <c r="E1881" s="53" t="n">
        <v>36</v>
      </c>
      <c r="F1881" s="53" t="n">
        <v>31</v>
      </c>
      <c r="G1881" s="55" t="n">
        <v>289.93</v>
      </c>
      <c r="H1881" s="55" t="n">
        <v>254.27</v>
      </c>
      <c r="I1881" s="53" t="n">
        <v>37</v>
      </c>
      <c r="J1881" s="53" t="n">
        <v>51</v>
      </c>
      <c r="K1881" s="53" t="n">
        <v>36</v>
      </c>
      <c r="L1881" s="53" t="n">
        <v>31</v>
      </c>
      <c r="M1881" s="33">
        <f>F1881-E1881</f>
        <v/>
      </c>
      <c r="N1881" s="33">
        <f>L1881-K1881</f>
        <v/>
      </c>
    </row>
    <row r="1882">
      <c r="A1882" s="58" t="inlineStr">
        <is>
          <t>150044 South Orange Fine Wine &amp; Spirits</t>
        </is>
      </c>
      <c r="B1882" s="58" t="inlineStr">
        <is>
          <t>Essex</t>
        </is>
      </c>
      <c r="C1882" s="58" t="inlineStr">
        <is>
          <t>Hakan Sadik</t>
        </is>
      </c>
      <c r="D1882" s="58" t="inlineStr">
        <is>
          <t>Off-premise</t>
        </is>
      </c>
      <c r="E1882" s="53" t="n">
        <v>5</v>
      </c>
      <c r="F1882" s="53" t="n">
        <v>0</v>
      </c>
      <c r="G1882" s="55" t="n">
        <v>42.01</v>
      </c>
      <c r="H1882" s="55" t="n">
        <v>0</v>
      </c>
      <c r="I1882" s="53" t="n">
        <v>54</v>
      </c>
      <c r="J1882" s="53" t="n">
        <v>97</v>
      </c>
      <c r="K1882" s="53" t="n">
        <v>5</v>
      </c>
      <c r="L1882" s="53" t="n">
        <v>0</v>
      </c>
      <c r="M1882" s="33">
        <f>F1882-E1882</f>
        <v/>
      </c>
      <c r="N1882" s="33">
        <f>L1882-K1882</f>
        <v/>
      </c>
    </row>
    <row r="1883">
      <c r="A1883" s="58" t="inlineStr">
        <is>
          <t>150217 Galaxy Liquor</t>
        </is>
      </c>
      <c r="B1883" s="58" t="inlineStr">
        <is>
          <t>Essex</t>
        </is>
      </c>
      <c r="C1883" s="58" t="inlineStr">
        <is>
          <t>Hakan Sadik</t>
        </is>
      </c>
      <c r="D1883" s="58" t="inlineStr">
        <is>
          <t>Off-premise</t>
        </is>
      </c>
      <c r="E1883" s="53" t="n">
        <v>5</v>
      </c>
      <c r="F1883" s="53" t="n">
        <v>0</v>
      </c>
      <c r="G1883" s="55" t="n">
        <v>42.01</v>
      </c>
      <c r="H1883" s="55" t="n">
        <v>0</v>
      </c>
      <c r="I1883" s="53" t="n">
        <v>144</v>
      </c>
      <c r="J1883" s="53" t="n">
        <v>74</v>
      </c>
      <c r="K1883" s="53" t="n">
        <v>5</v>
      </c>
      <c r="L1883" s="53" t="n">
        <v>0</v>
      </c>
      <c r="M1883" s="33">
        <f>F1883-E1883</f>
        <v/>
      </c>
      <c r="N1883" s="33">
        <f>L1883-K1883</f>
        <v/>
      </c>
    </row>
    <row r="1884">
      <c r="A1884" s="58" t="inlineStr">
        <is>
          <t>150623 Village Wine Shop</t>
        </is>
      </c>
      <c r="B1884" s="58" t="inlineStr">
        <is>
          <t>Essex</t>
        </is>
      </c>
      <c r="C1884" s="58" t="inlineStr">
        <is>
          <t>Hakan Sadik</t>
        </is>
      </c>
      <c r="D1884" s="58" t="inlineStr">
        <is>
          <t>Off-premise</t>
        </is>
      </c>
      <c r="E1884" s="53" t="n">
        <v>19</v>
      </c>
      <c r="F1884" s="53" t="n">
        <v>14</v>
      </c>
      <c r="G1884" s="55" t="n">
        <v>150.22</v>
      </c>
      <c r="H1884" s="55" t="n">
        <v>107.33</v>
      </c>
      <c r="I1884" s="53" t="n">
        <v>35</v>
      </c>
      <c r="J1884" s="53" t="n">
        <v>13</v>
      </c>
      <c r="K1884" s="53" t="n">
        <v>19</v>
      </c>
      <c r="L1884" s="53" t="n">
        <v>14</v>
      </c>
      <c r="M1884" s="33">
        <f>F1884-E1884</f>
        <v/>
      </c>
      <c r="N1884" s="33">
        <f>L1884-K1884</f>
        <v/>
      </c>
    </row>
    <row r="1885">
      <c r="A1885" s="58" t="inlineStr">
        <is>
          <t>170260 Schmitty's</t>
        </is>
      </c>
      <c r="B1885" s="58" t="inlineStr">
        <is>
          <t>Hudson</t>
        </is>
      </c>
      <c r="C1885" s="58" t="inlineStr">
        <is>
          <t>Jaime Colonna</t>
        </is>
      </c>
      <c r="D1885" s="58" t="inlineStr">
        <is>
          <t>On-premise</t>
        </is>
      </c>
      <c r="E1885" s="53" t="n">
        <v>5</v>
      </c>
      <c r="F1885" s="53" t="n">
        <v>0</v>
      </c>
      <c r="G1885" s="55" t="n">
        <v>41.35</v>
      </c>
      <c r="H1885" s="55" t="n">
        <v>0</v>
      </c>
      <c r="I1885" s="53" t="n">
        <v>121</v>
      </c>
      <c r="J1885" s="53" t="n">
        <v>78</v>
      </c>
      <c r="K1885" s="53" t="n">
        <v>5</v>
      </c>
      <c r="L1885" s="53" t="n">
        <v>0</v>
      </c>
      <c r="M1885" s="33">
        <f>F1885-E1885</f>
        <v/>
      </c>
      <c r="N1885" s="33">
        <f>L1885-K1885</f>
        <v/>
      </c>
    </row>
    <row r="1886">
      <c r="A1886" s="58" t="inlineStr">
        <is>
          <t>173064 The Thirsty Quaker (P)</t>
        </is>
      </c>
      <c r="B1886" s="58" t="inlineStr">
        <is>
          <t>Hudson</t>
        </is>
      </c>
      <c r="C1886" s="58" t="inlineStr">
        <is>
          <t>Jaime Colonna</t>
        </is>
      </c>
      <c r="D1886" s="58" t="inlineStr">
        <is>
          <t>Off-premise</t>
        </is>
      </c>
      <c r="E1886" s="53" t="n">
        <v>43</v>
      </c>
      <c r="F1886" s="53" t="n">
        <v>38</v>
      </c>
      <c r="G1886" s="55" t="n">
        <v>322.01</v>
      </c>
      <c r="H1886" s="55" t="n">
        <v>286.25</v>
      </c>
      <c r="I1886" s="53" t="n">
        <v>183</v>
      </c>
      <c r="J1886" s="53" t="n">
        <v>181</v>
      </c>
      <c r="K1886" s="53" t="n">
        <v>43</v>
      </c>
      <c r="L1886" s="53" t="n">
        <v>38</v>
      </c>
      <c r="M1886" s="33">
        <f>F1886-E1886</f>
        <v/>
      </c>
      <c r="N1886" s="33">
        <f>L1886-K1886</f>
        <v/>
      </c>
    </row>
    <row r="1887">
      <c r="A1887" s="58" t="inlineStr">
        <is>
          <t>28011 Liquor Mart (North Arlington)</t>
        </is>
      </c>
      <c r="B1887" s="58" t="inlineStr">
        <is>
          <t>Bergen</t>
        </is>
      </c>
      <c r="C1887" s="58" t="inlineStr">
        <is>
          <t>Jim Heaney</t>
        </is>
      </c>
      <c r="D1887" s="58" t="inlineStr">
        <is>
          <t>Off-premise</t>
        </is>
      </c>
      <c r="E1887" s="53" t="n">
        <v>1337</v>
      </c>
      <c r="F1887" s="53" t="n">
        <v>1171</v>
      </c>
      <c r="G1887" s="55" t="n">
        <v>9570.35</v>
      </c>
      <c r="H1887" s="55" t="n">
        <v>8632.42</v>
      </c>
      <c r="I1887" s="53" t="n">
        <v>313</v>
      </c>
      <c r="J1887" s="53" t="n">
        <v>351</v>
      </c>
      <c r="K1887" s="53" t="n">
        <v>197</v>
      </c>
      <c r="L1887" s="53" t="n">
        <v>192</v>
      </c>
      <c r="M1887" s="33">
        <f>F1887-E1887</f>
        <v/>
      </c>
      <c r="N1887" s="33">
        <f>L1887-K1887</f>
        <v/>
      </c>
    </row>
    <row r="1888">
      <c r="A1888" s="58" t="inlineStr">
        <is>
          <t>190222 Green Hill Liquors (A)</t>
        </is>
      </c>
      <c r="B1888" s="58" t="inlineStr">
        <is>
          <t>Morris</t>
        </is>
      </c>
      <c r="C1888" s="58" t="inlineStr">
        <is>
          <t>John O'Donoghue</t>
        </is>
      </c>
      <c r="D1888" s="58" t="inlineStr">
        <is>
          <t>Unmatched</t>
        </is>
      </c>
      <c r="E1888" s="53" t="n">
        <v>14</v>
      </c>
      <c r="F1888" s="53" t="n">
        <v>9</v>
      </c>
      <c r="G1888" s="55" t="n">
        <v>113.54</v>
      </c>
      <c r="H1888" s="55" t="n">
        <v>71.53</v>
      </c>
      <c r="I1888" s="53" t="n">
        <v>30</v>
      </c>
      <c r="J1888" s="53" t="n">
        <v>23</v>
      </c>
      <c r="K1888" s="53" t="n">
        <v>14</v>
      </c>
      <c r="L1888" s="53" t="n">
        <v>9</v>
      </c>
      <c r="M1888" s="33">
        <f>F1888-E1888</f>
        <v/>
      </c>
      <c r="N1888" s="33">
        <f>L1888-K1888</f>
        <v/>
      </c>
    </row>
    <row r="1889">
      <c r="A1889" s="58" t="inlineStr">
        <is>
          <t>190300 Gillette Liquor</t>
        </is>
      </c>
      <c r="B1889" s="58" t="inlineStr">
        <is>
          <t>Morris</t>
        </is>
      </c>
      <c r="C1889" s="58" t="inlineStr">
        <is>
          <t>John O'Donoghue</t>
        </is>
      </c>
      <c r="D1889" s="58" t="inlineStr">
        <is>
          <t>Unmatched</t>
        </is>
      </c>
      <c r="E1889" s="53" t="n">
        <v>5</v>
      </c>
      <c r="F1889" s="53" t="n">
        <v>0</v>
      </c>
      <c r="G1889" s="55" t="n">
        <v>42.79</v>
      </c>
      <c r="H1889" s="55" t="n">
        <v>0</v>
      </c>
      <c r="I1889" s="53" t="n">
        <v>94</v>
      </c>
      <c r="J1889" s="53" t="n">
        <v>64</v>
      </c>
      <c r="K1889" s="53" t="n">
        <v>5</v>
      </c>
      <c r="L1889" s="53" t="n">
        <v>0</v>
      </c>
      <c r="M1889" s="33">
        <f>F1889-E1889</f>
        <v/>
      </c>
      <c r="N1889" s="33">
        <f>L1889-K1889</f>
        <v/>
      </c>
    </row>
    <row r="1890">
      <c r="A1890" s="58" t="inlineStr">
        <is>
          <t>190324 Powder Mill Plaza Liquors</t>
        </is>
      </c>
      <c r="B1890" s="58" t="inlineStr">
        <is>
          <t>Morris</t>
        </is>
      </c>
      <c r="C1890" s="58" t="inlineStr">
        <is>
          <t>John O'Donoghue</t>
        </is>
      </c>
      <c r="D1890" s="58" t="inlineStr">
        <is>
          <t>Unmatched</t>
        </is>
      </c>
      <c r="E1890" s="53" t="n">
        <v>5</v>
      </c>
      <c r="F1890" s="53" t="n">
        <v>0</v>
      </c>
      <c r="G1890" s="55" t="n">
        <v>37.3</v>
      </c>
      <c r="H1890" s="55" t="n">
        <v>0</v>
      </c>
      <c r="I1890" s="53" t="n">
        <v>5</v>
      </c>
      <c r="J1890" s="53" t="n">
        <v>20</v>
      </c>
      <c r="K1890" s="53" t="n">
        <v>5</v>
      </c>
      <c r="L1890" s="53" t="n">
        <v>0</v>
      </c>
      <c r="M1890" s="33">
        <f>F1890-E1890</f>
        <v/>
      </c>
      <c r="N1890" s="33">
        <f>L1890-K1890</f>
        <v/>
      </c>
    </row>
    <row r="1891">
      <c r="A1891" s="58" t="inlineStr">
        <is>
          <t>250001 Vine Republik (Mountainside)</t>
        </is>
      </c>
      <c r="B1891" s="58" t="inlineStr">
        <is>
          <t>Union</t>
        </is>
      </c>
      <c r="C1891" s="58" t="inlineStr">
        <is>
          <t>John O'Donoghue</t>
        </is>
      </c>
      <c r="D1891" s="58" t="inlineStr">
        <is>
          <t>Off-premise</t>
        </is>
      </c>
      <c r="E1891" s="53" t="n">
        <v>7</v>
      </c>
      <c r="F1891" s="53" t="n">
        <v>2</v>
      </c>
      <c r="G1891" s="55" t="n">
        <v>32.12</v>
      </c>
      <c r="H1891" s="55" t="n">
        <v>14.32</v>
      </c>
      <c r="I1891" s="53" t="n">
        <v>137</v>
      </c>
      <c r="J1891" s="53" t="n">
        <v>139</v>
      </c>
      <c r="K1891" s="53" t="n">
        <v>7</v>
      </c>
      <c r="L1891" s="53" t="n">
        <v>2</v>
      </c>
      <c r="M1891" s="33">
        <f>F1891-E1891</f>
        <v/>
      </c>
      <c r="N1891" s="33">
        <f>L1891-K1891</f>
        <v/>
      </c>
    </row>
    <row r="1892">
      <c r="A1892" s="58" t="inlineStr">
        <is>
          <t>190702 Smith's Tavern</t>
        </is>
      </c>
      <c r="B1892" s="58" t="inlineStr">
        <is>
          <t>Morris</t>
        </is>
      </c>
      <c r="C1892" s="58" t="inlineStr">
        <is>
          <t>Klejdi Lamo</t>
        </is>
      </c>
      <c r="D1892" s="58" t="inlineStr">
        <is>
          <t>On-premise</t>
        </is>
      </c>
      <c r="E1892" s="53" t="n">
        <v>340</v>
      </c>
      <c r="F1892" s="53" t="n">
        <v>264</v>
      </c>
      <c r="G1892" s="55" t="n">
        <v>2326.2</v>
      </c>
      <c r="H1892" s="55" t="n">
        <v>1894.3</v>
      </c>
      <c r="I1892" s="53" t="n">
        <v>54</v>
      </c>
      <c r="J1892" s="53" t="n">
        <v>28</v>
      </c>
      <c r="K1892" s="53" t="n">
        <v>24</v>
      </c>
      <c r="L1892" s="53" t="n">
        <v>19</v>
      </c>
      <c r="M1892" s="33">
        <f>F1892-E1892</f>
        <v/>
      </c>
      <c r="N1892" s="33">
        <f>L1892-K1892</f>
        <v/>
      </c>
    </row>
    <row r="1893">
      <c r="A1893" s="58" t="inlineStr">
        <is>
          <t>27031 Home Wine Liquor (Passaic)</t>
        </is>
      </c>
      <c r="B1893" s="58" t="inlineStr">
        <is>
          <t>Passaic</t>
        </is>
      </c>
      <c r="C1893" s="58" t="inlineStr">
        <is>
          <t>Matt Powierski</t>
        </is>
      </c>
      <c r="D1893" s="58" t="inlineStr">
        <is>
          <t>Off-premise</t>
        </is>
      </c>
      <c r="E1893" s="53" t="n">
        <v>11890</v>
      </c>
      <c r="F1893" s="53" t="n">
        <v>10080</v>
      </c>
      <c r="G1893" s="55" t="n">
        <v>78207.22999999998</v>
      </c>
      <c r="H1893" s="55" t="n">
        <v>68186.83999999998</v>
      </c>
      <c r="I1893" s="53" t="n">
        <v>1182</v>
      </c>
      <c r="J1893" s="53" t="n">
        <v>1159</v>
      </c>
      <c r="K1893" s="53" t="n">
        <v>1287</v>
      </c>
      <c r="L1893" s="53" t="n">
        <v>1282</v>
      </c>
      <c r="M1893" s="33">
        <f>F1893-E1893</f>
        <v/>
      </c>
      <c r="N1893" s="33">
        <f>L1893-K1893</f>
        <v/>
      </c>
    </row>
    <row r="1894">
      <c r="A1894" s="58" t="inlineStr">
        <is>
          <t>32009 American Lgn (P) (Carlstadt)</t>
        </is>
      </c>
      <c r="B1894" s="58" t="inlineStr">
        <is>
          <t>Bergen</t>
        </is>
      </c>
      <c r="C1894" s="58" t="inlineStr">
        <is>
          <t>Matt Powierski</t>
        </is>
      </c>
      <c r="D1894" s="58" t="inlineStr">
        <is>
          <t>On-premise</t>
        </is>
      </c>
      <c r="E1894" s="53" t="n">
        <v>205</v>
      </c>
      <c r="F1894" s="53" t="n">
        <v>230</v>
      </c>
      <c r="G1894" s="55" t="n">
        <v>1335.6</v>
      </c>
      <c r="H1894" s="55" t="n">
        <v>1341.89</v>
      </c>
      <c r="I1894" s="53" t="n">
        <v>0</v>
      </c>
      <c r="J1894" s="53" t="n">
        <v>0</v>
      </c>
      <c r="K1894" s="53" t="n">
        <v>5</v>
      </c>
      <c r="L1894" s="53" t="n">
        <v>0</v>
      </c>
      <c r="M1894" s="33">
        <f>F1894-E1894</f>
        <v/>
      </c>
      <c r="N1894" s="33">
        <f>L1894-K1894</f>
        <v/>
      </c>
    </row>
    <row r="1895">
      <c r="A1895" s="58" t="inlineStr">
        <is>
          <t>151023 Grove Liquors</t>
        </is>
      </c>
      <c r="B1895" s="58" t="inlineStr">
        <is>
          <t>Essex</t>
        </is>
      </c>
      <c r="C1895" s="58" t="inlineStr">
        <is>
          <t>Michael Harboy</t>
        </is>
      </c>
      <c r="D1895" s="58" t="inlineStr">
        <is>
          <t>Off-premise</t>
        </is>
      </c>
      <c r="E1895" s="53" t="n">
        <v>14</v>
      </c>
      <c r="F1895" s="53" t="n">
        <v>9</v>
      </c>
      <c r="G1895" s="55" t="n">
        <v>113.55</v>
      </c>
      <c r="H1895" s="55" t="n">
        <v>71.54000000000001</v>
      </c>
      <c r="I1895" s="53" t="n">
        <v>219</v>
      </c>
      <c r="J1895" s="53" t="n">
        <v>112</v>
      </c>
      <c r="K1895" s="53" t="n">
        <v>14</v>
      </c>
      <c r="L1895" s="53" t="n">
        <v>9</v>
      </c>
      <c r="M1895" s="33">
        <f>F1895-E1895</f>
        <v/>
      </c>
      <c r="N1895" s="33">
        <f>L1895-K1895</f>
        <v/>
      </c>
    </row>
    <row r="1896">
      <c r="A1896" s="58" t="inlineStr">
        <is>
          <t>42003 Whiskey Roads</t>
        </is>
      </c>
      <c r="B1896" s="58" t="inlineStr">
        <is>
          <t>Bergen</t>
        </is>
      </c>
      <c r="C1896" s="58" t="inlineStr">
        <is>
          <t>Nick Melissari</t>
        </is>
      </c>
      <c r="D1896" s="58" t="inlineStr">
        <is>
          <t>On-premise</t>
        </is>
      </c>
      <c r="E1896" s="53" t="n">
        <v>246</v>
      </c>
      <c r="F1896" s="53" t="n">
        <v>152</v>
      </c>
      <c r="G1896" s="55" t="n">
        <v>2341.78</v>
      </c>
      <c r="H1896" s="55" t="n">
        <v>1279.26</v>
      </c>
      <c r="I1896" s="53" t="n">
        <v>80</v>
      </c>
      <c r="J1896" s="53" t="n">
        <v>35</v>
      </c>
      <c r="K1896" s="53" t="n">
        <v>8</v>
      </c>
      <c r="L1896" s="53" t="n">
        <v>3</v>
      </c>
      <c r="M1896" s="33">
        <f>F1896-E1896</f>
        <v/>
      </c>
      <c r="N1896" s="33">
        <f>L1896-K1896</f>
        <v/>
      </c>
    </row>
    <row r="1897">
      <c r="A1897" s="58" t="inlineStr">
        <is>
          <t>49043 De Novo European Pub</t>
        </is>
      </c>
      <c r="B1897" s="58" t="inlineStr">
        <is>
          <t>Bergen</t>
        </is>
      </c>
      <c r="C1897" s="58" t="inlineStr">
        <is>
          <t>Nick Melissari</t>
        </is>
      </c>
      <c r="D1897" s="58" t="inlineStr">
        <is>
          <t>On-premise</t>
        </is>
      </c>
      <c r="E1897" s="53" t="n">
        <v>77</v>
      </c>
      <c r="F1897" s="53" t="n">
        <v>64</v>
      </c>
      <c r="G1897" s="55" t="n">
        <v>789.86</v>
      </c>
      <c r="H1897" s="55" t="n">
        <v>687.21</v>
      </c>
      <c r="I1897" s="53" t="n">
        <v>13</v>
      </c>
      <c r="J1897" s="53" t="n">
        <v>10</v>
      </c>
      <c r="K1897" s="53" t="n">
        <v>40</v>
      </c>
      <c r="L1897" s="53" t="n">
        <v>35</v>
      </c>
      <c r="M1897" s="33">
        <f>F1897-E1897</f>
        <v/>
      </c>
      <c r="N1897" s="33">
        <f>L1897-K1897</f>
        <v/>
      </c>
    </row>
    <row r="1898">
      <c r="A1898" s="58" t="inlineStr">
        <is>
          <t>37045 Los Cantaritos Cantina</t>
        </is>
      </c>
      <c r="B1898" s="58" t="inlineStr">
        <is>
          <t>Bergen</t>
        </is>
      </c>
      <c r="C1898" s="58" t="inlineStr">
        <is>
          <t>Nick Melissari</t>
        </is>
      </c>
      <c r="D1898" s="58" t="inlineStr">
        <is>
          <t>On-premise</t>
        </is>
      </c>
      <c r="E1898" s="53" t="n">
        <v>93</v>
      </c>
      <c r="F1898" s="53" t="n">
        <v>103</v>
      </c>
      <c r="G1898" s="55" t="n">
        <v>782.46</v>
      </c>
      <c r="H1898" s="55" t="n">
        <v>894.1400000000001</v>
      </c>
      <c r="I1898" s="53" t="n">
        <v>16</v>
      </c>
      <c r="J1898" s="53" t="n">
        <v>5</v>
      </c>
      <c r="K1898" s="53" t="n">
        <v>25</v>
      </c>
      <c r="L1898" s="53" t="n">
        <v>20</v>
      </c>
      <c r="M1898" s="33">
        <f>F1898-E1898</f>
        <v/>
      </c>
      <c r="N1898" s="33">
        <f>L1898-K1898</f>
        <v/>
      </c>
    </row>
    <row r="1899">
      <c r="A1899" s="58" t="inlineStr">
        <is>
          <t>41017 Rosa Mexicano (A)</t>
        </is>
      </c>
      <c r="B1899" s="58" t="inlineStr">
        <is>
          <t>Bergen</t>
        </is>
      </c>
      <c r="C1899" s="58" t="inlineStr">
        <is>
          <t>Nick Melissari</t>
        </is>
      </c>
      <c r="D1899" s="58" t="inlineStr">
        <is>
          <t>On-premise</t>
        </is>
      </c>
      <c r="E1899" s="53" t="n">
        <v>36</v>
      </c>
      <c r="F1899" s="53" t="n">
        <v>25</v>
      </c>
      <c r="G1899" s="55" t="n">
        <v>301.19</v>
      </c>
      <c r="H1899" s="55" t="n">
        <v>233.66</v>
      </c>
      <c r="I1899" s="53" t="n">
        <v>19</v>
      </c>
      <c r="J1899" s="53" t="n">
        <v>9</v>
      </c>
      <c r="K1899" s="53" t="n">
        <v>10</v>
      </c>
      <c r="L1899" s="53" t="n">
        <v>5</v>
      </c>
      <c r="M1899" s="33">
        <f>F1899-E1899</f>
        <v/>
      </c>
      <c r="N1899" s="33">
        <f>L1899-K1899</f>
        <v/>
      </c>
    </row>
    <row r="1900">
      <c r="A1900" s="58" t="inlineStr">
        <is>
          <t>25087 Sarina Bar</t>
        </is>
      </c>
      <c r="B1900" s="58" t="inlineStr">
        <is>
          <t>Passaic</t>
        </is>
      </c>
      <c r="C1900" s="58" t="inlineStr">
        <is>
          <t>Pablo Lopez</t>
        </is>
      </c>
      <c r="D1900" s="58" t="inlineStr">
        <is>
          <t>On-premise</t>
        </is>
      </c>
      <c r="E1900" s="53" t="n">
        <v>104</v>
      </c>
      <c r="F1900" s="53" t="n">
        <v>103</v>
      </c>
      <c r="G1900" s="55" t="n">
        <v>796.4100000000001</v>
      </c>
      <c r="H1900" s="55" t="n">
        <v>775.88</v>
      </c>
      <c r="I1900" s="53" t="n">
        <v>0</v>
      </c>
      <c r="J1900" s="53" t="n">
        <v>0</v>
      </c>
      <c r="K1900" s="53" t="n">
        <v>5</v>
      </c>
      <c r="L1900" s="53" t="n">
        <v>0</v>
      </c>
      <c r="M1900" s="33">
        <f>F1900-E1900</f>
        <v/>
      </c>
      <c r="N1900" s="33">
        <f>L1900-K1900</f>
        <v/>
      </c>
    </row>
    <row r="1901">
      <c r="A1901" s="58" t="inlineStr">
        <is>
          <t>51014 Marriott (A) Teaneck</t>
        </is>
      </c>
      <c r="B1901" s="58" t="inlineStr">
        <is>
          <t>Bergen</t>
        </is>
      </c>
      <c r="C1901" s="58" t="inlineStr">
        <is>
          <t>Paul Mclaughlin</t>
        </is>
      </c>
      <c r="D1901" s="58" t="inlineStr">
        <is>
          <t>On-premise</t>
        </is>
      </c>
      <c r="E1901" s="53" t="n">
        <v>150</v>
      </c>
      <c r="F1901" s="53" t="n">
        <v>106</v>
      </c>
      <c r="G1901" s="55" t="n">
        <v>1434.98</v>
      </c>
      <c r="H1901" s="55" t="n">
        <v>1035.74</v>
      </c>
      <c r="I1901" s="53" t="n">
        <v>36</v>
      </c>
      <c r="J1901" s="53" t="n">
        <v>33</v>
      </c>
      <c r="K1901" s="53" t="n">
        <v>12</v>
      </c>
      <c r="L1901" s="53" t="n">
        <v>7</v>
      </c>
      <c r="M1901" s="33">
        <f>F1901-E1901</f>
        <v/>
      </c>
      <c r="N1901" s="33">
        <f>L1901-K1901</f>
        <v/>
      </c>
    </row>
    <row r="1902">
      <c r="A1902" s="58" t="inlineStr">
        <is>
          <t>71007 103 Prime Time</t>
        </is>
      </c>
      <c r="B1902" s="58" t="inlineStr">
        <is>
          <t>Bergen</t>
        </is>
      </c>
      <c r="C1902" s="58" t="inlineStr">
        <is>
          <t>Paul Mclaughlin</t>
        </is>
      </c>
      <c r="D1902" s="58" t="inlineStr">
        <is>
          <t>On-premise</t>
        </is>
      </c>
      <c r="E1902" s="53" t="n">
        <v>12</v>
      </c>
      <c r="F1902" s="53" t="n">
        <v>0</v>
      </c>
      <c r="G1902" s="55" t="n">
        <v>110.04</v>
      </c>
      <c r="H1902" s="55" t="n">
        <v>0</v>
      </c>
      <c r="I1902" s="53" t="n">
        <v>2</v>
      </c>
      <c r="J1902" s="53" t="n">
        <v>0</v>
      </c>
      <c r="K1902" s="53" t="n">
        <v>5</v>
      </c>
      <c r="L1902" s="53" t="n">
        <v>0</v>
      </c>
      <c r="M1902" s="33">
        <f>F1902-E1902</f>
        <v/>
      </c>
      <c r="N1902" s="33">
        <f>L1902-K1902</f>
        <v/>
      </c>
    </row>
    <row r="1903">
      <c r="A1903" s="58" t="inlineStr">
        <is>
          <t>41029 Riviera Lounge (P)</t>
        </is>
      </c>
      <c r="B1903" s="58" t="inlineStr">
        <is>
          <t>Bergen</t>
        </is>
      </c>
      <c r="C1903" s="58" t="inlineStr">
        <is>
          <t>Paul Mclaughlin</t>
        </is>
      </c>
      <c r="D1903" s="58" t="inlineStr">
        <is>
          <t>On-premise</t>
        </is>
      </c>
      <c r="E1903" s="53" t="n">
        <v>793</v>
      </c>
      <c r="F1903" s="53" t="n">
        <v>675</v>
      </c>
      <c r="G1903" s="55" t="n">
        <v>6122.27</v>
      </c>
      <c r="H1903" s="55" t="n">
        <v>5425.46</v>
      </c>
      <c r="I1903" s="53" t="n">
        <v>27</v>
      </c>
      <c r="J1903" s="53" t="n">
        <v>4</v>
      </c>
      <c r="K1903" s="53" t="n">
        <v>19</v>
      </c>
      <c r="L1903" s="53" t="n">
        <v>14</v>
      </c>
      <c r="M1903" s="33">
        <f>F1903-E1903</f>
        <v/>
      </c>
      <c r="N1903" s="33">
        <f>L1903-K1903</f>
        <v/>
      </c>
    </row>
    <row r="1904">
      <c r="A1904" s="58" t="inlineStr">
        <is>
          <t>190710 Hilton Garden Inn Rockaway</t>
        </is>
      </c>
      <c r="B1904" s="58" t="inlineStr">
        <is>
          <t>Morris</t>
        </is>
      </c>
      <c r="C1904" s="58" t="inlineStr">
        <is>
          <t>Robin Feldman</t>
        </is>
      </c>
      <c r="D1904" s="58" t="inlineStr">
        <is>
          <t>On-premise</t>
        </is>
      </c>
      <c r="E1904" s="53" t="n">
        <v>65</v>
      </c>
      <c r="F1904" s="53" t="n">
        <v>43</v>
      </c>
      <c r="G1904" s="55" t="n">
        <v>675.3099999999999</v>
      </c>
      <c r="H1904" s="55" t="n">
        <v>443.71</v>
      </c>
      <c r="I1904" s="53" t="n">
        <v>10</v>
      </c>
      <c r="J1904" s="53" t="n">
        <v>21</v>
      </c>
      <c r="K1904" s="53" t="n">
        <v>9</v>
      </c>
      <c r="L1904" s="53" t="n">
        <v>4</v>
      </c>
      <c r="M1904" s="33">
        <f>F1904-E1904</f>
        <v/>
      </c>
      <c r="N1904" s="33">
        <f>L1904-K1904</f>
        <v/>
      </c>
    </row>
    <row r="1905">
      <c r="A1905" s="58" t="inlineStr">
        <is>
          <t>231708 American Lgn Branchville</t>
        </is>
      </c>
      <c r="B1905" s="58" t="inlineStr">
        <is>
          <t>Sussex</t>
        </is>
      </c>
      <c r="C1905" s="58" t="inlineStr">
        <is>
          <t>Robin Feldman</t>
        </is>
      </c>
      <c r="D1905" s="58" t="inlineStr">
        <is>
          <t>On-premise</t>
        </is>
      </c>
      <c r="E1905" s="53" t="n">
        <v>241</v>
      </c>
      <c r="F1905" s="53" t="n">
        <v>187</v>
      </c>
      <c r="G1905" s="55" t="n">
        <v>1257.81</v>
      </c>
      <c r="H1905" s="55" t="n">
        <v>1066.46</v>
      </c>
      <c r="I1905" s="53" t="n">
        <v>19</v>
      </c>
      <c r="J1905" s="53" t="n">
        <v>29</v>
      </c>
      <c r="K1905" s="53" t="n">
        <v>9</v>
      </c>
      <c r="L1905" s="53" t="n">
        <v>4</v>
      </c>
      <c r="M1905" s="33">
        <f>F1905-E1905</f>
        <v/>
      </c>
      <c r="N1905" s="33">
        <f>L1905-K1905</f>
        <v/>
      </c>
    </row>
    <row r="1906">
      <c r="A1906" s="58" t="inlineStr">
        <is>
          <t>3012 Tree Tavern (A)</t>
        </is>
      </c>
      <c r="B1906" s="58" t="inlineStr">
        <is>
          <t>Passaic</t>
        </is>
      </c>
      <c r="C1906" s="58" t="inlineStr">
        <is>
          <t>Robin Feldman</t>
        </is>
      </c>
      <c r="D1906" s="58" t="inlineStr">
        <is>
          <t>On-premise</t>
        </is>
      </c>
      <c r="E1906" s="53" t="n">
        <v>34</v>
      </c>
      <c r="F1906" s="53" t="n">
        <v>28</v>
      </c>
      <c r="G1906" s="55" t="n">
        <v>332.1000000000001</v>
      </c>
      <c r="H1906" s="55" t="n">
        <v>264.99</v>
      </c>
      <c r="I1906" s="53" t="n">
        <v>5</v>
      </c>
      <c r="J1906" s="53" t="n">
        <v>5</v>
      </c>
      <c r="K1906" s="53" t="n">
        <v>12</v>
      </c>
      <c r="L1906" s="53" t="n">
        <v>7</v>
      </c>
      <c r="M1906" s="33">
        <f>F1906-E1906</f>
        <v/>
      </c>
      <c r="N1906" s="33">
        <f>L1906-K1906</f>
        <v/>
      </c>
    </row>
    <row r="1907">
      <c r="A1907" s="58" t="inlineStr">
        <is>
          <t>34006 Bensi (P) (Shoprite Plza)</t>
        </is>
      </c>
      <c r="B1907" s="58" t="inlineStr">
        <is>
          <t>Bergen</t>
        </is>
      </c>
      <c r="C1907" s="58" t="inlineStr">
        <is>
          <t>Robin Feldman</t>
        </is>
      </c>
      <c r="D1907" s="58" t="inlineStr">
        <is>
          <t>On-premise</t>
        </is>
      </c>
      <c r="E1907" s="53" t="n">
        <v>19</v>
      </c>
      <c r="F1907" s="53" t="n">
        <v>10</v>
      </c>
      <c r="G1907" s="55" t="n">
        <v>168.85</v>
      </c>
      <c r="H1907" s="55" t="n">
        <v>95.94</v>
      </c>
      <c r="I1907" s="53" t="n">
        <v>6</v>
      </c>
      <c r="J1907" s="53" t="n">
        <v>4</v>
      </c>
      <c r="K1907" s="53" t="n">
        <v>6</v>
      </c>
      <c r="L1907" s="53" t="n">
        <v>1</v>
      </c>
      <c r="M1907" s="33">
        <f>F1907-E1907</f>
        <v/>
      </c>
      <c r="N1907" s="33">
        <f>L1907-K1907</f>
        <v/>
      </c>
    </row>
    <row r="1908">
      <c r="A1908" s="58" t="inlineStr">
        <is>
          <t>58003 River Edge Diner &amp; Rest.</t>
        </is>
      </c>
      <c r="B1908" s="58" t="inlineStr">
        <is>
          <t>Bergen</t>
        </is>
      </c>
      <c r="C1908" s="58" t="inlineStr">
        <is>
          <t>Robin Feldman</t>
        </is>
      </c>
      <c r="D1908" s="58" t="inlineStr">
        <is>
          <t>On-premise</t>
        </is>
      </c>
      <c r="E1908" s="53" t="n">
        <v>28</v>
      </c>
      <c r="F1908" s="53" t="n">
        <v>16</v>
      </c>
      <c r="G1908" s="55" t="n">
        <v>299.26</v>
      </c>
      <c r="H1908" s="55" t="n">
        <v>180.42</v>
      </c>
      <c r="I1908" s="53" t="n">
        <v>5</v>
      </c>
      <c r="J1908" s="53" t="n">
        <v>12</v>
      </c>
      <c r="K1908" s="53" t="n">
        <v>5</v>
      </c>
      <c r="L1908" s="53" t="n">
        <v>0</v>
      </c>
      <c r="M1908" s="33">
        <f>F1908-E1908</f>
        <v/>
      </c>
      <c r="N1908" s="33">
        <f>L1908-K1908</f>
        <v/>
      </c>
    </row>
    <row r="1909">
      <c r="A1909" s="58" t="inlineStr">
        <is>
          <t>170239 Brothers Supermarket</t>
        </is>
      </c>
      <c r="B1909" s="58" t="inlineStr">
        <is>
          <t>Hudson</t>
        </is>
      </c>
      <c r="C1909" s="58" t="inlineStr">
        <is>
          <t>Alisa Acciardi</t>
        </is>
      </c>
      <c r="D1909" s="58" t="inlineStr">
        <is>
          <t>Off-premise</t>
        </is>
      </c>
      <c r="E1909" s="53" t="n">
        <v>34</v>
      </c>
      <c r="F1909" s="53" t="n">
        <v>28</v>
      </c>
      <c r="G1909" s="55" t="n">
        <v>255.2</v>
      </c>
      <c r="H1909" s="55" t="n">
        <v>212.97</v>
      </c>
      <c r="I1909" s="53" t="n">
        <v>105</v>
      </c>
      <c r="J1909" s="53" t="n">
        <v>43</v>
      </c>
      <c r="K1909" s="53" t="n">
        <v>34</v>
      </c>
      <c r="L1909" s="53" t="n">
        <v>28</v>
      </c>
      <c r="M1909" s="33">
        <f>F1909-E1909</f>
        <v/>
      </c>
      <c r="N1909" s="33">
        <f>L1909-K1909</f>
        <v/>
      </c>
    </row>
    <row r="1910">
      <c r="A1910" s="58" t="inlineStr">
        <is>
          <t>171006 Liquor Station</t>
        </is>
      </c>
      <c r="B1910" s="58" t="inlineStr">
        <is>
          <t>Hudson</t>
        </is>
      </c>
      <c r="C1910" s="58" t="inlineStr">
        <is>
          <t>Alisa Acciardi</t>
        </is>
      </c>
      <c r="D1910" s="58" t="inlineStr">
        <is>
          <t>Unmatched</t>
        </is>
      </c>
      <c r="E1910" s="53" t="n">
        <v>6</v>
      </c>
      <c r="F1910" s="53" t="n">
        <v>0</v>
      </c>
      <c r="G1910" s="55" t="n">
        <v>39.96</v>
      </c>
      <c r="H1910" s="55" t="n">
        <v>0</v>
      </c>
      <c r="I1910" s="53" t="n">
        <v>5</v>
      </c>
      <c r="J1910" s="53" t="n">
        <v>0</v>
      </c>
      <c r="K1910" s="53" t="n">
        <v>6</v>
      </c>
      <c r="L1910" s="53" t="n">
        <v>0</v>
      </c>
      <c r="M1910" s="33">
        <f>F1910-E1910</f>
        <v/>
      </c>
      <c r="N1910" s="33">
        <f>L1910-K1910</f>
        <v/>
      </c>
    </row>
    <row r="1911">
      <c r="A1911" s="58" t="inlineStr">
        <is>
          <t>171403 ShopRite Wines &amp; Spirits of Bayonne</t>
        </is>
      </c>
      <c r="B1911" s="58" t="inlineStr">
        <is>
          <t>Hudson</t>
        </is>
      </c>
      <c r="C1911" s="58" t="inlineStr">
        <is>
          <t>Alisa Acciardi</t>
        </is>
      </c>
      <c r="D1911" s="58" t="inlineStr">
        <is>
          <t>Off-premise</t>
        </is>
      </c>
      <c r="E1911" s="53" t="n">
        <v>43</v>
      </c>
      <c r="F1911" s="53" t="n">
        <v>37</v>
      </c>
      <c r="G1911" s="55" t="n">
        <v>302.08</v>
      </c>
      <c r="H1911" s="55" t="n">
        <v>269.34</v>
      </c>
      <c r="I1911" s="53" t="n">
        <v>345</v>
      </c>
      <c r="J1911" s="53" t="n">
        <v>372</v>
      </c>
      <c r="K1911" s="53" t="n">
        <v>43</v>
      </c>
      <c r="L1911" s="53" t="n">
        <v>37</v>
      </c>
      <c r="M1911" s="33">
        <f>F1911-E1911</f>
        <v/>
      </c>
      <c r="N1911" s="33">
        <f>L1911-K1911</f>
        <v/>
      </c>
    </row>
    <row r="1912">
      <c r="A1912" s="58" t="inlineStr">
        <is>
          <t>171410 Times Square Liq</t>
        </is>
      </c>
      <c r="B1912" s="58" t="inlineStr">
        <is>
          <t>Hudson</t>
        </is>
      </c>
      <c r="C1912" s="58" t="inlineStr">
        <is>
          <t>Alisa Acciardi</t>
        </is>
      </c>
      <c r="D1912" s="58" t="inlineStr">
        <is>
          <t>Off-premise</t>
        </is>
      </c>
      <c r="E1912" s="53" t="n">
        <v>11</v>
      </c>
      <c r="F1912" s="53" t="n">
        <v>5</v>
      </c>
      <c r="G1912" s="55" t="n">
        <v>78.25</v>
      </c>
      <c r="H1912" s="55" t="n">
        <v>42.79</v>
      </c>
      <c r="I1912" s="53" t="n">
        <v>2</v>
      </c>
      <c r="J1912" s="53" t="n">
        <v>5</v>
      </c>
      <c r="K1912" s="53" t="n">
        <v>11</v>
      </c>
      <c r="L1912" s="53" t="n">
        <v>5</v>
      </c>
      <c r="M1912" s="33">
        <f>F1912-E1912</f>
        <v/>
      </c>
      <c r="N1912" s="33">
        <f>L1912-K1912</f>
        <v/>
      </c>
    </row>
    <row r="1913">
      <c r="A1913" s="58" t="inlineStr">
        <is>
          <t>12065 Buffalo Wild Wings - Wayne, NJ</t>
        </is>
      </c>
      <c r="B1913" s="58" t="inlineStr">
        <is>
          <t>Passaic</t>
        </is>
      </c>
      <c r="C1913" s="58" t="inlineStr">
        <is>
          <t>Allison Scott</t>
        </is>
      </c>
      <c r="D1913" s="58" t="inlineStr">
        <is>
          <t>On-premise</t>
        </is>
      </c>
      <c r="E1913" s="53" t="n">
        <v>221</v>
      </c>
      <c r="F1913" s="53" t="n">
        <v>118</v>
      </c>
      <c r="G1913" s="55" t="n">
        <v>1514.12</v>
      </c>
      <c r="H1913" s="55" t="n">
        <v>728.3200000000001</v>
      </c>
      <c r="I1913" s="53" t="n">
        <v>46</v>
      </c>
      <c r="J1913" s="53" t="n">
        <v>27</v>
      </c>
      <c r="K1913" s="53" t="n">
        <v>30</v>
      </c>
      <c r="L1913" s="53" t="n">
        <v>24</v>
      </c>
      <c r="M1913" s="33">
        <f>F1913-E1913</f>
        <v/>
      </c>
      <c r="N1913" s="33">
        <f>L1913-K1913</f>
        <v/>
      </c>
    </row>
    <row r="1914">
      <c r="A1914" s="58" t="inlineStr">
        <is>
          <t>13015 Rare The Steakhouse (Z)</t>
        </is>
      </c>
      <c r="B1914" s="58" t="inlineStr">
        <is>
          <t>Passaic</t>
        </is>
      </c>
      <c r="C1914" s="58" t="inlineStr">
        <is>
          <t>Allison Scott</t>
        </is>
      </c>
      <c r="D1914" s="58" t="inlineStr">
        <is>
          <t>On-premise</t>
        </is>
      </c>
      <c r="E1914" s="53" t="n">
        <v>35</v>
      </c>
      <c r="F1914" s="53" t="n">
        <v>27</v>
      </c>
      <c r="G1914" s="55" t="n">
        <v>412.27</v>
      </c>
      <c r="H1914" s="55" t="n">
        <v>241.24</v>
      </c>
      <c r="I1914" s="53" t="n">
        <v>170</v>
      </c>
      <c r="J1914" s="53" t="n">
        <v>167</v>
      </c>
      <c r="K1914" s="53" t="n">
        <v>18</v>
      </c>
      <c r="L1914" s="53" t="n">
        <v>12</v>
      </c>
      <c r="M1914" s="33">
        <f>F1914-E1914</f>
        <v/>
      </c>
      <c r="N1914" s="33">
        <f>L1914-K1914</f>
        <v/>
      </c>
    </row>
    <row r="1915">
      <c r="A1915" s="58" t="inlineStr">
        <is>
          <t>24039 Veterans Post (9)</t>
        </is>
      </c>
      <c r="B1915" s="58" t="inlineStr">
        <is>
          <t>Passaic</t>
        </is>
      </c>
      <c r="C1915" s="58" t="inlineStr">
        <is>
          <t>Allison Scott</t>
        </is>
      </c>
      <c r="D1915" s="58" t="inlineStr">
        <is>
          <t>On-premise</t>
        </is>
      </c>
      <c r="E1915" s="53" t="n">
        <v>172</v>
      </c>
      <c r="F1915" s="53" t="n">
        <v>90</v>
      </c>
      <c r="G1915" s="55" t="n">
        <v>1648.23</v>
      </c>
      <c r="H1915" s="55" t="n">
        <v>797.9499999999999</v>
      </c>
      <c r="I1915" s="53" t="n">
        <v>1</v>
      </c>
      <c r="J1915" s="53" t="n">
        <v>1</v>
      </c>
      <c r="K1915" s="53" t="n">
        <v>7</v>
      </c>
      <c r="L1915" s="53" t="n">
        <v>1</v>
      </c>
      <c r="M1915" s="33">
        <f>F1915-E1915</f>
        <v/>
      </c>
      <c r="N1915" s="33">
        <f>L1915-K1915</f>
        <v/>
      </c>
    </row>
    <row r="1916">
      <c r="A1916" s="58" t="inlineStr">
        <is>
          <t>250009 Wine Library</t>
        </is>
      </c>
      <c r="B1916" s="58" t="inlineStr">
        <is>
          <t>Union</t>
        </is>
      </c>
      <c r="C1916" s="58" t="inlineStr">
        <is>
          <t>Andrew Lundy</t>
        </is>
      </c>
      <c r="D1916" s="58" t="inlineStr">
        <is>
          <t>Unmatched</t>
        </is>
      </c>
      <c r="E1916" s="53" t="n">
        <v>6</v>
      </c>
      <c r="F1916" s="53" t="n">
        <v>0</v>
      </c>
      <c r="G1916" s="55" t="n">
        <v>39.96</v>
      </c>
      <c r="H1916" s="55" t="n">
        <v>0</v>
      </c>
      <c r="I1916" s="53" t="n">
        <v>62</v>
      </c>
      <c r="J1916" s="53" t="n">
        <v>0</v>
      </c>
      <c r="K1916" s="53" t="n">
        <v>6</v>
      </c>
      <c r="L1916" s="53" t="n">
        <v>0</v>
      </c>
      <c r="M1916" s="33">
        <f>F1916-E1916</f>
        <v/>
      </c>
      <c r="N1916" s="33">
        <f>L1916-K1916</f>
        <v/>
      </c>
    </row>
    <row r="1917">
      <c r="A1917" s="58" t="inlineStr">
        <is>
          <t>231305 Early American Tavern</t>
        </is>
      </c>
      <c r="B1917" s="58" t="inlineStr">
        <is>
          <t>Sussex</t>
        </is>
      </c>
      <c r="C1917" s="58" t="inlineStr">
        <is>
          <t>Anthony Palmisano</t>
        </is>
      </c>
      <c r="D1917" s="58" t="inlineStr">
        <is>
          <t>On-premise</t>
        </is>
      </c>
      <c r="E1917" s="53" t="n">
        <v>217</v>
      </c>
      <c r="F1917" s="53" t="n">
        <v>189</v>
      </c>
      <c r="G1917" s="55" t="n">
        <v>1639.28</v>
      </c>
      <c r="H1917" s="55" t="n">
        <v>1537.29</v>
      </c>
      <c r="I1917" s="53" t="n">
        <v>40</v>
      </c>
      <c r="J1917" s="53" t="n">
        <v>51</v>
      </c>
      <c r="K1917" s="53" t="n">
        <v>31</v>
      </c>
      <c r="L1917" s="53" t="n">
        <v>25</v>
      </c>
      <c r="M1917" s="33">
        <f>F1917-E1917</f>
        <v/>
      </c>
      <c r="N1917" s="33">
        <f>L1917-K1917</f>
        <v/>
      </c>
    </row>
    <row r="1918">
      <c r="A1918" s="58" t="inlineStr">
        <is>
          <t>230119 Smokey's Brick Oven Tav.</t>
        </is>
      </c>
      <c r="B1918" s="58" t="inlineStr">
        <is>
          <t>Sussex</t>
        </is>
      </c>
      <c r="C1918" s="58" t="inlineStr">
        <is>
          <t>Anthony Palmisano</t>
        </is>
      </c>
      <c r="D1918" s="58" t="inlineStr">
        <is>
          <t>On-premise</t>
        </is>
      </c>
      <c r="E1918" s="53" t="n">
        <v>192</v>
      </c>
      <c r="F1918" s="53" t="n">
        <v>210</v>
      </c>
      <c r="G1918" s="55" t="n">
        <v>1107.77</v>
      </c>
      <c r="H1918" s="55" t="n">
        <v>1383.02</v>
      </c>
      <c r="I1918" s="53" t="n">
        <v>54</v>
      </c>
      <c r="J1918" s="53" t="n">
        <v>71</v>
      </c>
      <c r="K1918" s="53" t="n">
        <v>12</v>
      </c>
      <c r="L1918" s="53" t="n">
        <v>6</v>
      </c>
      <c r="M1918" s="33">
        <f>F1918-E1918</f>
        <v/>
      </c>
      <c r="N1918" s="33">
        <f>L1918-K1918</f>
        <v/>
      </c>
    </row>
    <row r="1919">
      <c r="A1919" s="58" t="inlineStr">
        <is>
          <t>230103 St.Moritz Grill &amp; Bar</t>
        </is>
      </c>
      <c r="B1919" s="58" t="inlineStr">
        <is>
          <t>Sussex</t>
        </is>
      </c>
      <c r="C1919" s="58" t="inlineStr">
        <is>
          <t>Brian Sengebush</t>
        </is>
      </c>
      <c r="D1919" s="58" t="inlineStr">
        <is>
          <t>On-premise</t>
        </is>
      </c>
      <c r="E1919" s="53" t="n">
        <v>160</v>
      </c>
      <c r="F1919" s="53" t="n">
        <v>149</v>
      </c>
      <c r="G1919" s="55" t="n">
        <v>1006.89</v>
      </c>
      <c r="H1919" s="55" t="n">
        <v>1031.74</v>
      </c>
      <c r="I1919" s="53" t="n">
        <v>43</v>
      </c>
      <c r="J1919" s="53" t="n">
        <v>37</v>
      </c>
      <c r="K1919" s="53" t="n">
        <v>7</v>
      </c>
      <c r="L1919" s="53" t="n">
        <v>1</v>
      </c>
      <c r="M1919" s="33">
        <f>F1919-E1919</f>
        <v/>
      </c>
      <c r="N1919" s="33">
        <f>L1919-K1919</f>
        <v/>
      </c>
    </row>
    <row r="1920">
      <c r="A1920" s="58" t="inlineStr">
        <is>
          <t>231607 JJ's Bar and Package Goods LLC</t>
        </is>
      </c>
      <c r="B1920" s="58" t="inlineStr">
        <is>
          <t>Sussex</t>
        </is>
      </c>
      <c r="C1920" s="58" t="inlineStr">
        <is>
          <t>Brian Sengebush</t>
        </is>
      </c>
      <c r="D1920" s="58" t="inlineStr">
        <is>
          <t>Unmatched</t>
        </is>
      </c>
      <c r="E1920" s="53" t="n">
        <v>49</v>
      </c>
      <c r="F1920" s="53" t="n">
        <v>0</v>
      </c>
      <c r="G1920" s="55" t="n">
        <v>409.76</v>
      </c>
      <c r="H1920" s="55" t="n">
        <v>0</v>
      </c>
      <c r="I1920" s="53" t="n">
        <v>7</v>
      </c>
      <c r="J1920" s="53" t="n">
        <v>0</v>
      </c>
      <c r="K1920" s="53" t="n">
        <v>6</v>
      </c>
      <c r="L1920" s="53" t="n">
        <v>0</v>
      </c>
      <c r="M1920" s="33">
        <f>F1920-E1920</f>
        <v/>
      </c>
      <c r="N1920" s="33">
        <f>L1920-K1920</f>
        <v/>
      </c>
    </row>
    <row r="1921">
      <c r="A1921" s="58" t="inlineStr">
        <is>
          <t>191509 The Beacon</t>
        </is>
      </c>
      <c r="B1921" s="58" t="inlineStr">
        <is>
          <t>Sussex</t>
        </is>
      </c>
      <c r="C1921" s="58" t="inlineStr">
        <is>
          <t>Brian Sengebush</t>
        </is>
      </c>
      <c r="D1921" s="58" t="inlineStr">
        <is>
          <t>On-premise</t>
        </is>
      </c>
      <c r="E1921" s="53" t="n">
        <v>257</v>
      </c>
      <c r="F1921" s="53" t="n">
        <v>191</v>
      </c>
      <c r="G1921" s="55" t="n">
        <v>1764.56</v>
      </c>
      <c r="H1921" s="55" t="n">
        <v>1602.29</v>
      </c>
      <c r="I1921" s="53" t="n">
        <v>15</v>
      </c>
      <c r="J1921" s="53" t="n">
        <v>23</v>
      </c>
      <c r="K1921" s="53" t="n">
        <v>11</v>
      </c>
      <c r="L1921" s="53" t="n">
        <v>5</v>
      </c>
      <c r="M1921" s="33">
        <f>F1921-E1921</f>
        <v/>
      </c>
      <c r="N1921" s="33">
        <f>L1921-K1921</f>
        <v/>
      </c>
    </row>
    <row r="1922">
      <c r="A1922" s="58" t="inlineStr">
        <is>
          <t>35009 Fiesta (A)</t>
        </is>
      </c>
      <c r="B1922" s="58" t="inlineStr">
        <is>
          <t>Bergen</t>
        </is>
      </c>
      <c r="C1922" s="58" t="inlineStr">
        <is>
          <t>Chris Payton</t>
        </is>
      </c>
      <c r="D1922" s="58" t="inlineStr">
        <is>
          <t>On-premise</t>
        </is>
      </c>
      <c r="E1922" s="53" t="n">
        <v>214</v>
      </c>
      <c r="F1922" s="53" t="n">
        <v>145</v>
      </c>
      <c r="G1922" s="55" t="n">
        <v>1918.21</v>
      </c>
      <c r="H1922" s="55" t="n">
        <v>1299.88</v>
      </c>
      <c r="I1922" s="53" t="n">
        <v>0</v>
      </c>
      <c r="J1922" s="53" t="n">
        <v>0</v>
      </c>
      <c r="K1922" s="53" t="n">
        <v>9</v>
      </c>
      <c r="L1922" s="53" t="n">
        <v>3</v>
      </c>
      <c r="M1922" s="33">
        <f>F1922-E1922</f>
        <v/>
      </c>
      <c r="N1922" s="33">
        <f>L1922-K1922</f>
        <v/>
      </c>
    </row>
    <row r="1923">
      <c r="A1923" s="58" t="inlineStr">
        <is>
          <t>38028 Colombia Bakery Factory &amp; Restaurant</t>
        </is>
      </c>
      <c r="B1923" s="58" t="inlineStr">
        <is>
          <t>Bergen</t>
        </is>
      </c>
      <c r="C1923" s="58" t="inlineStr">
        <is>
          <t>Chris Payton</t>
        </is>
      </c>
      <c r="D1923" s="58" t="inlineStr">
        <is>
          <t>Unmatched</t>
        </is>
      </c>
      <c r="E1923" s="53" t="n">
        <v>35</v>
      </c>
      <c r="F1923" s="53" t="n">
        <v>105</v>
      </c>
      <c r="G1923" s="55" t="n">
        <v>327.77</v>
      </c>
      <c r="H1923" s="55" t="n">
        <v>1022.47</v>
      </c>
      <c r="I1923" s="53" t="n">
        <v>5</v>
      </c>
      <c r="J1923" s="53" t="n">
        <v>22</v>
      </c>
      <c r="K1923" s="53" t="n">
        <v>6</v>
      </c>
      <c r="L1923" s="53" t="n">
        <v>0</v>
      </c>
      <c r="M1923" s="33">
        <f>F1923-E1923</f>
        <v/>
      </c>
      <c r="N1923" s="33">
        <f>L1923-K1923</f>
        <v/>
      </c>
    </row>
    <row r="1924">
      <c r="A1924" s="58" t="inlineStr">
        <is>
          <t>49016 Ipic Theaters</t>
        </is>
      </c>
      <c r="B1924" s="58" t="inlineStr">
        <is>
          <t>Bergen</t>
        </is>
      </c>
      <c r="C1924" s="58" t="inlineStr">
        <is>
          <t>Dan Lagala</t>
        </is>
      </c>
      <c r="D1924" s="58" t="inlineStr">
        <is>
          <t>On-premise</t>
        </is>
      </c>
      <c r="E1924" s="53" t="n">
        <v>187</v>
      </c>
      <c r="F1924" s="53" t="n">
        <v>190</v>
      </c>
      <c r="G1924" s="55" t="n">
        <v>1612.88</v>
      </c>
      <c r="H1924" s="55" t="n">
        <v>1707.6</v>
      </c>
      <c r="I1924" s="53" t="n">
        <v>57</v>
      </c>
      <c r="J1924" s="53" t="n">
        <v>71</v>
      </c>
      <c r="K1924" s="53" t="n">
        <v>44</v>
      </c>
      <c r="L1924" s="53" t="n">
        <v>38</v>
      </c>
      <c r="M1924" s="33">
        <f>F1924-E1924</f>
        <v/>
      </c>
      <c r="N1924" s="33">
        <f>L1924-K1924</f>
        <v/>
      </c>
    </row>
    <row r="1925">
      <c r="A1925" s="58" t="inlineStr">
        <is>
          <t>171405 Waterfront Wine &amp; Liq(P)</t>
        </is>
      </c>
      <c r="B1925" s="58" t="inlineStr">
        <is>
          <t>Hudson</t>
        </is>
      </c>
      <c r="C1925" s="58" t="inlineStr">
        <is>
          <t>Dylan Rubino</t>
        </is>
      </c>
      <c r="D1925" s="58" t="inlineStr">
        <is>
          <t>Off-premise</t>
        </is>
      </c>
      <c r="E1925" s="53" t="n">
        <v>35</v>
      </c>
      <c r="F1925" s="53" t="n">
        <v>29</v>
      </c>
      <c r="G1925" s="55" t="n">
        <v>264.76</v>
      </c>
      <c r="H1925" s="55" t="n">
        <v>214.68</v>
      </c>
      <c r="I1925" s="53" t="n">
        <v>72</v>
      </c>
      <c r="J1925" s="53" t="n">
        <v>58</v>
      </c>
      <c r="K1925" s="53" t="n">
        <v>35</v>
      </c>
      <c r="L1925" s="53" t="n">
        <v>29</v>
      </c>
      <c r="M1925" s="33">
        <f>F1925-E1925</f>
        <v/>
      </c>
      <c r="N1925" s="33">
        <f>L1925-K1925</f>
        <v/>
      </c>
    </row>
    <row r="1926">
      <c r="A1926" s="58" t="inlineStr">
        <is>
          <t>170007 Augie's Wine &amp; Liq (P)</t>
        </is>
      </c>
      <c r="B1926" s="58" t="inlineStr">
        <is>
          <t>Hudson</t>
        </is>
      </c>
      <c r="C1926" s="58" t="inlineStr">
        <is>
          <t>Jaime Colonna</t>
        </is>
      </c>
      <c r="D1926" s="58" t="inlineStr">
        <is>
          <t>Off-premise</t>
        </is>
      </c>
      <c r="E1926" s="53" t="n">
        <v>6</v>
      </c>
      <c r="F1926" s="53" t="n">
        <v>0</v>
      </c>
      <c r="G1926" s="55" t="n">
        <v>68.45</v>
      </c>
      <c r="H1926" s="55" t="n">
        <v>0</v>
      </c>
      <c r="I1926" s="53" t="n">
        <v>37</v>
      </c>
      <c r="J1926" s="53" t="n">
        <v>0</v>
      </c>
      <c r="K1926" s="53" t="n">
        <v>6</v>
      </c>
      <c r="L1926" s="53" t="n">
        <v>0</v>
      </c>
      <c r="M1926" s="33">
        <f>F1926-E1926</f>
        <v/>
      </c>
      <c r="N1926" s="33">
        <f>L1926-K1926</f>
        <v/>
      </c>
    </row>
    <row r="1927">
      <c r="A1927" s="58" t="inlineStr">
        <is>
          <t>231308 Wantage Plaza Liq Outlet</t>
        </is>
      </c>
      <c r="B1927" s="58" t="inlineStr">
        <is>
          <t>Sussex</t>
        </is>
      </c>
      <c r="C1927" s="58" t="inlineStr">
        <is>
          <t>Jayson Romine</t>
        </is>
      </c>
      <c r="D1927" s="58" t="inlineStr">
        <is>
          <t>Off-premise</t>
        </is>
      </c>
      <c r="E1927" s="53" t="n">
        <v>3510</v>
      </c>
      <c r="F1927" s="53" t="n">
        <v>2859</v>
      </c>
      <c r="G1927" s="55" t="n">
        <v>22177.6</v>
      </c>
      <c r="H1927" s="55" t="n">
        <v>18959.54</v>
      </c>
      <c r="I1927" s="53" t="n">
        <v>1017</v>
      </c>
      <c r="J1927" s="53" t="n">
        <v>992</v>
      </c>
      <c r="K1927" s="53" t="n">
        <v>486</v>
      </c>
      <c r="L1927" s="53" t="n">
        <v>480</v>
      </c>
      <c r="M1927" s="33">
        <f>F1927-E1927</f>
        <v/>
      </c>
      <c r="N1927" s="33">
        <f>L1927-K1927</f>
        <v/>
      </c>
    </row>
    <row r="1928">
      <c r="A1928" s="58" t="inlineStr">
        <is>
          <t>231502 Lake Wanda Store</t>
        </is>
      </c>
      <c r="B1928" s="58" t="inlineStr">
        <is>
          <t>Sussex</t>
        </is>
      </c>
      <c r="C1928" s="58" t="inlineStr">
        <is>
          <t>Jayson Romine</t>
        </is>
      </c>
      <c r="D1928" s="58" t="inlineStr">
        <is>
          <t>Off-premise</t>
        </is>
      </c>
      <c r="E1928" s="53" t="n">
        <v>322</v>
      </c>
      <c r="F1928" s="53" t="n">
        <v>336</v>
      </c>
      <c r="G1928" s="55" t="n">
        <v>2910.52</v>
      </c>
      <c r="H1928" s="55" t="n">
        <v>2974.22</v>
      </c>
      <c r="I1928" s="53" t="n">
        <v>170</v>
      </c>
      <c r="J1928" s="53" t="n">
        <v>128</v>
      </c>
      <c r="K1928" s="53" t="n">
        <v>68</v>
      </c>
      <c r="L1928" s="53" t="n">
        <v>62</v>
      </c>
      <c r="M1928" s="33">
        <f>F1928-E1928</f>
        <v/>
      </c>
      <c r="N1928" s="33">
        <f>L1928-K1928</f>
        <v/>
      </c>
    </row>
    <row r="1929">
      <c r="A1929" s="58" t="inlineStr">
        <is>
          <t>77002 Birchwood Liq &amp; Deli (Z)</t>
        </is>
      </c>
      <c r="B1929" s="58" t="inlineStr">
        <is>
          <t>Bergen</t>
        </is>
      </c>
      <c r="C1929" s="58" t="inlineStr">
        <is>
          <t>Matt Powierski</t>
        </is>
      </c>
      <c r="D1929" s="58" t="inlineStr">
        <is>
          <t>Off-premise</t>
        </is>
      </c>
      <c r="E1929" s="53" t="n">
        <v>2466</v>
      </c>
      <c r="F1929" s="53" t="n">
        <v>2044</v>
      </c>
      <c r="G1929" s="55" t="n">
        <v>16084.96</v>
      </c>
      <c r="H1929" s="55" t="n">
        <v>13719.54</v>
      </c>
      <c r="I1929" s="53" t="n">
        <v>314</v>
      </c>
      <c r="J1929" s="53" t="n">
        <v>234</v>
      </c>
      <c r="K1929" s="53" t="n">
        <v>242</v>
      </c>
      <c r="L1929" s="53" t="n">
        <v>236</v>
      </c>
      <c r="M1929" s="33">
        <f>F1929-E1929</f>
        <v/>
      </c>
      <c r="N1929" s="33">
        <f>L1929-K1929</f>
        <v/>
      </c>
    </row>
    <row r="1930">
      <c r="A1930" s="58" t="inlineStr">
        <is>
          <t>150100 Angelbeck's</t>
        </is>
      </c>
      <c r="B1930" s="58" t="inlineStr">
        <is>
          <t>Essex</t>
        </is>
      </c>
      <c r="C1930" s="58" t="inlineStr">
        <is>
          <t>Michael Harboy</t>
        </is>
      </c>
      <c r="D1930" s="58" t="inlineStr">
        <is>
          <t>Off-premise</t>
        </is>
      </c>
      <c r="E1930" s="53" t="n">
        <v>13</v>
      </c>
      <c r="F1930" s="53" t="n">
        <v>7</v>
      </c>
      <c r="G1930" s="55" t="n">
        <v>123.81</v>
      </c>
      <c r="H1930" s="55" t="n">
        <v>64.11</v>
      </c>
      <c r="I1930" s="53" t="n">
        <v>326</v>
      </c>
      <c r="J1930" s="53" t="n">
        <v>322</v>
      </c>
      <c r="K1930" s="53" t="n">
        <v>13</v>
      </c>
      <c r="L1930" s="53" t="n">
        <v>7</v>
      </c>
      <c r="M1930" s="33">
        <f>F1930-E1930</f>
        <v/>
      </c>
      <c r="N1930" s="33">
        <f>L1930-K1930</f>
        <v/>
      </c>
    </row>
    <row r="1931">
      <c r="A1931" s="58" t="inlineStr">
        <is>
          <t>83011 Stone &amp; Rail</t>
        </is>
      </c>
      <c r="B1931" s="58" t="inlineStr">
        <is>
          <t>Bergen</t>
        </is>
      </c>
      <c r="C1931" s="58" t="inlineStr">
        <is>
          <t>Mike Ast</t>
        </is>
      </c>
      <c r="D1931" s="58" t="inlineStr">
        <is>
          <t>On-premise</t>
        </is>
      </c>
      <c r="E1931" s="53" t="n">
        <v>81</v>
      </c>
      <c r="F1931" s="53" t="n">
        <v>45</v>
      </c>
      <c r="G1931" s="55" t="n">
        <v>752.48</v>
      </c>
      <c r="H1931" s="55" t="n">
        <v>463.95</v>
      </c>
      <c r="I1931" s="53" t="n">
        <v>96</v>
      </c>
      <c r="J1931" s="53" t="n">
        <v>65</v>
      </c>
      <c r="K1931" s="53" t="n">
        <v>21</v>
      </c>
      <c r="L1931" s="53" t="n">
        <v>15</v>
      </c>
      <c r="M1931" s="33">
        <f>F1931-E1931</f>
        <v/>
      </c>
      <c r="N1931" s="33">
        <f>L1931-K1931</f>
        <v/>
      </c>
    </row>
    <row r="1932">
      <c r="A1932" s="58" t="inlineStr">
        <is>
          <t>29036 Mr.Bruno's</t>
        </is>
      </c>
      <c r="B1932" s="58" t="inlineStr">
        <is>
          <t>Bergen</t>
        </is>
      </c>
      <c r="C1932" s="58" t="inlineStr">
        <is>
          <t>Nick Melissari</t>
        </is>
      </c>
      <c r="D1932" s="58" t="inlineStr">
        <is>
          <t>On-premise</t>
        </is>
      </c>
      <c r="E1932" s="53" t="n">
        <v>52</v>
      </c>
      <c r="F1932" s="53" t="n">
        <v>40</v>
      </c>
      <c r="G1932" s="55" t="n">
        <v>557.4300000000001</v>
      </c>
      <c r="H1932" s="55" t="n">
        <v>484.34</v>
      </c>
      <c r="I1932" s="53" t="n">
        <v>5</v>
      </c>
      <c r="J1932" s="53" t="n">
        <v>1</v>
      </c>
      <c r="K1932" s="53" t="n">
        <v>19</v>
      </c>
      <c r="L1932" s="53" t="n">
        <v>13</v>
      </c>
      <c r="M1932" s="33">
        <f>F1932-E1932</f>
        <v/>
      </c>
      <c r="N1932" s="33">
        <f>L1932-K1932</f>
        <v/>
      </c>
    </row>
    <row r="1933">
      <c r="A1933" s="58" t="inlineStr">
        <is>
          <t>29035 Marty Gra's (A)</t>
        </is>
      </c>
      <c r="B1933" s="58" t="inlineStr">
        <is>
          <t>Bergen</t>
        </is>
      </c>
      <c r="C1933" s="58" t="inlineStr">
        <is>
          <t>Nick Melissari</t>
        </is>
      </c>
      <c r="D1933" s="58" t="inlineStr">
        <is>
          <t>On-premise</t>
        </is>
      </c>
      <c r="E1933" s="53" t="n">
        <v>805</v>
      </c>
      <c r="F1933" s="53" t="n">
        <v>807</v>
      </c>
      <c r="G1933" s="55" t="n">
        <v>4117.79</v>
      </c>
      <c r="H1933" s="55" t="n">
        <v>4131.74</v>
      </c>
      <c r="I1933" s="53" t="n">
        <v>49</v>
      </c>
      <c r="J1933" s="53" t="n">
        <v>49</v>
      </c>
      <c r="K1933" s="53" t="n">
        <v>9</v>
      </c>
      <c r="L1933" s="53" t="n">
        <v>3</v>
      </c>
      <c r="M1933" s="33">
        <f>F1933-E1933</f>
        <v/>
      </c>
      <c r="N1933" s="33">
        <f>L1933-K1933</f>
        <v/>
      </c>
    </row>
    <row r="1934">
      <c r="A1934" s="58" t="inlineStr">
        <is>
          <t>88006 Andrea's Restaurant</t>
        </is>
      </c>
      <c r="B1934" s="58" t="inlineStr">
        <is>
          <t>Bergen</t>
        </is>
      </c>
      <c r="C1934" s="58" t="inlineStr">
        <is>
          <t>Nick Melissari</t>
        </is>
      </c>
      <c r="D1934" s="58" t="inlineStr">
        <is>
          <t>On-premise</t>
        </is>
      </c>
      <c r="E1934" s="53" t="n">
        <v>18</v>
      </c>
      <c r="F1934" s="53" t="n">
        <v>9</v>
      </c>
      <c r="G1934" s="55" t="n">
        <v>238.87</v>
      </c>
      <c r="H1934" s="55" t="n">
        <v>97.09000000000002</v>
      </c>
      <c r="I1934" s="53" t="n">
        <v>4</v>
      </c>
      <c r="J1934" s="53" t="n">
        <v>1</v>
      </c>
      <c r="K1934" s="53" t="n">
        <v>10</v>
      </c>
      <c r="L1934" s="53" t="n">
        <v>4</v>
      </c>
      <c r="M1934" s="33">
        <f>F1934-E1934</f>
        <v/>
      </c>
      <c r="N1934" s="33">
        <f>L1934-K1934</f>
        <v/>
      </c>
    </row>
    <row r="1935">
      <c r="A1935" s="58" t="inlineStr">
        <is>
          <t>92003 Bar Boutique</t>
        </is>
      </c>
      <c r="B1935" s="58" t="inlineStr">
        <is>
          <t>Bergen</t>
        </is>
      </c>
      <c r="C1935" s="58" t="inlineStr">
        <is>
          <t>Nick Melissari</t>
        </is>
      </c>
      <c r="D1935" s="58" t="inlineStr">
        <is>
          <t>On-premise</t>
        </is>
      </c>
      <c r="E1935" s="53" t="n">
        <v>25</v>
      </c>
      <c r="F1935" s="53" t="n">
        <v>19</v>
      </c>
      <c r="G1935" s="55" t="n">
        <v>357.07</v>
      </c>
      <c r="H1935" s="55" t="n">
        <v>276.13</v>
      </c>
      <c r="I1935" s="53" t="n">
        <v>0</v>
      </c>
      <c r="J1935" s="53" t="n">
        <v>0</v>
      </c>
      <c r="K1935" s="53" t="n">
        <v>25</v>
      </c>
      <c r="L1935" s="53" t="n">
        <v>19</v>
      </c>
      <c r="M1935" s="33">
        <f>F1935-E1935</f>
        <v/>
      </c>
      <c r="N1935" s="33">
        <f>L1935-K1935</f>
        <v/>
      </c>
    </row>
    <row r="1936">
      <c r="A1936" s="58" t="inlineStr">
        <is>
          <t>30012 Elks Post 547 (A)</t>
        </is>
      </c>
      <c r="B1936" s="58" t="inlineStr">
        <is>
          <t>Bergen</t>
        </is>
      </c>
      <c r="C1936" s="58" t="inlineStr">
        <is>
          <t>Nick Melissari</t>
        </is>
      </c>
      <c r="D1936" s="58" t="inlineStr">
        <is>
          <t>On-premise</t>
        </is>
      </c>
      <c r="E1936" s="53" t="n">
        <v>23</v>
      </c>
      <c r="F1936" s="53" t="n">
        <v>17</v>
      </c>
      <c r="G1936" s="55" t="n">
        <v>157.06</v>
      </c>
      <c r="H1936" s="55" t="n">
        <v>108.81</v>
      </c>
      <c r="I1936" s="53" t="n">
        <v>0</v>
      </c>
      <c r="J1936" s="53" t="n">
        <v>4</v>
      </c>
      <c r="K1936" s="53" t="n">
        <v>6</v>
      </c>
      <c r="L1936" s="53" t="n">
        <v>0</v>
      </c>
      <c r="M1936" s="33">
        <f>F1936-E1936</f>
        <v/>
      </c>
      <c r="N1936" s="33">
        <f>L1936-K1936</f>
        <v/>
      </c>
    </row>
    <row r="1937">
      <c r="A1937" s="58" t="inlineStr">
        <is>
          <t>38039 Hilltop Tav.(Z)</t>
        </is>
      </c>
      <c r="B1937" s="58" t="inlineStr">
        <is>
          <t>Bergen</t>
        </is>
      </c>
      <c r="C1937" s="58" t="inlineStr">
        <is>
          <t>Nick Melissari</t>
        </is>
      </c>
      <c r="D1937" s="58" t="inlineStr">
        <is>
          <t>On-premise</t>
        </is>
      </c>
      <c r="E1937" s="53" t="n">
        <v>377</v>
      </c>
      <c r="F1937" s="53" t="n">
        <v>294</v>
      </c>
      <c r="G1937" s="55" t="n">
        <v>2406.82</v>
      </c>
      <c r="H1937" s="55" t="n">
        <v>1838.57</v>
      </c>
      <c r="I1937" s="53" t="n">
        <v>54</v>
      </c>
      <c r="J1937" s="53" t="n">
        <v>52</v>
      </c>
      <c r="K1937" s="53" t="n">
        <v>12</v>
      </c>
      <c r="L1937" s="53" t="n">
        <v>6</v>
      </c>
      <c r="M1937" s="33">
        <f>F1937-E1937</f>
        <v/>
      </c>
      <c r="N1937" s="33">
        <f>L1937-K1937</f>
        <v/>
      </c>
    </row>
    <row r="1938">
      <c r="A1938" s="58" t="inlineStr">
        <is>
          <t>88008 American Lgn (P) (Waldwick)</t>
        </is>
      </c>
      <c r="B1938" s="58" t="inlineStr">
        <is>
          <t>Bergen</t>
        </is>
      </c>
      <c r="C1938" s="58" t="inlineStr">
        <is>
          <t>Nick Melissari</t>
        </is>
      </c>
      <c r="D1938" s="58" t="inlineStr">
        <is>
          <t>On-premise</t>
        </is>
      </c>
      <c r="E1938" s="53" t="n">
        <v>35</v>
      </c>
      <c r="F1938" s="53" t="n">
        <v>46</v>
      </c>
      <c r="G1938" s="55" t="n">
        <v>338.96</v>
      </c>
      <c r="H1938" s="55" t="n">
        <v>482.37</v>
      </c>
      <c r="I1938" s="53" t="n">
        <v>10</v>
      </c>
      <c r="J1938" s="53" t="n">
        <v>3</v>
      </c>
      <c r="K1938" s="53" t="n">
        <v>6</v>
      </c>
      <c r="L1938" s="53" t="n">
        <v>0</v>
      </c>
      <c r="M1938" s="33">
        <f>F1938-E1938</f>
        <v/>
      </c>
      <c r="N1938" s="33">
        <f>L1938-K1938</f>
        <v/>
      </c>
    </row>
    <row r="1939">
      <c r="A1939" s="58" t="inlineStr">
        <is>
          <t>93014 Double Tree By Hilton</t>
        </is>
      </c>
      <c r="B1939" s="58" t="inlineStr">
        <is>
          <t>Bergen</t>
        </is>
      </c>
      <c r="C1939" s="58" t="inlineStr">
        <is>
          <t>Nick Melissari</t>
        </is>
      </c>
      <c r="D1939" s="58" t="inlineStr">
        <is>
          <t>On-premise</t>
        </is>
      </c>
      <c r="E1939" s="53" t="n">
        <v>115</v>
      </c>
      <c r="F1939" s="53" t="n">
        <v>114</v>
      </c>
      <c r="G1939" s="55" t="n">
        <v>1078.26</v>
      </c>
      <c r="H1939" s="55" t="n">
        <v>997.64</v>
      </c>
      <c r="I1939" s="53" t="n">
        <v>82</v>
      </c>
      <c r="J1939" s="53" t="n">
        <v>61</v>
      </c>
      <c r="K1939" s="53" t="n">
        <v>6</v>
      </c>
      <c r="L1939" s="53" t="n">
        <v>0</v>
      </c>
      <c r="M1939" s="33">
        <f>F1939-E1939</f>
        <v/>
      </c>
      <c r="N1939" s="33">
        <f>L1939-K1939</f>
        <v/>
      </c>
    </row>
    <row r="1940">
      <c r="A1940" s="58" t="inlineStr">
        <is>
          <t>69003 Edgewood Country Club</t>
        </is>
      </c>
      <c r="B1940" s="58" t="inlineStr">
        <is>
          <t>Bergen</t>
        </is>
      </c>
      <c r="C1940" s="58" t="inlineStr">
        <is>
          <t>Paul Mclaughlin</t>
        </is>
      </c>
      <c r="D1940" s="58" t="inlineStr">
        <is>
          <t>On-premise</t>
        </is>
      </c>
      <c r="E1940" s="53" t="n">
        <v>96</v>
      </c>
      <c r="F1940" s="53" t="n">
        <v>107</v>
      </c>
      <c r="G1940" s="55" t="n">
        <v>758.6</v>
      </c>
      <c r="H1940" s="55" t="n">
        <v>1035.96</v>
      </c>
      <c r="I1940" s="53" t="n">
        <v>31</v>
      </c>
      <c r="J1940" s="53" t="n">
        <v>49</v>
      </c>
      <c r="K1940" s="53" t="n">
        <v>16</v>
      </c>
      <c r="L1940" s="53" t="n">
        <v>10</v>
      </c>
      <c r="M1940" s="33">
        <f>F1940-E1940</f>
        <v/>
      </c>
      <c r="N1940" s="33">
        <f>L1940-K1940</f>
        <v/>
      </c>
    </row>
    <row r="1941">
      <c r="A1941" s="58" t="inlineStr">
        <is>
          <t>52009 CAJUN SEAFOOD AND BAR</t>
        </is>
      </c>
      <c r="B1941" s="58" t="inlineStr">
        <is>
          <t>Bergen</t>
        </is>
      </c>
      <c r="C1941" s="58" t="inlineStr">
        <is>
          <t>Paul Mclaughlin</t>
        </is>
      </c>
      <c r="D1941" s="58" t="inlineStr">
        <is>
          <t>Unmatched</t>
        </is>
      </c>
      <c r="E1941" s="53" t="n">
        <v>112</v>
      </c>
      <c r="F1941" s="53" t="n">
        <v>81</v>
      </c>
      <c r="G1941" s="55" t="n">
        <v>918.9999999999999</v>
      </c>
      <c r="H1941" s="55" t="n">
        <v>751.2399999999999</v>
      </c>
      <c r="I1941" s="53" t="n">
        <v>9</v>
      </c>
      <c r="J1941" s="53" t="n">
        <v>12</v>
      </c>
      <c r="K1941" s="53" t="n">
        <v>36</v>
      </c>
      <c r="L1941" s="53" t="n">
        <v>30</v>
      </c>
      <c r="M1941" s="33">
        <f>F1941-E1941</f>
        <v/>
      </c>
      <c r="N1941" s="33">
        <f>L1941-K1941</f>
        <v/>
      </c>
    </row>
    <row r="1942">
      <c r="A1942" s="58" t="inlineStr">
        <is>
          <t>52027 American Lgn 58 (A) Englewood</t>
        </is>
      </c>
      <c r="B1942" s="58" t="inlineStr">
        <is>
          <t>Bergen</t>
        </is>
      </c>
      <c r="C1942" s="58" t="inlineStr">
        <is>
          <t>Robin Feldman</t>
        </is>
      </c>
      <c r="D1942" s="58" t="inlineStr">
        <is>
          <t>On-premise</t>
        </is>
      </c>
      <c r="E1942" s="53" t="n">
        <v>69</v>
      </c>
      <c r="F1942" s="53" t="n">
        <v>59</v>
      </c>
      <c r="G1942" s="55" t="n">
        <v>699.6800000000001</v>
      </c>
      <c r="H1942" s="55" t="n">
        <v>574.88</v>
      </c>
      <c r="I1942" s="53" t="n">
        <v>19</v>
      </c>
      <c r="J1942" s="53" t="n">
        <v>4</v>
      </c>
      <c r="K1942" s="53" t="n">
        <v>8</v>
      </c>
      <c r="L1942" s="53" t="n">
        <v>2</v>
      </c>
      <c r="M1942" s="33">
        <f>F1942-E1942</f>
        <v/>
      </c>
      <c r="N1942" s="33">
        <f>L1942-K1942</f>
        <v/>
      </c>
    </row>
    <row r="1943">
      <c r="A1943" s="58" t="inlineStr">
        <is>
          <t>152039 Cottage Liquors</t>
        </is>
      </c>
      <c r="B1943" s="58" t="inlineStr">
        <is>
          <t>Essex</t>
        </is>
      </c>
      <c r="C1943" s="58" t="inlineStr">
        <is>
          <t>Alisa Acciardi</t>
        </is>
      </c>
      <c r="D1943" s="58" t="inlineStr">
        <is>
          <t>Off-premise</t>
        </is>
      </c>
      <c r="E1943" s="53" t="n">
        <v>29</v>
      </c>
      <c r="F1943" s="53" t="n">
        <v>22</v>
      </c>
      <c r="G1943" s="55" t="n">
        <v>186.18</v>
      </c>
      <c r="H1943" s="55" t="n">
        <v>177</v>
      </c>
      <c r="I1943" s="53" t="n">
        <v>195</v>
      </c>
      <c r="J1943" s="53" t="n">
        <v>177</v>
      </c>
      <c r="K1943" s="53" t="n">
        <v>29</v>
      </c>
      <c r="L1943" s="53" t="n">
        <v>22</v>
      </c>
      <c r="M1943" s="33">
        <f>F1943-E1943</f>
        <v/>
      </c>
      <c r="N1943" s="33">
        <f>L1943-K1943</f>
        <v/>
      </c>
    </row>
    <row r="1944">
      <c r="A1944" s="58" t="inlineStr">
        <is>
          <t>19004 Shortways' Barn (A)</t>
        </is>
      </c>
      <c r="B1944" s="58" t="inlineStr">
        <is>
          <t>Passaic</t>
        </is>
      </c>
      <c r="C1944" s="58" t="inlineStr">
        <is>
          <t>Allison Scott</t>
        </is>
      </c>
      <c r="D1944" s="58" t="inlineStr">
        <is>
          <t>On-premise</t>
        </is>
      </c>
      <c r="E1944" s="53" t="n">
        <v>774</v>
      </c>
      <c r="F1944" s="53" t="n">
        <v>781</v>
      </c>
      <c r="G1944" s="55" t="n">
        <v>4629.530000000001</v>
      </c>
      <c r="H1944" s="55" t="n">
        <v>4723.610000000001</v>
      </c>
      <c r="I1944" s="53" t="n">
        <v>128</v>
      </c>
      <c r="J1944" s="53" t="n">
        <v>145</v>
      </c>
      <c r="K1944" s="53" t="n">
        <v>62</v>
      </c>
      <c r="L1944" s="53" t="n">
        <v>55</v>
      </c>
      <c r="M1944" s="33">
        <f>F1944-E1944</f>
        <v/>
      </c>
      <c r="N1944" s="33">
        <f>L1944-K1944</f>
        <v/>
      </c>
    </row>
    <row r="1945">
      <c r="A1945" s="58" t="inlineStr">
        <is>
          <t>8014 Macks American Bar/Grill</t>
        </is>
      </c>
      <c r="B1945" s="58" t="inlineStr">
        <is>
          <t>Passaic</t>
        </is>
      </c>
      <c r="C1945" s="58" t="inlineStr">
        <is>
          <t>Allison Scott</t>
        </is>
      </c>
      <c r="D1945" s="58" t="inlineStr">
        <is>
          <t>On-premise</t>
        </is>
      </c>
      <c r="E1945" s="53" t="n">
        <v>118</v>
      </c>
      <c r="F1945" s="53" t="n">
        <v>111</v>
      </c>
      <c r="G1945" s="55" t="n">
        <v>1016.93</v>
      </c>
      <c r="H1945" s="55" t="n">
        <v>905.74</v>
      </c>
      <c r="I1945" s="53" t="n">
        <v>24</v>
      </c>
      <c r="J1945" s="53" t="n">
        <v>23</v>
      </c>
      <c r="K1945" s="53" t="n">
        <v>22</v>
      </c>
      <c r="L1945" s="53" t="n">
        <v>15</v>
      </c>
      <c r="M1945" s="33">
        <f>F1945-E1945</f>
        <v/>
      </c>
      <c r="N1945" s="33">
        <f>L1945-K1945</f>
        <v/>
      </c>
    </row>
    <row r="1946">
      <c r="A1946" s="58" t="inlineStr">
        <is>
          <t>191505 Mckenna's Pub (P)</t>
        </is>
      </c>
      <c r="B1946" s="58" t="inlineStr">
        <is>
          <t>Morris</t>
        </is>
      </c>
      <c r="C1946" s="58" t="inlineStr">
        <is>
          <t>Brian Sengebush</t>
        </is>
      </c>
      <c r="D1946" s="58" t="inlineStr">
        <is>
          <t>On-premise</t>
        </is>
      </c>
      <c r="E1946" s="53" t="n">
        <v>510</v>
      </c>
      <c r="F1946" s="53" t="n">
        <v>449</v>
      </c>
      <c r="G1946" s="55" t="n">
        <v>2944.88</v>
      </c>
      <c r="H1946" s="55" t="n">
        <v>2522.56</v>
      </c>
      <c r="I1946" s="53" t="n">
        <v>29</v>
      </c>
      <c r="J1946" s="53" t="n">
        <v>34</v>
      </c>
      <c r="K1946" s="53" t="n">
        <v>22</v>
      </c>
      <c r="L1946" s="53" t="n">
        <v>15</v>
      </c>
      <c r="M1946" s="33">
        <f>F1946-E1946</f>
        <v/>
      </c>
      <c r="N1946" s="33">
        <f>L1946-K1946</f>
        <v/>
      </c>
    </row>
    <row r="1947">
      <c r="A1947" s="58" t="inlineStr">
        <is>
          <t>191507 The Windlass Rest (A)</t>
        </is>
      </c>
      <c r="B1947" s="58" t="inlineStr">
        <is>
          <t>Morris</t>
        </is>
      </c>
      <c r="C1947" s="58" t="inlineStr">
        <is>
          <t>Brian Sengebush</t>
        </is>
      </c>
      <c r="D1947" s="58" t="inlineStr">
        <is>
          <t>On-premise</t>
        </is>
      </c>
      <c r="E1947" s="53" t="n">
        <v>345</v>
      </c>
      <c r="F1947" s="53" t="n">
        <v>340</v>
      </c>
      <c r="G1947" s="55" t="n">
        <v>2429.27</v>
      </c>
      <c r="H1947" s="55" t="n">
        <v>2599.13</v>
      </c>
      <c r="I1947" s="53" t="n">
        <v>93</v>
      </c>
      <c r="J1947" s="53" t="n">
        <v>85</v>
      </c>
      <c r="K1947" s="53" t="n">
        <v>55</v>
      </c>
      <c r="L1947" s="53" t="n">
        <v>48</v>
      </c>
      <c r="M1947" s="33">
        <f>F1947-E1947</f>
        <v/>
      </c>
      <c r="N1947" s="33">
        <f>L1947-K1947</f>
        <v/>
      </c>
    </row>
    <row r="1948">
      <c r="A1948" s="58" t="inlineStr">
        <is>
          <t>191521 Patricks Pub (P)</t>
        </is>
      </c>
      <c r="B1948" s="58" t="inlineStr">
        <is>
          <t>Sussex</t>
        </is>
      </c>
      <c r="C1948" s="58" t="inlineStr">
        <is>
          <t>Brian Sengebush</t>
        </is>
      </c>
      <c r="D1948" s="58" t="inlineStr">
        <is>
          <t>On-premise</t>
        </is>
      </c>
      <c r="E1948" s="53" t="n">
        <v>290</v>
      </c>
      <c r="F1948" s="53" t="n">
        <v>252</v>
      </c>
      <c r="G1948" s="55" t="n">
        <v>1456.2</v>
      </c>
      <c r="H1948" s="55" t="n">
        <v>1290.97</v>
      </c>
      <c r="I1948" s="53" t="n">
        <v>82</v>
      </c>
      <c r="J1948" s="53" t="n">
        <v>65</v>
      </c>
      <c r="K1948" s="53" t="n">
        <v>28</v>
      </c>
      <c r="L1948" s="53" t="n">
        <v>21</v>
      </c>
      <c r="M1948" s="33">
        <f>F1948-E1948</f>
        <v/>
      </c>
      <c r="N1948" s="33">
        <f>L1948-K1948</f>
        <v/>
      </c>
    </row>
    <row r="1949">
      <c r="A1949" s="58" t="inlineStr">
        <is>
          <t>191818 Holiday Inn</t>
        </is>
      </c>
      <c r="B1949" s="58" t="inlineStr">
        <is>
          <t>Morris</t>
        </is>
      </c>
      <c r="C1949" s="58" t="inlineStr">
        <is>
          <t>Brian Sengebush</t>
        </is>
      </c>
      <c r="D1949" s="58" t="inlineStr">
        <is>
          <t>On-premise</t>
        </is>
      </c>
      <c r="E1949" s="53" t="n">
        <v>94</v>
      </c>
      <c r="F1949" s="53" t="n">
        <v>83</v>
      </c>
      <c r="G1949" s="55" t="n">
        <v>862.46</v>
      </c>
      <c r="H1949" s="55" t="n">
        <v>742.9900000000001</v>
      </c>
      <c r="I1949" s="53" t="n">
        <v>8</v>
      </c>
      <c r="J1949" s="53" t="n">
        <v>2</v>
      </c>
      <c r="K1949" s="53" t="n">
        <v>9</v>
      </c>
      <c r="L1949" s="53" t="n">
        <v>2</v>
      </c>
      <c r="M1949" s="33">
        <f>F1949-E1949</f>
        <v/>
      </c>
      <c r="N1949" s="33">
        <f>L1949-K1949</f>
        <v/>
      </c>
    </row>
    <row r="1950">
      <c r="A1950" s="58" t="inlineStr">
        <is>
          <t>230123 Sparta Lanes (Pino)</t>
        </is>
      </c>
      <c r="B1950" s="58" t="inlineStr">
        <is>
          <t>Sussex</t>
        </is>
      </c>
      <c r="C1950" s="58" t="inlineStr">
        <is>
          <t>Brian Sengebush</t>
        </is>
      </c>
      <c r="D1950" s="58" t="inlineStr">
        <is>
          <t>On-premise</t>
        </is>
      </c>
      <c r="E1950" s="53" t="n">
        <v>187</v>
      </c>
      <c r="F1950" s="53" t="n">
        <v>190</v>
      </c>
      <c r="G1950" s="55" t="n">
        <v>960.7</v>
      </c>
      <c r="H1950" s="55" t="n">
        <v>1063.66</v>
      </c>
      <c r="I1950" s="53" t="n">
        <v>22</v>
      </c>
      <c r="J1950" s="53" t="n">
        <v>21</v>
      </c>
      <c r="K1950" s="53" t="n">
        <v>7</v>
      </c>
      <c r="L1950" s="53" t="n">
        <v>0</v>
      </c>
      <c r="M1950" s="33">
        <f>F1950-E1950</f>
        <v/>
      </c>
      <c r="N1950" s="33">
        <f>L1950-K1950</f>
        <v/>
      </c>
    </row>
    <row r="1951">
      <c r="A1951" s="58" t="inlineStr">
        <is>
          <t>34003 Yoshi Liq/Wine (P)</t>
        </is>
      </c>
      <c r="B1951" s="58" t="inlineStr">
        <is>
          <t>Bergen</t>
        </is>
      </c>
      <c r="C1951" s="58" t="inlineStr">
        <is>
          <t>Chris Payton</t>
        </is>
      </c>
      <c r="D1951" s="58" t="inlineStr">
        <is>
          <t>Off-premise</t>
        </is>
      </c>
      <c r="E1951" s="53" t="n">
        <v>434</v>
      </c>
      <c r="F1951" s="53" t="n">
        <v>361</v>
      </c>
      <c r="G1951" s="55" t="n">
        <v>3350.990000000001</v>
      </c>
      <c r="H1951" s="55" t="n">
        <v>2813.47</v>
      </c>
      <c r="I1951" s="53" t="n">
        <v>62</v>
      </c>
      <c r="J1951" s="53" t="n">
        <v>34</v>
      </c>
      <c r="K1951" s="53" t="n">
        <v>54</v>
      </c>
      <c r="L1951" s="53" t="n">
        <v>47</v>
      </c>
      <c r="M1951" s="33">
        <f>F1951-E1951</f>
        <v/>
      </c>
      <c r="N1951" s="33">
        <f>L1951-K1951</f>
        <v/>
      </c>
    </row>
    <row r="1952">
      <c r="A1952" s="58" t="inlineStr">
        <is>
          <t>47003 Mk Valencia Rest &amp; Lg(P)</t>
        </is>
      </c>
      <c r="B1952" s="58" t="inlineStr">
        <is>
          <t>Bergen</t>
        </is>
      </c>
      <c r="C1952" s="58" t="inlineStr">
        <is>
          <t>Chris Payton</t>
        </is>
      </c>
      <c r="D1952" s="58" t="inlineStr">
        <is>
          <t>On-premise</t>
        </is>
      </c>
      <c r="E1952" s="53" t="n">
        <v>111</v>
      </c>
      <c r="F1952" s="53" t="n">
        <v>41</v>
      </c>
      <c r="G1952" s="55" t="n">
        <v>1068.54</v>
      </c>
      <c r="H1952" s="55" t="n">
        <v>415.9</v>
      </c>
      <c r="I1952" s="53" t="n">
        <v>1</v>
      </c>
      <c r="J1952" s="53" t="n">
        <v>14</v>
      </c>
      <c r="K1952" s="53" t="n">
        <v>10</v>
      </c>
      <c r="L1952" s="53" t="n">
        <v>3</v>
      </c>
      <c r="M1952" s="33">
        <f>F1952-E1952</f>
        <v/>
      </c>
      <c r="N1952" s="33">
        <f>L1952-K1952</f>
        <v/>
      </c>
    </row>
    <row r="1953">
      <c r="A1953" s="58" t="inlineStr">
        <is>
          <t>49012 365 BBQ</t>
        </is>
      </c>
      <c r="B1953" s="58" t="inlineStr">
        <is>
          <t>Bergen</t>
        </is>
      </c>
      <c r="C1953" s="58" t="inlineStr">
        <is>
          <t>Dan Lagala</t>
        </is>
      </c>
      <c r="D1953" s="58" t="inlineStr">
        <is>
          <t>On-premise</t>
        </is>
      </c>
      <c r="E1953" s="53" t="n">
        <v>33</v>
      </c>
      <c r="F1953" s="53" t="n">
        <v>10</v>
      </c>
      <c r="G1953" s="55" t="n">
        <v>299.17</v>
      </c>
      <c r="H1953" s="55" t="n">
        <v>102.15</v>
      </c>
      <c r="I1953" s="53" t="n">
        <v>0</v>
      </c>
      <c r="J1953" s="53" t="n">
        <v>0</v>
      </c>
      <c r="K1953" s="53" t="n">
        <v>7</v>
      </c>
      <c r="L1953" s="53" t="n">
        <v>0</v>
      </c>
      <c r="M1953" s="33">
        <f>F1953-E1953</f>
        <v/>
      </c>
      <c r="N1953" s="33">
        <f>L1953-K1953</f>
        <v/>
      </c>
    </row>
    <row r="1954">
      <c r="A1954" s="58" t="inlineStr">
        <is>
          <t>58004 Country Wine &amp; Liquors</t>
        </is>
      </c>
      <c r="B1954" s="58" t="inlineStr">
        <is>
          <t>Bergen</t>
        </is>
      </c>
      <c r="C1954" s="58" t="inlineStr">
        <is>
          <t>Dave Ehlers</t>
        </is>
      </c>
      <c r="D1954" s="58" t="inlineStr">
        <is>
          <t>Off-premise</t>
        </is>
      </c>
      <c r="E1954" s="53" t="n">
        <v>234</v>
      </c>
      <c r="F1954" s="53" t="n">
        <v>218</v>
      </c>
      <c r="G1954" s="55" t="n">
        <v>1641.28</v>
      </c>
      <c r="H1954" s="55" t="n">
        <v>1608.14</v>
      </c>
      <c r="I1954" s="53" t="n">
        <v>42</v>
      </c>
      <c r="J1954" s="53" t="n">
        <v>8</v>
      </c>
      <c r="K1954" s="53" t="n">
        <v>29</v>
      </c>
      <c r="L1954" s="53" t="n">
        <v>22</v>
      </c>
      <c r="M1954" s="33">
        <f>F1954-E1954</f>
        <v/>
      </c>
      <c r="N1954" s="33">
        <f>L1954-K1954</f>
        <v/>
      </c>
    </row>
    <row r="1955">
      <c r="A1955" s="58" t="inlineStr">
        <is>
          <t>170113 Lira Ii Liquor</t>
        </is>
      </c>
      <c r="B1955" s="58" t="inlineStr">
        <is>
          <t>Hudson</t>
        </is>
      </c>
      <c r="C1955" s="58" t="inlineStr">
        <is>
          <t>Dylan Rubino</t>
        </is>
      </c>
      <c r="D1955" s="58" t="inlineStr">
        <is>
          <t>On-premise</t>
        </is>
      </c>
      <c r="E1955" s="53" t="n">
        <v>7</v>
      </c>
      <c r="F1955" s="53" t="n">
        <v>0</v>
      </c>
      <c r="G1955" s="55" t="n">
        <v>83.3</v>
      </c>
      <c r="H1955" s="55" t="n">
        <v>0</v>
      </c>
      <c r="I1955" s="53" t="n">
        <v>128</v>
      </c>
      <c r="J1955" s="53" t="n">
        <v>0</v>
      </c>
      <c r="K1955" s="53" t="n">
        <v>7</v>
      </c>
      <c r="L1955" s="53" t="n">
        <v>0</v>
      </c>
      <c r="M1955" s="33">
        <f>F1955-E1955</f>
        <v/>
      </c>
      <c r="N1955" s="33">
        <f>L1955-K1955</f>
        <v/>
      </c>
    </row>
    <row r="1956">
      <c r="A1956" s="58" t="inlineStr">
        <is>
          <t>170310 Buy &amp; Savings Ii (P)</t>
        </is>
      </c>
      <c r="B1956" s="58" t="inlineStr">
        <is>
          <t>Hudson</t>
        </is>
      </c>
      <c r="C1956" s="58" t="inlineStr">
        <is>
          <t>Dylan Rubino</t>
        </is>
      </c>
      <c r="D1956" s="58" t="inlineStr">
        <is>
          <t>Off-premise</t>
        </is>
      </c>
      <c r="E1956" s="53" t="n">
        <v>36</v>
      </c>
      <c r="F1956" s="53" t="n">
        <v>29</v>
      </c>
      <c r="G1956" s="55" t="n">
        <v>239.4</v>
      </c>
      <c r="H1956" s="55" t="n">
        <v>200.13</v>
      </c>
      <c r="I1956" s="53" t="n">
        <v>107</v>
      </c>
      <c r="J1956" s="53" t="n">
        <v>71</v>
      </c>
      <c r="K1956" s="53" t="n">
        <v>36</v>
      </c>
      <c r="L1956" s="53" t="n">
        <v>29</v>
      </c>
      <c r="M1956" s="33">
        <f>F1956-E1956</f>
        <v/>
      </c>
      <c r="N1956" s="33">
        <f>L1956-K1956</f>
        <v/>
      </c>
    </row>
    <row r="1957">
      <c r="A1957" s="58" t="inlineStr">
        <is>
          <t>178009 Heaven Liquors</t>
        </is>
      </c>
      <c r="B1957" s="58" t="inlineStr">
        <is>
          <t>Hudson</t>
        </is>
      </c>
      <c r="C1957" s="58" t="inlineStr">
        <is>
          <t>Dylan Rubino</t>
        </is>
      </c>
      <c r="D1957" s="58" t="inlineStr">
        <is>
          <t>Off-premise</t>
        </is>
      </c>
      <c r="E1957" s="53" t="n">
        <v>29</v>
      </c>
      <c r="F1957" s="53" t="n">
        <v>22</v>
      </c>
      <c r="G1957" s="55" t="n">
        <v>211.11</v>
      </c>
      <c r="H1957" s="55" t="n">
        <v>161.99</v>
      </c>
      <c r="I1957" s="53" t="n">
        <v>69</v>
      </c>
      <c r="J1957" s="53" t="n">
        <v>35</v>
      </c>
      <c r="K1957" s="53" t="n">
        <v>29</v>
      </c>
      <c r="L1957" s="53" t="n">
        <v>22</v>
      </c>
      <c r="M1957" s="33">
        <f>F1957-E1957</f>
        <v/>
      </c>
      <c r="N1957" s="33">
        <f>L1957-K1957</f>
        <v/>
      </c>
    </row>
    <row r="1958">
      <c r="A1958" s="58" t="inlineStr">
        <is>
          <t>28001 One Stop Wine (A) &amp; Liq</t>
        </is>
      </c>
      <c r="B1958" s="58" t="inlineStr">
        <is>
          <t>Bergen</t>
        </is>
      </c>
      <c r="C1958" s="58" t="inlineStr">
        <is>
          <t>Jaime Colonna</t>
        </is>
      </c>
      <c r="D1958" s="58" t="inlineStr">
        <is>
          <t>Off-premise</t>
        </is>
      </c>
      <c r="E1958" s="53" t="n">
        <v>730</v>
      </c>
      <c r="F1958" s="53" t="n">
        <v>525</v>
      </c>
      <c r="G1958" s="55" t="n">
        <v>5397.48</v>
      </c>
      <c r="H1958" s="55" t="n">
        <v>4278.809999999999</v>
      </c>
      <c r="I1958" s="53" t="n">
        <v>158</v>
      </c>
      <c r="J1958" s="53" t="n">
        <v>80</v>
      </c>
      <c r="K1958" s="53" t="n">
        <v>64</v>
      </c>
      <c r="L1958" s="53" t="n">
        <v>57</v>
      </c>
      <c r="M1958" s="33">
        <f>F1958-E1958</f>
        <v/>
      </c>
      <c r="N1958" s="33">
        <f>L1958-K1958</f>
        <v/>
      </c>
    </row>
    <row r="1959">
      <c r="A1959" s="58" t="inlineStr">
        <is>
          <t>170104 Saku (P)</t>
        </is>
      </c>
      <c r="B1959" s="58" t="inlineStr">
        <is>
          <t>Hudson</t>
        </is>
      </c>
      <c r="C1959" s="58" t="inlineStr">
        <is>
          <t>Jaime Colonna</t>
        </is>
      </c>
      <c r="D1959" s="58" t="inlineStr">
        <is>
          <t>On-premise</t>
        </is>
      </c>
      <c r="E1959" s="53" t="n">
        <v>17</v>
      </c>
      <c r="F1959" s="53" t="n">
        <v>10</v>
      </c>
      <c r="G1959" s="55" t="n">
        <v>147.22</v>
      </c>
      <c r="H1959" s="55" t="n">
        <v>71.59999999999999</v>
      </c>
      <c r="I1959" s="53" t="n">
        <v>3</v>
      </c>
      <c r="J1959" s="53" t="n">
        <v>0</v>
      </c>
      <c r="K1959" s="53" t="n">
        <v>17</v>
      </c>
      <c r="L1959" s="53" t="n">
        <v>10</v>
      </c>
      <c r="M1959" s="33">
        <f>F1959-E1959</f>
        <v/>
      </c>
      <c r="N1959" s="33">
        <f>L1959-K1959</f>
        <v/>
      </c>
    </row>
    <row r="1960">
      <c r="A1960" s="58" t="inlineStr">
        <is>
          <t>37066 La Fortaleza (Garfield)</t>
        </is>
      </c>
      <c r="B1960" s="58" t="inlineStr">
        <is>
          <t>Bergen</t>
        </is>
      </c>
      <c r="C1960" s="58" t="inlineStr">
        <is>
          <t>Javier Melo</t>
        </is>
      </c>
      <c r="D1960" s="58" t="inlineStr">
        <is>
          <t>On-premise</t>
        </is>
      </c>
      <c r="E1960" s="53" t="n">
        <v>180</v>
      </c>
      <c r="F1960" s="53" t="n">
        <v>185</v>
      </c>
      <c r="G1960" s="55" t="n">
        <v>1746.4</v>
      </c>
      <c r="H1960" s="55" t="n">
        <v>1790.36</v>
      </c>
      <c r="I1960" s="53" t="n">
        <v>13</v>
      </c>
      <c r="J1960" s="53" t="n">
        <v>21</v>
      </c>
      <c r="K1960" s="53" t="n">
        <v>17</v>
      </c>
      <c r="L1960" s="53" t="n">
        <v>10</v>
      </c>
      <c r="M1960" s="33">
        <f>F1960-E1960</f>
        <v/>
      </c>
      <c r="N1960" s="33">
        <f>L1960-K1960</f>
        <v/>
      </c>
    </row>
    <row r="1961">
      <c r="A1961" s="58" t="inlineStr">
        <is>
          <t>190017 Wine &amp; Whiskey Country Morris Plains</t>
        </is>
      </c>
      <c r="B1961" s="58" t="inlineStr">
        <is>
          <t>Morris</t>
        </is>
      </c>
      <c r="C1961" s="58" t="inlineStr">
        <is>
          <t>John O'Donoghue</t>
        </is>
      </c>
      <c r="D1961" s="58" t="inlineStr">
        <is>
          <t>Unmatched</t>
        </is>
      </c>
      <c r="E1961" s="53" t="n">
        <v>17</v>
      </c>
      <c r="F1961" s="53" t="n">
        <v>10</v>
      </c>
      <c r="G1961" s="55" t="n">
        <v>153.17</v>
      </c>
      <c r="H1961" s="55" t="n">
        <v>110.02</v>
      </c>
      <c r="I1961" s="53" t="n">
        <v>177</v>
      </c>
      <c r="J1961" s="53" t="n">
        <v>116</v>
      </c>
      <c r="K1961" s="53" t="n">
        <v>17</v>
      </c>
      <c r="L1961" s="53" t="n">
        <v>10</v>
      </c>
      <c r="M1961" s="33">
        <f>F1961-E1961</f>
        <v/>
      </c>
      <c r="N1961" s="33">
        <f>L1961-K1961</f>
        <v/>
      </c>
    </row>
    <row r="1962">
      <c r="A1962" s="58" t="inlineStr">
        <is>
          <t>190429 Sheraton Parsippany Hotel</t>
        </is>
      </c>
      <c r="B1962" s="58" t="inlineStr">
        <is>
          <t>Morris</t>
        </is>
      </c>
      <c r="C1962" s="58" t="inlineStr">
        <is>
          <t>John O'Donoghue</t>
        </is>
      </c>
      <c r="D1962" s="58" t="inlineStr">
        <is>
          <t>Unmatched</t>
        </is>
      </c>
      <c r="E1962" s="53" t="n">
        <v>14</v>
      </c>
      <c r="F1962" s="53" t="n">
        <v>7</v>
      </c>
      <c r="G1962" s="55" t="n">
        <v>84.5</v>
      </c>
      <c r="H1962" s="55" t="n">
        <v>42.25</v>
      </c>
      <c r="I1962" s="53" t="n">
        <v>0</v>
      </c>
      <c r="J1962" s="53" t="n">
        <v>0</v>
      </c>
      <c r="K1962" s="53" t="n">
        <v>14</v>
      </c>
      <c r="L1962" s="53" t="n">
        <v>7</v>
      </c>
      <c r="M1962" s="33">
        <f>F1962-E1962</f>
        <v/>
      </c>
      <c r="N1962" s="33">
        <f>L1962-K1962</f>
        <v/>
      </c>
    </row>
    <row r="1963">
      <c r="A1963" s="58" t="inlineStr">
        <is>
          <t>192160 Bernays Appgar Post 342 American Legion</t>
        </is>
      </c>
      <c r="B1963" s="58" t="inlineStr">
        <is>
          <t>Morris</t>
        </is>
      </c>
      <c r="C1963" s="58" t="inlineStr">
        <is>
          <t>John O'Donoghue</t>
        </is>
      </c>
      <c r="D1963" s="58" t="inlineStr">
        <is>
          <t>Unmatched</t>
        </is>
      </c>
      <c r="E1963" s="53" t="n">
        <v>7</v>
      </c>
      <c r="F1963" s="53" t="n">
        <v>0</v>
      </c>
      <c r="G1963" s="55" t="n">
        <v>84.90000000000001</v>
      </c>
      <c r="H1963" s="55" t="n">
        <v>0</v>
      </c>
      <c r="I1963" s="53" t="n">
        <v>2</v>
      </c>
      <c r="J1963" s="53" t="n">
        <v>0</v>
      </c>
      <c r="K1963" s="53" t="n">
        <v>7</v>
      </c>
      <c r="L1963" s="53" t="n">
        <v>0</v>
      </c>
      <c r="M1963" s="33">
        <f>F1963-E1963</f>
        <v/>
      </c>
      <c r="N1963" s="33">
        <f>L1963-K1963</f>
        <v/>
      </c>
    </row>
    <row r="1964">
      <c r="A1964" s="58" t="inlineStr">
        <is>
          <t>37002 Garfield Bar &amp; Liq (P)</t>
        </is>
      </c>
      <c r="B1964" s="58" t="inlineStr">
        <is>
          <t>Bergen</t>
        </is>
      </c>
      <c r="C1964" s="58" t="inlineStr">
        <is>
          <t>Matt Powierski</t>
        </is>
      </c>
      <c r="D1964" s="58" t="inlineStr">
        <is>
          <t>Off-premise</t>
        </is>
      </c>
      <c r="E1964" s="53" t="n">
        <v>1175</v>
      </c>
      <c r="F1964" s="53" t="n">
        <v>1130</v>
      </c>
      <c r="G1964" s="55" t="n">
        <v>8439.93</v>
      </c>
      <c r="H1964" s="55" t="n">
        <v>8412.139999999999</v>
      </c>
      <c r="I1964" s="53" t="n">
        <v>233</v>
      </c>
      <c r="J1964" s="53" t="n">
        <v>243</v>
      </c>
      <c r="K1964" s="53" t="n">
        <v>106</v>
      </c>
      <c r="L1964" s="53" t="n">
        <v>99</v>
      </c>
      <c r="M1964" s="33">
        <f>F1964-E1964</f>
        <v/>
      </c>
      <c r="N1964" s="33">
        <f>L1964-K1964</f>
        <v/>
      </c>
    </row>
    <row r="1965">
      <c r="A1965" s="58" t="inlineStr">
        <is>
          <t>37038 Wisla Center (Z)</t>
        </is>
      </c>
      <c r="B1965" s="58" t="inlineStr">
        <is>
          <t>Bergen</t>
        </is>
      </c>
      <c r="C1965" s="58" t="inlineStr">
        <is>
          <t>Matt Powierski</t>
        </is>
      </c>
      <c r="D1965" s="58" t="inlineStr">
        <is>
          <t>On-premise</t>
        </is>
      </c>
      <c r="E1965" s="53" t="n">
        <v>63</v>
      </c>
      <c r="F1965" s="53" t="n">
        <v>43</v>
      </c>
      <c r="G1965" s="55" t="n">
        <v>631.3299999999999</v>
      </c>
      <c r="H1965" s="55" t="n">
        <v>439.54</v>
      </c>
      <c r="I1965" s="53" t="n">
        <v>39</v>
      </c>
      <c r="J1965" s="53" t="n">
        <v>32</v>
      </c>
      <c r="K1965" s="53" t="n">
        <v>7</v>
      </c>
      <c r="L1965" s="53" t="n">
        <v>0</v>
      </c>
      <c r="M1965" s="33">
        <f>F1965-E1965</f>
        <v/>
      </c>
      <c r="N1965" s="33">
        <f>L1965-K1965</f>
        <v/>
      </c>
    </row>
    <row r="1966">
      <c r="A1966" s="58" t="inlineStr">
        <is>
          <t>42017 Cast Iron Pot Signature</t>
        </is>
      </c>
      <c r="B1966" s="58" t="inlineStr">
        <is>
          <t>Bergen</t>
        </is>
      </c>
      <c r="C1966" s="58" t="inlineStr">
        <is>
          <t>Matt Powierski</t>
        </is>
      </c>
      <c r="D1966" s="58" t="inlineStr">
        <is>
          <t>On-premise</t>
        </is>
      </c>
      <c r="E1966" s="53" t="n">
        <v>106</v>
      </c>
      <c r="F1966" s="53" t="n">
        <v>102</v>
      </c>
      <c r="G1966" s="55" t="n">
        <v>918.99</v>
      </c>
      <c r="H1966" s="55" t="n">
        <v>902.9799999999999</v>
      </c>
      <c r="I1966" s="53" t="n">
        <v>0</v>
      </c>
      <c r="J1966" s="53" t="n">
        <v>0</v>
      </c>
      <c r="K1966" s="53" t="n">
        <v>63</v>
      </c>
      <c r="L1966" s="53" t="n">
        <v>56</v>
      </c>
      <c r="M1966" s="33">
        <f>F1966-E1966</f>
        <v/>
      </c>
      <c r="N1966" s="33">
        <f>L1966-K1966</f>
        <v/>
      </c>
    </row>
    <row r="1967">
      <c r="A1967" s="58" t="inlineStr">
        <is>
          <t>78014 Longhorn Steak Rochele Pk</t>
        </is>
      </c>
      <c r="B1967" s="58" t="inlineStr">
        <is>
          <t>Bergen</t>
        </is>
      </c>
      <c r="C1967" s="58" t="inlineStr">
        <is>
          <t>Nick Melissari</t>
        </is>
      </c>
      <c r="D1967" s="58" t="inlineStr">
        <is>
          <t>On-premise</t>
        </is>
      </c>
      <c r="E1967" s="53" t="n">
        <v>198</v>
      </c>
      <c r="F1967" s="53" t="n">
        <v>172</v>
      </c>
      <c r="G1967" s="55" t="n">
        <v>2065.47</v>
      </c>
      <c r="H1967" s="55" t="n">
        <v>1814.55</v>
      </c>
      <c r="I1967" s="53" t="n">
        <v>24</v>
      </c>
      <c r="J1967" s="53" t="n">
        <v>32</v>
      </c>
      <c r="K1967" s="53" t="n">
        <v>28</v>
      </c>
      <c r="L1967" s="53" t="n">
        <v>21</v>
      </c>
      <c r="M1967" s="33">
        <f>F1967-E1967</f>
        <v/>
      </c>
      <c r="N1967" s="33">
        <f>L1967-K1967</f>
        <v/>
      </c>
    </row>
    <row r="1968">
      <c r="A1968" s="58" t="inlineStr">
        <is>
          <t>80009 Houlihans (Para)(A)</t>
        </is>
      </c>
      <c r="B1968" s="58" t="inlineStr">
        <is>
          <t>Bergen</t>
        </is>
      </c>
      <c r="C1968" s="58" t="inlineStr">
        <is>
          <t>Nick Melissari</t>
        </is>
      </c>
      <c r="D1968" s="58" t="inlineStr">
        <is>
          <t>On-premise</t>
        </is>
      </c>
      <c r="E1968" s="53" t="n">
        <v>179</v>
      </c>
      <c r="F1968" s="53" t="n">
        <v>161</v>
      </c>
      <c r="G1968" s="55" t="n">
        <v>1275.45</v>
      </c>
      <c r="H1968" s="55" t="n">
        <v>1081.18</v>
      </c>
      <c r="I1968" s="53" t="n">
        <v>67</v>
      </c>
      <c r="J1968" s="53" t="n">
        <v>92</v>
      </c>
      <c r="K1968" s="53" t="n">
        <v>9</v>
      </c>
      <c r="L1968" s="53" t="n">
        <v>2</v>
      </c>
      <c r="M1968" s="33">
        <f>F1968-E1968</f>
        <v/>
      </c>
      <c r="N1968" s="33">
        <f>L1968-K1968</f>
        <v/>
      </c>
    </row>
    <row r="1969">
      <c r="A1969" s="58" t="inlineStr">
        <is>
          <t>45020 Tutto A Modo Mio</t>
        </is>
      </c>
      <c r="B1969" s="58" t="inlineStr">
        <is>
          <t>Bergen</t>
        </is>
      </c>
      <c r="C1969" s="58" t="inlineStr">
        <is>
          <t>Nick Melissari</t>
        </is>
      </c>
      <c r="D1969" s="58" t="inlineStr">
        <is>
          <t>Unmatched</t>
        </is>
      </c>
      <c r="E1969" s="53" t="n">
        <v>19</v>
      </c>
      <c r="F1969" s="53" t="n">
        <v>10</v>
      </c>
      <c r="G1969" s="55" t="n">
        <v>148.3</v>
      </c>
      <c r="H1969" s="55" t="n">
        <v>79.78</v>
      </c>
      <c r="I1969" s="53" t="n">
        <v>0</v>
      </c>
      <c r="J1969" s="53" t="n">
        <v>0</v>
      </c>
      <c r="K1969" s="53" t="n">
        <v>13</v>
      </c>
      <c r="L1969" s="53" t="n">
        <v>6</v>
      </c>
      <c r="M1969" s="33">
        <f>F1969-E1969</f>
        <v/>
      </c>
      <c r="N1969" s="33">
        <f>L1969-K1969</f>
        <v/>
      </c>
    </row>
    <row r="1970">
      <c r="A1970" s="58" t="inlineStr">
        <is>
          <t>31052 Mozzarella Bar</t>
        </is>
      </c>
      <c r="B1970" s="58" t="inlineStr">
        <is>
          <t>Bergen</t>
        </is>
      </c>
      <c r="C1970" s="58" t="inlineStr">
        <is>
          <t>Nick Melissari</t>
        </is>
      </c>
      <c r="D1970" s="58" t="inlineStr">
        <is>
          <t>On-premise</t>
        </is>
      </c>
      <c r="E1970" s="53" t="n">
        <v>64</v>
      </c>
      <c r="F1970" s="53" t="n">
        <v>74</v>
      </c>
      <c r="G1970" s="55" t="n">
        <v>618.05</v>
      </c>
      <c r="H1970" s="55" t="n">
        <v>741.0700000000001</v>
      </c>
      <c r="I1970" s="53" t="n">
        <v>65</v>
      </c>
      <c r="J1970" s="53" t="n">
        <v>66</v>
      </c>
      <c r="K1970" s="53" t="n">
        <v>12</v>
      </c>
      <c r="L1970" s="53" t="n">
        <v>5</v>
      </c>
      <c r="M1970" s="33">
        <f>F1970-E1970</f>
        <v/>
      </c>
      <c r="N1970" s="33">
        <f>L1970-K1970</f>
        <v/>
      </c>
    </row>
    <row r="1971">
      <c r="A1971" s="58" t="inlineStr">
        <is>
          <t>77031 Parkway Lanes</t>
        </is>
      </c>
      <c r="B1971" s="58" t="inlineStr">
        <is>
          <t>Bergen</t>
        </is>
      </c>
      <c r="C1971" s="58" t="inlineStr">
        <is>
          <t>Nick Melissari</t>
        </is>
      </c>
      <c r="D1971" s="58" t="inlineStr">
        <is>
          <t>On-premise</t>
        </is>
      </c>
      <c r="E1971" s="53" t="n">
        <v>99</v>
      </c>
      <c r="F1971" s="53" t="n">
        <v>37</v>
      </c>
      <c r="G1971" s="55" t="n">
        <v>741.3199999999999</v>
      </c>
      <c r="H1971" s="55" t="n">
        <v>380.97</v>
      </c>
      <c r="I1971" s="53" t="n">
        <v>23</v>
      </c>
      <c r="J1971" s="53" t="n">
        <v>9</v>
      </c>
      <c r="K1971" s="53" t="n">
        <v>7</v>
      </c>
      <c r="L1971" s="53" t="n">
        <v>0</v>
      </c>
      <c r="M1971" s="33">
        <f>F1971-E1971</f>
        <v/>
      </c>
      <c r="N1971" s="33">
        <f>L1971-K1971</f>
        <v/>
      </c>
    </row>
    <row r="1972">
      <c r="A1972" s="58" t="inlineStr">
        <is>
          <t>30029 Native Union Club</t>
        </is>
      </c>
      <c r="B1972" s="58" t="inlineStr">
        <is>
          <t>Bergen</t>
        </is>
      </c>
      <c r="C1972" s="58" t="inlineStr">
        <is>
          <t>Nick Melissari</t>
        </is>
      </c>
      <c r="D1972" s="58" t="inlineStr">
        <is>
          <t>On-premise</t>
        </is>
      </c>
      <c r="E1972" s="53" t="n">
        <v>194</v>
      </c>
      <c r="F1972" s="53" t="n">
        <v>137</v>
      </c>
      <c r="G1972" s="55" t="n">
        <v>1439.31</v>
      </c>
      <c r="H1972" s="55" t="n">
        <v>1111.19</v>
      </c>
      <c r="I1972" s="53" t="n">
        <v>147</v>
      </c>
      <c r="J1972" s="53" t="n">
        <v>38</v>
      </c>
      <c r="K1972" s="53" t="n">
        <v>7</v>
      </c>
      <c r="L1972" s="53" t="n">
        <v>0</v>
      </c>
      <c r="M1972" s="33">
        <f>F1972-E1972</f>
        <v/>
      </c>
      <c r="N1972" s="33">
        <f>L1972-K1972</f>
        <v/>
      </c>
    </row>
    <row r="1973">
      <c r="A1973" s="58" t="inlineStr">
        <is>
          <t>50008 101 Pub (A)</t>
        </is>
      </c>
      <c r="B1973" s="58" t="inlineStr">
        <is>
          <t>Bergen</t>
        </is>
      </c>
      <c r="C1973" s="58" t="inlineStr">
        <is>
          <t>Paul Mclaughlin</t>
        </is>
      </c>
      <c r="D1973" s="58" t="inlineStr">
        <is>
          <t>On-premise</t>
        </is>
      </c>
      <c r="E1973" s="53" t="n">
        <v>542</v>
      </c>
      <c r="F1973" s="53" t="n">
        <v>676</v>
      </c>
      <c r="G1973" s="55" t="n">
        <v>4365.11</v>
      </c>
      <c r="H1973" s="55" t="n">
        <v>5081.099999999999</v>
      </c>
      <c r="I1973" s="53" t="n">
        <v>70</v>
      </c>
      <c r="J1973" s="53" t="n">
        <v>98</v>
      </c>
      <c r="K1973" s="53" t="n">
        <v>54</v>
      </c>
      <c r="L1973" s="53" t="n">
        <v>47</v>
      </c>
      <c r="M1973" s="33">
        <f>F1973-E1973</f>
        <v/>
      </c>
      <c r="N1973" s="33">
        <f>L1973-K1973</f>
        <v/>
      </c>
    </row>
    <row r="1974">
      <c r="A1974" s="58" t="inlineStr">
        <is>
          <t>68011 Old Tappan Golf Course</t>
        </is>
      </c>
      <c r="B1974" s="58" t="inlineStr">
        <is>
          <t>Bergen</t>
        </is>
      </c>
      <c r="C1974" s="58" t="inlineStr">
        <is>
          <t>Paul Mclaughlin</t>
        </is>
      </c>
      <c r="D1974" s="58" t="inlineStr">
        <is>
          <t>Unmatched</t>
        </is>
      </c>
      <c r="E1974" s="53" t="n">
        <v>167</v>
      </c>
      <c r="F1974" s="53" t="n">
        <v>164</v>
      </c>
      <c r="G1974" s="55" t="n">
        <v>1142.24</v>
      </c>
      <c r="H1974" s="55" t="n">
        <v>1179.69</v>
      </c>
      <c r="I1974" s="53" t="n">
        <v>39</v>
      </c>
      <c r="J1974" s="53" t="n">
        <v>21</v>
      </c>
      <c r="K1974" s="53" t="n">
        <v>16</v>
      </c>
      <c r="L1974" s="53" t="n">
        <v>9</v>
      </c>
      <c r="M1974" s="33">
        <f>F1974-E1974</f>
        <v/>
      </c>
      <c r="N1974" s="33">
        <f>L1974-K1974</f>
        <v/>
      </c>
    </row>
    <row r="1975">
      <c r="A1975" s="58" t="inlineStr">
        <is>
          <t>95002 Indian Trail Club</t>
        </is>
      </c>
      <c r="B1975" s="58" t="inlineStr">
        <is>
          <t>Bergen</t>
        </is>
      </c>
      <c r="C1975" s="58" t="inlineStr">
        <is>
          <t>Robin Feldman</t>
        </is>
      </c>
      <c r="D1975" s="58" t="inlineStr">
        <is>
          <t>On-premise</t>
        </is>
      </c>
      <c r="E1975" s="53" t="n">
        <v>299</v>
      </c>
      <c r="F1975" s="53" t="n">
        <v>295</v>
      </c>
      <c r="G1975" s="55" t="n">
        <v>1863.16</v>
      </c>
      <c r="H1975" s="55" t="n">
        <v>1852.12</v>
      </c>
      <c r="I1975" s="53" t="n">
        <v>72</v>
      </c>
      <c r="J1975" s="53" t="n">
        <v>69</v>
      </c>
      <c r="K1975" s="53" t="n">
        <v>34</v>
      </c>
      <c r="L1975" s="53" t="n">
        <v>27</v>
      </c>
      <c r="M1975" s="33">
        <f>F1975-E1975</f>
        <v/>
      </c>
      <c r="N1975" s="33">
        <f>L1975-K1975</f>
        <v/>
      </c>
    </row>
    <row r="1976">
      <c r="A1976" s="58" t="inlineStr">
        <is>
          <t>29044 American Lgn Lyndhurst #139</t>
        </is>
      </c>
      <c r="B1976" s="58" t="inlineStr">
        <is>
          <t>Bergen</t>
        </is>
      </c>
      <c r="C1976" s="58" t="inlineStr">
        <is>
          <t>Robin Feldman</t>
        </is>
      </c>
      <c r="D1976" s="58" t="inlineStr">
        <is>
          <t>On-premise</t>
        </is>
      </c>
      <c r="E1976" s="53" t="n">
        <v>205</v>
      </c>
      <c r="F1976" s="53" t="n">
        <v>268</v>
      </c>
      <c r="G1976" s="55" t="n">
        <v>1144.85</v>
      </c>
      <c r="H1976" s="55" t="n">
        <v>1580.89</v>
      </c>
      <c r="I1976" s="53" t="n">
        <v>11</v>
      </c>
      <c r="J1976" s="53" t="n">
        <v>10</v>
      </c>
      <c r="K1976" s="53" t="n">
        <v>7</v>
      </c>
      <c r="L1976" s="53" t="n">
        <v>0</v>
      </c>
      <c r="M1976" s="33">
        <f>F1976-E1976</f>
        <v/>
      </c>
      <c r="N1976" s="33">
        <f>L1976-K1976</f>
        <v/>
      </c>
    </row>
    <row r="1977">
      <c r="A1977" s="58" t="inlineStr">
        <is>
          <t>150118 Wine Legend</t>
        </is>
      </c>
      <c r="B1977" s="58" t="inlineStr">
        <is>
          <t>Essex</t>
        </is>
      </c>
      <c r="C1977" s="58" t="inlineStr">
        <is>
          <t>Alex Rodriguez</t>
        </is>
      </c>
      <c r="D1977" s="58" t="inlineStr">
        <is>
          <t>Off-premise</t>
        </is>
      </c>
      <c r="E1977" s="53" t="n">
        <v>27</v>
      </c>
      <c r="F1977" s="53" t="n">
        <v>19</v>
      </c>
      <c r="G1977" s="55" t="n">
        <v>206.48</v>
      </c>
      <c r="H1977" s="55" t="n">
        <v>142.43</v>
      </c>
      <c r="I1977" s="53" t="n">
        <v>73</v>
      </c>
      <c r="J1977" s="53" t="n">
        <v>98</v>
      </c>
      <c r="K1977" s="53" t="n">
        <v>27</v>
      </c>
      <c r="L1977" s="53" t="n">
        <v>19</v>
      </c>
      <c r="M1977" s="33">
        <f>F1977-E1977</f>
        <v/>
      </c>
      <c r="N1977" s="33">
        <f>L1977-K1977</f>
        <v/>
      </c>
    </row>
    <row r="1978">
      <c r="A1978" s="58" t="inlineStr">
        <is>
          <t>150152 Krauszer Food &amp; Liquor</t>
        </is>
      </c>
      <c r="B1978" s="58" t="inlineStr">
        <is>
          <t>Essex</t>
        </is>
      </c>
      <c r="C1978" s="58" t="inlineStr">
        <is>
          <t>Alisa Acciardi</t>
        </is>
      </c>
      <c r="D1978" s="58" t="inlineStr">
        <is>
          <t>Off-premise</t>
        </is>
      </c>
      <c r="E1978" s="53" t="n">
        <v>20</v>
      </c>
      <c r="F1978" s="53" t="n">
        <v>12</v>
      </c>
      <c r="G1978" s="55" t="n">
        <v>155.76</v>
      </c>
      <c r="H1978" s="55" t="n">
        <v>122.28</v>
      </c>
      <c r="I1978" s="53" t="n">
        <v>120</v>
      </c>
      <c r="J1978" s="53" t="n">
        <v>142</v>
      </c>
      <c r="K1978" s="53" t="n">
        <v>20</v>
      </c>
      <c r="L1978" s="53" t="n">
        <v>12</v>
      </c>
      <c r="M1978" s="33">
        <f>F1978-E1978</f>
        <v/>
      </c>
      <c r="N1978" s="33">
        <f>L1978-K1978</f>
        <v/>
      </c>
    </row>
    <row r="1979">
      <c r="A1979" s="58" t="inlineStr">
        <is>
          <t>10010 Sunset Valley G C (A)</t>
        </is>
      </c>
      <c r="B1979" s="58" t="inlineStr">
        <is>
          <t>Morris</t>
        </is>
      </c>
      <c r="C1979" s="58" t="inlineStr">
        <is>
          <t>Allison Scott</t>
        </is>
      </c>
      <c r="D1979" s="58" t="inlineStr">
        <is>
          <t>On-premise</t>
        </is>
      </c>
      <c r="E1979" s="53" t="n">
        <v>202</v>
      </c>
      <c r="F1979" s="53" t="n">
        <v>164</v>
      </c>
      <c r="G1979" s="55" t="n">
        <v>1374.53</v>
      </c>
      <c r="H1979" s="55" t="n">
        <v>926.7900000000001</v>
      </c>
      <c r="I1979" s="53" t="n">
        <v>113</v>
      </c>
      <c r="J1979" s="53" t="n">
        <v>74</v>
      </c>
      <c r="K1979" s="53" t="n">
        <v>16</v>
      </c>
      <c r="L1979" s="53" t="n">
        <v>8</v>
      </c>
      <c r="M1979" s="33">
        <f>F1979-E1979</f>
        <v/>
      </c>
      <c r="N1979" s="33">
        <f>L1979-K1979</f>
        <v/>
      </c>
    </row>
    <row r="1980">
      <c r="A1980" s="58" t="inlineStr">
        <is>
          <t>10003 Buy Rite W &amp;L Pompton(P)</t>
        </is>
      </c>
      <c r="B1980" s="58" t="inlineStr">
        <is>
          <t>Morris</t>
        </is>
      </c>
      <c r="C1980" s="58" t="inlineStr">
        <is>
          <t>Anthony Palmisano</t>
        </is>
      </c>
      <c r="D1980" s="58" t="inlineStr">
        <is>
          <t>Off-premise</t>
        </is>
      </c>
      <c r="E1980" s="53" t="n">
        <v>2776</v>
      </c>
      <c r="F1980" s="53" t="n">
        <v>2630</v>
      </c>
      <c r="G1980" s="55" t="n">
        <v>18956.4</v>
      </c>
      <c r="H1980" s="55" t="n">
        <v>18454.92</v>
      </c>
      <c r="I1980" s="53" t="n">
        <v>1221</v>
      </c>
      <c r="J1980" s="53" t="n">
        <v>1160</v>
      </c>
      <c r="K1980" s="53" t="n">
        <v>401</v>
      </c>
      <c r="L1980" s="53" t="n">
        <v>393</v>
      </c>
      <c r="M1980" s="33">
        <f>F1980-E1980</f>
        <v/>
      </c>
      <c r="N1980" s="33">
        <f>L1980-K1980</f>
        <v/>
      </c>
    </row>
    <row r="1981">
      <c r="A1981" s="58" t="inlineStr">
        <is>
          <t>3005 Usa Wine Traders (Wanaque)</t>
        </is>
      </c>
      <c r="B1981" s="58" t="inlineStr">
        <is>
          <t>Passaic</t>
        </is>
      </c>
      <c r="C1981" s="58" t="inlineStr">
        <is>
          <t>Anthony Palmisano</t>
        </is>
      </c>
      <c r="D1981" s="58" t="inlineStr">
        <is>
          <t>Off-premise</t>
        </is>
      </c>
      <c r="E1981" s="53" t="n">
        <v>2592</v>
      </c>
      <c r="F1981" s="53" t="n">
        <v>2126</v>
      </c>
      <c r="G1981" s="55" t="n">
        <v>17060.07</v>
      </c>
      <c r="H1981" s="55" t="n">
        <v>14761.8</v>
      </c>
      <c r="I1981" s="53" t="n">
        <v>1080</v>
      </c>
      <c r="J1981" s="53" t="n">
        <v>1134</v>
      </c>
      <c r="K1981" s="53" t="n">
        <v>497</v>
      </c>
      <c r="L1981" s="53" t="n">
        <v>489</v>
      </c>
      <c r="M1981" s="33">
        <f>F1981-E1981</f>
        <v/>
      </c>
      <c r="N1981" s="33">
        <f>L1981-K1981</f>
        <v/>
      </c>
    </row>
    <row r="1982">
      <c r="A1982" s="58" t="inlineStr">
        <is>
          <t>1024 Buffalo Wild Wings (Rockaway)</t>
        </is>
      </c>
      <c r="B1982" s="58" t="inlineStr">
        <is>
          <t>Morris</t>
        </is>
      </c>
      <c r="C1982" s="58" t="inlineStr">
        <is>
          <t>Brian Sengebush</t>
        </is>
      </c>
      <c r="D1982" s="58" t="inlineStr">
        <is>
          <t>On-premise</t>
        </is>
      </c>
      <c r="E1982" s="53" t="n">
        <v>289</v>
      </c>
      <c r="F1982" s="53" t="n">
        <v>260</v>
      </c>
      <c r="G1982" s="55" t="n">
        <v>2062.14</v>
      </c>
      <c r="H1982" s="55" t="n">
        <v>1839.09</v>
      </c>
      <c r="I1982" s="53" t="n">
        <v>107</v>
      </c>
      <c r="J1982" s="53" t="n">
        <v>122</v>
      </c>
      <c r="K1982" s="53" t="n">
        <v>28</v>
      </c>
      <c r="L1982" s="53" t="n">
        <v>20</v>
      </c>
      <c r="M1982" s="33">
        <f>F1982-E1982</f>
        <v/>
      </c>
      <c r="N1982" s="33">
        <f>L1982-K1982</f>
        <v/>
      </c>
    </row>
    <row r="1983">
      <c r="A1983" s="58" t="inlineStr">
        <is>
          <t>35002 Woodridge Wines &amp; Liq(A)</t>
        </is>
      </c>
      <c r="B1983" s="58" t="inlineStr">
        <is>
          <t>Bergen</t>
        </is>
      </c>
      <c r="C1983" s="58" t="inlineStr">
        <is>
          <t>Chris Payton</t>
        </is>
      </c>
      <c r="D1983" s="58" t="inlineStr">
        <is>
          <t>Off-premise</t>
        </is>
      </c>
      <c r="E1983" s="53" t="n">
        <v>2456</v>
      </c>
      <c r="F1983" s="53" t="n">
        <v>2492</v>
      </c>
      <c r="G1983" s="55" t="n">
        <v>16789.34</v>
      </c>
      <c r="H1983" s="55" t="n">
        <v>16966.46</v>
      </c>
      <c r="I1983" s="53" t="n">
        <v>575</v>
      </c>
      <c r="J1983" s="53" t="n">
        <v>601</v>
      </c>
      <c r="K1983" s="53" t="n">
        <v>314</v>
      </c>
      <c r="L1983" s="53" t="n">
        <v>306</v>
      </c>
      <c r="M1983" s="33">
        <f>F1983-E1983</f>
        <v/>
      </c>
      <c r="N1983" s="33">
        <f>L1983-K1983</f>
        <v/>
      </c>
    </row>
    <row r="1984">
      <c r="A1984" s="58" t="inlineStr">
        <is>
          <t>15008 Westmount Country Club</t>
        </is>
      </c>
      <c r="B1984" s="58" t="inlineStr">
        <is>
          <t>Passaic</t>
        </is>
      </c>
      <c r="C1984" s="58" t="inlineStr">
        <is>
          <t>Derrick Laws</t>
        </is>
      </c>
      <c r="D1984" s="58" t="inlineStr">
        <is>
          <t>On-premise</t>
        </is>
      </c>
      <c r="E1984" s="53" t="n">
        <v>62</v>
      </c>
      <c r="F1984" s="53" t="n">
        <v>95</v>
      </c>
      <c r="G1984" s="55" t="n">
        <v>614.9100000000001</v>
      </c>
      <c r="H1984" s="55" t="n">
        <v>870.5799999999999</v>
      </c>
      <c r="I1984" s="53" t="n">
        <v>0</v>
      </c>
      <c r="J1984" s="53" t="n">
        <v>2</v>
      </c>
      <c r="K1984" s="53" t="n">
        <v>21</v>
      </c>
      <c r="L1984" s="53" t="n">
        <v>13</v>
      </c>
      <c r="M1984" s="33">
        <f>F1984-E1984</f>
        <v/>
      </c>
      <c r="N1984" s="33">
        <f>L1984-K1984</f>
        <v/>
      </c>
    </row>
    <row r="1985">
      <c r="A1985" s="58" t="inlineStr">
        <is>
          <t>170012 Wine Outlet</t>
        </is>
      </c>
      <c r="B1985" s="58" t="inlineStr">
        <is>
          <t>Hudson</t>
        </is>
      </c>
      <c r="C1985" s="58" t="inlineStr">
        <is>
          <t>Dylan Rubino</t>
        </is>
      </c>
      <c r="D1985" s="58" t="inlineStr">
        <is>
          <t>Off-premise</t>
        </is>
      </c>
      <c r="E1985" s="53" t="n">
        <v>57</v>
      </c>
      <c r="F1985" s="53" t="n">
        <v>49</v>
      </c>
      <c r="G1985" s="55" t="n">
        <v>351.78</v>
      </c>
      <c r="H1985" s="55" t="n">
        <v>304.23</v>
      </c>
      <c r="I1985" s="53" t="n">
        <v>171</v>
      </c>
      <c r="J1985" s="53" t="n">
        <v>178</v>
      </c>
      <c r="K1985" s="53" t="n">
        <v>57</v>
      </c>
      <c r="L1985" s="53" t="n">
        <v>49</v>
      </c>
      <c r="M1985" s="33">
        <f>F1985-E1985</f>
        <v/>
      </c>
      <c r="N1985" s="33">
        <f>L1985-K1985</f>
        <v/>
      </c>
    </row>
    <row r="1986">
      <c r="A1986" s="58" t="inlineStr">
        <is>
          <t>25053 Lamayoria Bar Restaurant</t>
        </is>
      </c>
      <c r="B1986" s="58" t="inlineStr">
        <is>
          <t>Passaic</t>
        </is>
      </c>
      <c r="C1986" s="58" t="inlineStr">
        <is>
          <t>Javier Melo</t>
        </is>
      </c>
      <c r="D1986" s="58" t="inlineStr">
        <is>
          <t>Unmatched</t>
        </is>
      </c>
      <c r="E1986" s="53" t="n">
        <v>579</v>
      </c>
      <c r="F1986" s="53" t="n">
        <v>537</v>
      </c>
      <c r="G1986" s="55" t="n">
        <v>4455.07</v>
      </c>
      <c r="H1986" s="55" t="n">
        <v>4363.94</v>
      </c>
      <c r="I1986" s="53" t="n">
        <v>55</v>
      </c>
      <c r="J1986" s="53" t="n">
        <v>76</v>
      </c>
      <c r="K1986" s="53" t="n">
        <v>20</v>
      </c>
      <c r="L1986" s="53" t="n">
        <v>12</v>
      </c>
      <c r="M1986" s="33">
        <f>F1986-E1986</f>
        <v/>
      </c>
      <c r="N1986" s="33">
        <f>L1986-K1986</f>
        <v/>
      </c>
    </row>
    <row r="1987">
      <c r="A1987" s="58" t="inlineStr">
        <is>
          <t>231501 Highland General Store</t>
        </is>
      </c>
      <c r="B1987" s="58" t="inlineStr">
        <is>
          <t>Sussex</t>
        </is>
      </c>
      <c r="C1987" s="58" t="inlineStr">
        <is>
          <t>Jayson Romine</t>
        </is>
      </c>
      <c r="D1987" s="58" t="inlineStr">
        <is>
          <t>Off-premise</t>
        </is>
      </c>
      <c r="E1987" s="53" t="n">
        <v>1503</v>
      </c>
      <c r="F1987" s="53" t="n">
        <v>1222</v>
      </c>
      <c r="G1987" s="55" t="n">
        <v>9784.389999999999</v>
      </c>
      <c r="H1987" s="55" t="n">
        <v>8137.48</v>
      </c>
      <c r="I1987" s="53" t="n">
        <v>548</v>
      </c>
      <c r="J1987" s="53" t="n">
        <v>540</v>
      </c>
      <c r="K1987" s="53" t="n">
        <v>203</v>
      </c>
      <c r="L1987" s="53" t="n">
        <v>195</v>
      </c>
      <c r="M1987" s="33">
        <f>F1987-E1987</f>
        <v/>
      </c>
      <c r="N1987" s="33">
        <f>L1987-K1987</f>
        <v/>
      </c>
    </row>
    <row r="1988">
      <c r="A1988" s="58" t="inlineStr">
        <is>
          <t>24009 Quik Stop Conv(Z)</t>
        </is>
      </c>
      <c r="B1988" s="58" t="inlineStr">
        <is>
          <t>Passaic</t>
        </is>
      </c>
      <c r="C1988" s="58" t="inlineStr">
        <is>
          <t>Jim Heaney</t>
        </is>
      </c>
      <c r="D1988" s="58" t="inlineStr">
        <is>
          <t>Off-premise</t>
        </is>
      </c>
      <c r="E1988" s="53" t="n">
        <v>2233</v>
      </c>
      <c r="F1988" s="53" t="n">
        <v>2120</v>
      </c>
      <c r="G1988" s="55" t="n">
        <v>14370.08</v>
      </c>
      <c r="H1988" s="55" t="n">
        <v>14034.52</v>
      </c>
      <c r="I1988" s="53" t="n">
        <v>127</v>
      </c>
      <c r="J1988" s="53" t="n">
        <v>103</v>
      </c>
      <c r="K1988" s="53" t="n">
        <v>388</v>
      </c>
      <c r="L1988" s="53" t="n">
        <v>380</v>
      </c>
      <c r="M1988" s="33">
        <f>F1988-E1988</f>
        <v/>
      </c>
      <c r="N1988" s="33">
        <f>L1988-K1988</f>
        <v/>
      </c>
    </row>
    <row r="1989">
      <c r="A1989" s="58" t="inlineStr">
        <is>
          <t>190055 Ridgedale Wine &amp; Liq</t>
        </is>
      </c>
      <c r="B1989" s="58" t="inlineStr">
        <is>
          <t>Morris</t>
        </is>
      </c>
      <c r="C1989" s="58" t="inlineStr">
        <is>
          <t>John O'Donoghue</t>
        </is>
      </c>
      <c r="D1989" s="58" t="inlineStr">
        <is>
          <t>Unmatched</t>
        </is>
      </c>
      <c r="E1989" s="53" t="n">
        <v>18</v>
      </c>
      <c r="F1989" s="53" t="n">
        <v>10</v>
      </c>
      <c r="G1989" s="55" t="n">
        <v>162.23</v>
      </c>
      <c r="H1989" s="55" t="n">
        <v>70.61</v>
      </c>
      <c r="I1989" s="53" t="n">
        <v>100</v>
      </c>
      <c r="J1989" s="53" t="n">
        <v>90</v>
      </c>
      <c r="K1989" s="53" t="n">
        <v>18</v>
      </c>
      <c r="L1989" s="53" t="n">
        <v>10</v>
      </c>
      <c r="M1989" s="33">
        <f>F1989-E1989</f>
        <v/>
      </c>
      <c r="N1989" s="33">
        <f>L1989-K1989</f>
        <v/>
      </c>
    </row>
    <row r="1990">
      <c r="A1990" s="58" t="inlineStr">
        <is>
          <t>250900 Arirang Hibachi Steakhous</t>
        </is>
      </c>
      <c r="B1990" s="58" t="inlineStr">
        <is>
          <t>Union</t>
        </is>
      </c>
      <c r="C1990" s="58" t="inlineStr">
        <is>
          <t>John O'Donoghue</t>
        </is>
      </c>
      <c r="D1990" s="58" t="inlineStr">
        <is>
          <t>On-premise</t>
        </is>
      </c>
      <c r="E1990" s="53" t="n">
        <v>72</v>
      </c>
      <c r="F1990" s="53" t="n">
        <v>64</v>
      </c>
      <c r="G1990" s="55" t="n">
        <v>515.52</v>
      </c>
      <c r="H1990" s="55" t="n">
        <v>458.24</v>
      </c>
      <c r="I1990" s="53" t="n">
        <v>0</v>
      </c>
      <c r="J1990" s="53" t="n">
        <v>0</v>
      </c>
      <c r="K1990" s="53" t="n">
        <v>72</v>
      </c>
      <c r="L1990" s="53" t="n">
        <v>64</v>
      </c>
      <c r="M1990" s="33">
        <f>F1990-E1990</f>
        <v/>
      </c>
      <c r="N1990" s="33">
        <f>L1990-K1990</f>
        <v/>
      </c>
    </row>
    <row r="1991">
      <c r="A1991" s="58" t="inlineStr">
        <is>
          <t>191608 Shop-Rite(A) Netcong</t>
        </is>
      </c>
      <c r="B1991" s="58" t="inlineStr">
        <is>
          <t>Morris</t>
        </is>
      </c>
      <c r="C1991" s="58" t="inlineStr">
        <is>
          <t>Klejdi Lamo</t>
        </is>
      </c>
      <c r="D1991" s="58" t="inlineStr">
        <is>
          <t>Off-premise</t>
        </is>
      </c>
      <c r="E1991" s="53" t="n">
        <v>3352</v>
      </c>
      <c r="F1991" s="53" t="n">
        <v>2968</v>
      </c>
      <c r="G1991" s="55" t="n">
        <v>21437.32</v>
      </c>
      <c r="H1991" s="55" t="n">
        <v>19573.64</v>
      </c>
      <c r="I1991" s="53" t="n">
        <v>1091</v>
      </c>
      <c r="J1991" s="53" t="n">
        <v>1036</v>
      </c>
      <c r="K1991" s="53" t="n">
        <v>440</v>
      </c>
      <c r="L1991" s="53" t="n">
        <v>432</v>
      </c>
      <c r="M1991" s="33">
        <f>F1991-E1991</f>
        <v/>
      </c>
      <c r="N1991" s="33">
        <f>L1991-K1991</f>
        <v/>
      </c>
    </row>
    <row r="1992">
      <c r="A1992" s="58" t="inlineStr">
        <is>
          <t>28009 1 Republik</t>
        </is>
      </c>
      <c r="B1992" s="58" t="inlineStr">
        <is>
          <t>Bergen</t>
        </is>
      </c>
      <c r="C1992" s="58" t="inlineStr">
        <is>
          <t>Nick Melissari</t>
        </is>
      </c>
      <c r="D1992" s="58" t="inlineStr">
        <is>
          <t>On-premise</t>
        </is>
      </c>
      <c r="E1992" s="53" t="n">
        <v>195</v>
      </c>
      <c r="F1992" s="53" t="n">
        <v>136</v>
      </c>
      <c r="G1992" s="55" t="n">
        <v>1685.13</v>
      </c>
      <c r="H1992" s="55" t="n">
        <v>1158.29</v>
      </c>
      <c r="I1992" s="53" t="n">
        <v>72</v>
      </c>
      <c r="J1992" s="53" t="n">
        <v>45</v>
      </c>
      <c r="K1992" s="53" t="n">
        <v>9</v>
      </c>
      <c r="L1992" s="53" t="n">
        <v>1</v>
      </c>
      <c r="M1992" s="33">
        <f>F1992-E1992</f>
        <v/>
      </c>
      <c r="N1992" s="33">
        <f>L1992-K1992</f>
        <v/>
      </c>
    </row>
    <row r="1993">
      <c r="A1993" s="58" t="inlineStr">
        <is>
          <t>30032 Panebianco Cucina Italiana</t>
        </is>
      </c>
      <c r="B1993" s="58" t="inlineStr">
        <is>
          <t>Bergen</t>
        </is>
      </c>
      <c r="C1993" s="58" t="inlineStr">
        <is>
          <t>Nick Melissari</t>
        </is>
      </c>
      <c r="D1993" s="58" t="inlineStr">
        <is>
          <t>On-premise</t>
        </is>
      </c>
      <c r="E1993" s="53" t="n">
        <v>29</v>
      </c>
      <c r="F1993" s="53" t="n">
        <v>19</v>
      </c>
      <c r="G1993" s="55" t="n">
        <v>235.68</v>
      </c>
      <c r="H1993" s="55" t="n">
        <v>202.74</v>
      </c>
      <c r="I1993" s="53" t="n">
        <v>0</v>
      </c>
      <c r="J1993" s="53" t="n">
        <v>0</v>
      </c>
      <c r="K1993" s="53" t="n">
        <v>19</v>
      </c>
      <c r="L1993" s="53" t="n">
        <v>11</v>
      </c>
      <c r="M1993" s="33">
        <f>F1993-E1993</f>
        <v/>
      </c>
      <c r="N1993" s="33">
        <f>L1993-K1993</f>
        <v/>
      </c>
    </row>
    <row r="1994">
      <c r="A1994" s="58" t="inlineStr">
        <is>
          <t>20090 D'classico (P)</t>
        </is>
      </c>
      <c r="B1994" s="58" t="inlineStr">
        <is>
          <t>Passaic</t>
        </is>
      </c>
      <c r="C1994" s="58" t="inlineStr">
        <is>
          <t>Pablo Lopez</t>
        </is>
      </c>
      <c r="D1994" s="58" t="inlineStr">
        <is>
          <t>On-premise</t>
        </is>
      </c>
      <c r="E1994" s="53" t="n">
        <v>263</v>
      </c>
      <c r="F1994" s="53" t="n">
        <v>89</v>
      </c>
      <c r="G1994" s="55" t="n">
        <v>2075.26</v>
      </c>
      <c r="H1994" s="55" t="n">
        <v>794.29</v>
      </c>
      <c r="I1994" s="53" t="n">
        <v>21</v>
      </c>
      <c r="J1994" s="53" t="n">
        <v>20</v>
      </c>
      <c r="K1994" s="53" t="n">
        <v>7</v>
      </c>
      <c r="L1994" s="53" t="n">
        <v>-1</v>
      </c>
      <c r="M1994" s="33">
        <f>F1994-E1994</f>
        <v/>
      </c>
      <c r="N1994" s="33">
        <f>L1994-K1994</f>
        <v/>
      </c>
    </row>
    <row r="1995">
      <c r="A1995" s="58" t="inlineStr">
        <is>
          <t>55008 American Lgn (Z) (Cresskill)</t>
        </is>
      </c>
      <c r="B1995" s="58" t="inlineStr">
        <is>
          <t>Bergen</t>
        </is>
      </c>
      <c r="C1995" s="58" t="inlineStr">
        <is>
          <t>Robin Feldman</t>
        </is>
      </c>
      <c r="D1995" s="58" t="inlineStr">
        <is>
          <t>On-premise</t>
        </is>
      </c>
      <c r="E1995" s="53" t="n">
        <v>51</v>
      </c>
      <c r="F1995" s="53" t="n">
        <v>56</v>
      </c>
      <c r="G1995" s="55" t="n">
        <v>459.34</v>
      </c>
      <c r="H1995" s="55" t="n">
        <v>482.6799999999999</v>
      </c>
      <c r="I1995" s="53" t="n">
        <v>23</v>
      </c>
      <c r="J1995" s="53" t="n">
        <v>12</v>
      </c>
      <c r="K1995" s="53" t="n">
        <v>13</v>
      </c>
      <c r="L1995" s="53" t="n">
        <v>5</v>
      </c>
      <c r="M1995" s="33">
        <f>F1995-E1995</f>
        <v/>
      </c>
      <c r="N1995" s="33">
        <f>L1995-K1995</f>
        <v/>
      </c>
    </row>
    <row r="1996">
      <c r="A1996" s="58" t="inlineStr">
        <is>
          <t>25043 Ooka Sushi Hibachi</t>
        </is>
      </c>
      <c r="B1996" s="58" t="inlineStr">
        <is>
          <t>Passaic</t>
        </is>
      </c>
      <c r="C1996" s="58" t="inlineStr">
        <is>
          <t>Robin Feldman</t>
        </is>
      </c>
      <c r="D1996" s="58" t="inlineStr">
        <is>
          <t>Unmatched</t>
        </is>
      </c>
      <c r="E1996" s="53" t="n">
        <v>61</v>
      </c>
      <c r="F1996" s="53" t="n">
        <v>40</v>
      </c>
      <c r="G1996" s="55" t="n">
        <v>521.99</v>
      </c>
      <c r="H1996" s="55" t="n">
        <v>369.83</v>
      </c>
      <c r="I1996" s="53" t="n">
        <v>27</v>
      </c>
      <c r="J1996" s="53" t="n">
        <v>3</v>
      </c>
      <c r="K1996" s="53" t="n">
        <v>33</v>
      </c>
      <c r="L1996" s="53" t="n">
        <v>25</v>
      </c>
      <c r="M1996" s="33">
        <f>F1996-E1996</f>
        <v/>
      </c>
      <c r="N1996" s="33">
        <f>L1996-K1996</f>
        <v/>
      </c>
    </row>
    <row r="1997">
      <c r="A1997" s="58" t="inlineStr">
        <is>
          <t>150609 Home Liquors(465 Newark)</t>
        </is>
      </c>
      <c r="B1997" s="58" t="inlineStr">
        <is>
          <t>Essex</t>
        </is>
      </c>
      <c r="C1997" s="58" t="inlineStr">
        <is>
          <t>Alex Rodriguez</t>
        </is>
      </c>
      <c r="D1997" s="58" t="inlineStr">
        <is>
          <t>Off-premise</t>
        </is>
      </c>
      <c r="E1997" s="53" t="n">
        <v>9</v>
      </c>
      <c r="F1997" s="53" t="n">
        <v>0</v>
      </c>
      <c r="G1997" s="55" t="n">
        <v>71.53</v>
      </c>
      <c r="H1997" s="55" t="n">
        <v>0</v>
      </c>
      <c r="I1997" s="53" t="n">
        <v>165</v>
      </c>
      <c r="J1997" s="53" t="n">
        <v>46</v>
      </c>
      <c r="K1997" s="53" t="n">
        <v>9</v>
      </c>
      <c r="L1997" s="53" t="n">
        <v>0</v>
      </c>
      <c r="M1997" s="33">
        <f>F1997-E1997</f>
        <v/>
      </c>
      <c r="N1997" s="33">
        <f>L1997-K1997</f>
        <v/>
      </c>
    </row>
    <row r="1998">
      <c r="A1998" s="58" t="inlineStr">
        <is>
          <t>250053 Liquor Basics</t>
        </is>
      </c>
      <c r="B1998" s="58" t="inlineStr">
        <is>
          <t>Union</t>
        </is>
      </c>
      <c r="C1998" s="58" t="inlineStr">
        <is>
          <t>Alex Rodriguez</t>
        </is>
      </c>
      <c r="D1998" s="58" t="inlineStr">
        <is>
          <t>Off-premise</t>
        </is>
      </c>
      <c r="E1998" s="53" t="n">
        <v>29</v>
      </c>
      <c r="F1998" s="53" t="n">
        <v>20</v>
      </c>
      <c r="G1998" s="55" t="n">
        <v>209.23</v>
      </c>
      <c r="H1998" s="55" t="n">
        <v>139.56</v>
      </c>
      <c r="I1998" s="53" t="n">
        <v>96</v>
      </c>
      <c r="J1998" s="53" t="n">
        <v>60</v>
      </c>
      <c r="K1998" s="53" t="n">
        <v>29</v>
      </c>
      <c r="L1998" s="53" t="n">
        <v>20</v>
      </c>
      <c r="M1998" s="33">
        <f>F1998-E1998</f>
        <v/>
      </c>
      <c r="N1998" s="33">
        <f>L1998-K1998</f>
        <v/>
      </c>
    </row>
    <row r="1999">
      <c r="A1999" s="58" t="inlineStr">
        <is>
          <t>250128 Liquor Depot</t>
        </is>
      </c>
      <c r="B1999" s="58" t="inlineStr">
        <is>
          <t>Union</t>
        </is>
      </c>
      <c r="C1999" s="58" t="inlineStr">
        <is>
          <t>Alex Rodriguez</t>
        </is>
      </c>
      <c r="D1999" s="58" t="inlineStr">
        <is>
          <t>Off-premise</t>
        </is>
      </c>
      <c r="E1999" s="53" t="n">
        <v>19</v>
      </c>
      <c r="F1999" s="53" t="n">
        <v>10</v>
      </c>
      <c r="G1999" s="55" t="n">
        <v>148.91</v>
      </c>
      <c r="H1999" s="55" t="n">
        <v>70.61</v>
      </c>
      <c r="I1999" s="53" t="n">
        <v>9</v>
      </c>
      <c r="J1999" s="53" t="n">
        <v>4</v>
      </c>
      <c r="K1999" s="53" t="n">
        <v>19</v>
      </c>
      <c r="L1999" s="53" t="n">
        <v>10</v>
      </c>
      <c r="M1999" s="33">
        <f>F1999-E1999</f>
        <v/>
      </c>
      <c r="N1999" s="33">
        <f>L1999-K1999</f>
        <v/>
      </c>
    </row>
    <row r="2000">
      <c r="A2000" s="58" t="inlineStr">
        <is>
          <t>253000 Leland Liquor &amp; Deli</t>
        </is>
      </c>
      <c r="B2000" s="58" t="inlineStr">
        <is>
          <t>Union</t>
        </is>
      </c>
      <c r="C2000" s="58" t="inlineStr">
        <is>
          <t>Alex Rodriguez</t>
        </is>
      </c>
      <c r="D2000" s="58" t="inlineStr">
        <is>
          <t>Off-premise</t>
        </is>
      </c>
      <c r="E2000" s="53" t="n">
        <v>9</v>
      </c>
      <c r="F2000" s="53" t="n">
        <v>0</v>
      </c>
      <c r="G2000" s="55" t="n">
        <v>71.53</v>
      </c>
      <c r="H2000" s="55" t="n">
        <v>0</v>
      </c>
      <c r="I2000" s="53" t="n">
        <v>175</v>
      </c>
      <c r="J2000" s="53" t="n">
        <v>184</v>
      </c>
      <c r="K2000" s="53" t="n">
        <v>9</v>
      </c>
      <c r="L2000" s="53" t="n">
        <v>0</v>
      </c>
      <c r="M2000" s="33">
        <f>F2000-E2000</f>
        <v/>
      </c>
      <c r="N2000" s="33">
        <f>L2000-K2000</f>
        <v/>
      </c>
    </row>
    <row r="2001">
      <c r="A2001" s="58" t="inlineStr">
        <is>
          <t>170038 Harrison Discount Liq(P)</t>
        </is>
      </c>
      <c r="B2001" s="58" t="inlineStr">
        <is>
          <t>Hudson</t>
        </is>
      </c>
      <c r="C2001" s="58" t="inlineStr">
        <is>
          <t>Alisa Acciardi</t>
        </is>
      </c>
      <c r="D2001" s="58" t="inlineStr">
        <is>
          <t>Off-premise</t>
        </is>
      </c>
      <c r="E2001" s="53" t="n">
        <v>28</v>
      </c>
      <c r="F2001" s="53" t="n">
        <v>19</v>
      </c>
      <c r="G2001" s="55" t="n">
        <v>214.58</v>
      </c>
      <c r="H2001" s="55" t="n">
        <v>143.07</v>
      </c>
      <c r="I2001" s="53" t="n">
        <v>130</v>
      </c>
      <c r="J2001" s="53" t="n">
        <v>118</v>
      </c>
      <c r="K2001" s="53" t="n">
        <v>28</v>
      </c>
      <c r="L2001" s="53" t="n">
        <v>19</v>
      </c>
      <c r="M2001" s="33">
        <f>F2001-E2001</f>
        <v/>
      </c>
      <c r="N2001" s="33">
        <f>L2001-K2001</f>
        <v/>
      </c>
    </row>
    <row r="2002">
      <c r="A2002" s="58" t="inlineStr">
        <is>
          <t>171312 Shop Rite Wine &amp; Spirits Kearny</t>
        </is>
      </c>
      <c r="B2002" s="58" t="inlineStr">
        <is>
          <t>Hudson</t>
        </is>
      </c>
      <c r="C2002" s="58" t="inlineStr">
        <is>
          <t>Alisa Acciardi</t>
        </is>
      </c>
      <c r="D2002" s="58" t="inlineStr">
        <is>
          <t>Off-premise</t>
        </is>
      </c>
      <c r="E2002" s="53" t="n">
        <v>35</v>
      </c>
      <c r="F2002" s="53" t="n">
        <v>26</v>
      </c>
      <c r="G2002" s="55" t="n">
        <v>261.62</v>
      </c>
      <c r="H2002" s="55" t="n">
        <v>202.4</v>
      </c>
      <c r="I2002" s="53" t="n">
        <v>451</v>
      </c>
      <c r="J2002" s="53" t="n">
        <v>388</v>
      </c>
      <c r="K2002" s="53" t="n">
        <v>35</v>
      </c>
      <c r="L2002" s="53" t="n">
        <v>26</v>
      </c>
      <c r="M2002" s="33">
        <f>F2002-E2002</f>
        <v/>
      </c>
      <c r="N2002" s="33">
        <f>L2002-K2002</f>
        <v/>
      </c>
    </row>
    <row r="2003">
      <c r="A2003" s="58" t="inlineStr">
        <is>
          <t>171328 Kearny Wine &amp; Liquor</t>
        </is>
      </c>
      <c r="B2003" s="58" t="inlineStr">
        <is>
          <t>Hudson</t>
        </is>
      </c>
      <c r="C2003" s="58" t="inlineStr">
        <is>
          <t>Alisa Acciardi</t>
        </is>
      </c>
      <c r="D2003" s="58" t="inlineStr">
        <is>
          <t>Off-premise</t>
        </is>
      </c>
      <c r="E2003" s="53" t="n">
        <v>14</v>
      </c>
      <c r="F2003" s="53" t="n">
        <v>5</v>
      </c>
      <c r="G2003" s="55" t="n">
        <v>116.14</v>
      </c>
      <c r="H2003" s="55" t="n">
        <v>42.27</v>
      </c>
      <c r="I2003" s="53" t="n">
        <v>28</v>
      </c>
      <c r="J2003" s="53" t="n">
        <v>20</v>
      </c>
      <c r="K2003" s="53" t="n">
        <v>14</v>
      </c>
      <c r="L2003" s="53" t="n">
        <v>5</v>
      </c>
      <c r="M2003" s="33">
        <f>F2003-E2003</f>
        <v/>
      </c>
      <c r="N2003" s="33">
        <f>L2003-K2003</f>
        <v/>
      </c>
    </row>
    <row r="2004">
      <c r="A2004" s="58" t="inlineStr">
        <is>
          <t>171332 Seabra Liquor</t>
        </is>
      </c>
      <c r="B2004" s="58" t="inlineStr">
        <is>
          <t>Hudson</t>
        </is>
      </c>
      <c r="C2004" s="58" t="inlineStr">
        <is>
          <t>Alisa Acciardi</t>
        </is>
      </c>
      <c r="D2004" s="58" t="inlineStr">
        <is>
          <t>Off-premise</t>
        </is>
      </c>
      <c r="E2004" s="53" t="n">
        <v>9</v>
      </c>
      <c r="F2004" s="53" t="n">
        <v>0</v>
      </c>
      <c r="G2004" s="55" t="n">
        <v>71.55</v>
      </c>
      <c r="H2004" s="55" t="n">
        <v>0</v>
      </c>
      <c r="I2004" s="53" t="n">
        <v>38</v>
      </c>
      <c r="J2004" s="53" t="n">
        <v>10</v>
      </c>
      <c r="K2004" s="53" t="n">
        <v>9</v>
      </c>
      <c r="L2004" s="53" t="n">
        <v>0</v>
      </c>
      <c r="M2004" s="33">
        <f>F2004-E2004</f>
        <v/>
      </c>
      <c r="N2004" s="33">
        <f>L2004-K2004</f>
        <v/>
      </c>
    </row>
    <row r="2005">
      <c r="A2005" s="58" t="inlineStr">
        <is>
          <t>25004 Matthews Italian Rest</t>
        </is>
      </c>
      <c r="B2005" s="58" t="inlineStr">
        <is>
          <t>Passaic</t>
        </is>
      </c>
      <c r="C2005" s="58" t="inlineStr">
        <is>
          <t>Allison Scott</t>
        </is>
      </c>
      <c r="D2005" s="58" t="inlineStr">
        <is>
          <t>On-premise</t>
        </is>
      </c>
      <c r="E2005" s="53" t="n">
        <v>37</v>
      </c>
      <c r="F2005" s="53" t="n">
        <v>28</v>
      </c>
      <c r="G2005" s="55" t="n">
        <v>267.16</v>
      </c>
      <c r="H2005" s="55" t="n">
        <v>200.51</v>
      </c>
      <c r="I2005" s="53" t="n">
        <v>0</v>
      </c>
      <c r="J2005" s="53" t="n">
        <v>0</v>
      </c>
      <c r="K2005" s="53" t="n">
        <v>37</v>
      </c>
      <c r="L2005" s="53" t="n">
        <v>28</v>
      </c>
      <c r="M2005" s="33">
        <f>F2005-E2005</f>
        <v/>
      </c>
      <c r="N2005" s="33">
        <f>L2005-K2005</f>
        <v/>
      </c>
    </row>
    <row r="2006">
      <c r="A2006" s="58" t="inlineStr">
        <is>
          <t>250040 Fanwood Liquors(A)</t>
        </is>
      </c>
      <c r="B2006" s="58" t="inlineStr">
        <is>
          <t>Union</t>
        </is>
      </c>
      <c r="C2006" s="58" t="inlineStr">
        <is>
          <t>Andrew Lundy</t>
        </is>
      </c>
      <c r="D2006" s="58" t="inlineStr">
        <is>
          <t>Off-premise</t>
        </is>
      </c>
      <c r="E2006" s="53" t="n">
        <v>34</v>
      </c>
      <c r="F2006" s="53" t="n">
        <v>25</v>
      </c>
      <c r="G2006" s="55" t="n">
        <v>230.14</v>
      </c>
      <c r="H2006" s="55" t="n">
        <v>145.49</v>
      </c>
      <c r="I2006" s="53" t="n">
        <v>46</v>
      </c>
      <c r="J2006" s="53" t="n">
        <v>38</v>
      </c>
      <c r="K2006" s="53" t="n">
        <v>34</v>
      </c>
      <c r="L2006" s="53" t="n">
        <v>25</v>
      </c>
      <c r="M2006" s="33">
        <f>F2006-E2006</f>
        <v/>
      </c>
      <c r="N2006" s="33">
        <f>L2006-K2006</f>
        <v/>
      </c>
    </row>
    <row r="2007">
      <c r="A2007" s="58" t="inlineStr">
        <is>
          <t>250134 Shoppers Paradise Liq</t>
        </is>
      </c>
      <c r="B2007" s="58" t="inlineStr">
        <is>
          <t>Union</t>
        </is>
      </c>
      <c r="C2007" s="58" t="inlineStr">
        <is>
          <t>Andrew Lundy</t>
        </is>
      </c>
      <c r="D2007" s="58" t="inlineStr">
        <is>
          <t>Off-premise</t>
        </is>
      </c>
      <c r="E2007" s="53" t="n">
        <v>66</v>
      </c>
      <c r="F2007" s="53" t="n">
        <v>57</v>
      </c>
      <c r="G2007" s="55" t="n">
        <v>461.15</v>
      </c>
      <c r="H2007" s="55" t="n">
        <v>363.71</v>
      </c>
      <c r="I2007" s="53" t="n">
        <v>537</v>
      </c>
      <c r="J2007" s="53" t="n">
        <v>500</v>
      </c>
      <c r="K2007" s="53" t="n">
        <v>66</v>
      </c>
      <c r="L2007" s="53" t="n">
        <v>57</v>
      </c>
      <c r="M2007" s="33">
        <f>F2007-E2007</f>
        <v/>
      </c>
      <c r="N2007" s="33">
        <f>L2007-K2007</f>
        <v/>
      </c>
    </row>
    <row r="2008">
      <c r="A2008" s="58" t="inlineStr">
        <is>
          <t>231311 Indian Spice Route 23</t>
        </is>
      </c>
      <c r="B2008" s="58" t="inlineStr">
        <is>
          <t>Sussex</t>
        </is>
      </c>
      <c r="C2008" s="58" t="inlineStr">
        <is>
          <t>Anthony Palmisano</t>
        </is>
      </c>
      <c r="D2008" s="58" t="inlineStr">
        <is>
          <t>Unmatched</t>
        </is>
      </c>
      <c r="E2008" s="53" t="n">
        <v>24</v>
      </c>
      <c r="F2008" s="53" t="n">
        <v>11</v>
      </c>
      <c r="G2008" s="55" t="n">
        <v>237.62</v>
      </c>
      <c r="H2008" s="55" t="n">
        <v>109.24</v>
      </c>
      <c r="I2008" s="53" t="n">
        <v>14</v>
      </c>
      <c r="J2008" s="53" t="n">
        <v>2</v>
      </c>
      <c r="K2008" s="53" t="n">
        <v>10</v>
      </c>
      <c r="L2008" s="53" t="n">
        <v>1</v>
      </c>
      <c r="M2008" s="33">
        <f>F2008-E2008</f>
        <v/>
      </c>
      <c r="N2008" s="33">
        <f>L2008-K2008</f>
        <v/>
      </c>
    </row>
    <row r="2009">
      <c r="A2009" s="58" t="inlineStr">
        <is>
          <t>191504 Jefferson House (A)</t>
        </is>
      </c>
      <c r="B2009" s="58" t="inlineStr">
        <is>
          <t>Morris</t>
        </is>
      </c>
      <c r="C2009" s="58" t="inlineStr">
        <is>
          <t>Brian Sengebush</t>
        </is>
      </c>
      <c r="D2009" s="58" t="inlineStr">
        <is>
          <t>On-premise</t>
        </is>
      </c>
      <c r="E2009" s="53" t="n">
        <v>639</v>
      </c>
      <c r="F2009" s="53" t="n">
        <v>475</v>
      </c>
      <c r="G2009" s="55" t="n">
        <v>5193.44</v>
      </c>
      <c r="H2009" s="55" t="n">
        <v>3730.73</v>
      </c>
      <c r="I2009" s="53" t="n">
        <v>205</v>
      </c>
      <c r="J2009" s="53" t="n">
        <v>156</v>
      </c>
      <c r="K2009" s="53" t="n">
        <v>20</v>
      </c>
      <c r="L2009" s="53" t="n">
        <v>11</v>
      </c>
      <c r="M2009" s="33">
        <f>F2009-E2009</f>
        <v/>
      </c>
      <c r="N2009" s="33">
        <f>L2009-K2009</f>
        <v/>
      </c>
    </row>
    <row r="2010">
      <c r="A2010" s="58" t="inlineStr">
        <is>
          <t>190719 Red Robin Gourmet Burger (Rockaway)</t>
        </is>
      </c>
      <c r="B2010" s="58" t="inlineStr">
        <is>
          <t>Morris</t>
        </is>
      </c>
      <c r="C2010" s="58" t="inlineStr">
        <is>
          <t>Brian Sengebush</t>
        </is>
      </c>
      <c r="D2010" s="58" t="inlineStr">
        <is>
          <t>Unmatched</t>
        </is>
      </c>
      <c r="E2010" s="53" t="n">
        <v>38</v>
      </c>
      <c r="F2010" s="53" t="n">
        <v>0</v>
      </c>
      <c r="G2010" s="55" t="n">
        <v>281.04</v>
      </c>
      <c r="H2010" s="55" t="n">
        <v>0</v>
      </c>
      <c r="I2010" s="53" t="n">
        <v>12</v>
      </c>
      <c r="J2010" s="53" t="n">
        <v>0</v>
      </c>
      <c r="K2010" s="53" t="n">
        <v>9</v>
      </c>
      <c r="L2010" s="53" t="n">
        <v>0</v>
      </c>
      <c r="M2010" s="33">
        <f>F2010-E2010</f>
        <v/>
      </c>
      <c r="N2010" s="33">
        <f>L2010-K2010</f>
        <v/>
      </c>
    </row>
    <row r="2011">
      <c r="A2011" s="58" t="inlineStr">
        <is>
          <t>81031 Rail Yard Tavern (P)</t>
        </is>
      </c>
      <c r="B2011" s="58" t="inlineStr">
        <is>
          <t>Bergen</t>
        </is>
      </c>
      <c r="C2011" s="58" t="inlineStr">
        <is>
          <t>Chris Payton</t>
        </is>
      </c>
      <c r="D2011" s="58" t="inlineStr">
        <is>
          <t>On-premise</t>
        </is>
      </c>
      <c r="E2011" s="53" t="n">
        <v>69</v>
      </c>
      <c r="F2011" s="53" t="n">
        <v>0</v>
      </c>
      <c r="G2011" s="55" t="n">
        <v>616.1899999999999</v>
      </c>
      <c r="H2011" s="55" t="n">
        <v>0</v>
      </c>
      <c r="I2011" s="53" t="n">
        <v>30</v>
      </c>
      <c r="J2011" s="53" t="n">
        <v>0</v>
      </c>
      <c r="K2011" s="53" t="n">
        <v>9</v>
      </c>
      <c r="L2011" s="53" t="n">
        <v>0</v>
      </c>
      <c r="M2011" s="33">
        <f>F2011-E2011</f>
        <v/>
      </c>
      <c r="N2011" s="33">
        <f>L2011-K2011</f>
        <v/>
      </c>
    </row>
    <row r="2012">
      <c r="A2012" s="58" t="inlineStr">
        <is>
          <t>76001 Golden Pub (P)</t>
        </is>
      </c>
      <c r="B2012" s="58" t="inlineStr">
        <is>
          <t>Bergen</t>
        </is>
      </c>
      <c r="C2012" s="58" t="inlineStr">
        <is>
          <t>Chris Payton</t>
        </is>
      </c>
      <c r="D2012" s="58" t="inlineStr">
        <is>
          <t>On-premise</t>
        </is>
      </c>
      <c r="E2012" s="53" t="n">
        <v>79</v>
      </c>
      <c r="F2012" s="53" t="n">
        <v>52</v>
      </c>
      <c r="G2012" s="55" t="n">
        <v>752.5899999999999</v>
      </c>
      <c r="H2012" s="55" t="n">
        <v>438.49</v>
      </c>
      <c r="I2012" s="53" t="n">
        <v>48</v>
      </c>
      <c r="J2012" s="53" t="n">
        <v>43</v>
      </c>
      <c r="K2012" s="53" t="n">
        <v>12</v>
      </c>
      <c r="L2012" s="53" t="n">
        <v>3</v>
      </c>
      <c r="M2012" s="33">
        <f>F2012-E2012</f>
        <v/>
      </c>
      <c r="N2012" s="33">
        <f>L2012-K2012</f>
        <v/>
      </c>
    </row>
    <row r="2013">
      <c r="A2013" s="58" t="inlineStr">
        <is>
          <t>20030 10th Ave Liq &amp; Food (P)</t>
        </is>
      </c>
      <c r="B2013" s="58" t="inlineStr">
        <is>
          <t>Passaic</t>
        </is>
      </c>
      <c r="C2013" s="58" t="inlineStr">
        <is>
          <t>Derrick Laws</t>
        </is>
      </c>
      <c r="D2013" s="58" t="inlineStr">
        <is>
          <t>Off-premise</t>
        </is>
      </c>
      <c r="E2013" s="53" t="n">
        <v>2768</v>
      </c>
      <c r="F2013" s="53" t="n">
        <v>2227</v>
      </c>
      <c r="G2013" s="55" t="n">
        <v>20297.23</v>
      </c>
      <c r="H2013" s="55" t="n">
        <v>17432.66</v>
      </c>
      <c r="I2013" s="53" t="n">
        <v>173</v>
      </c>
      <c r="J2013" s="53" t="n">
        <v>118</v>
      </c>
      <c r="K2013" s="53" t="n">
        <v>143</v>
      </c>
      <c r="L2013" s="53" t="n">
        <v>134</v>
      </c>
      <c r="M2013" s="33">
        <f>F2013-E2013</f>
        <v/>
      </c>
      <c r="N2013" s="33">
        <f>L2013-K2013</f>
        <v/>
      </c>
    </row>
    <row r="2014">
      <c r="A2014" s="58" t="inlineStr">
        <is>
          <t>170024 Manhatten Liquors</t>
        </is>
      </c>
      <c r="B2014" s="58" t="inlineStr">
        <is>
          <t>Hudson</t>
        </is>
      </c>
      <c r="C2014" s="58" t="inlineStr">
        <is>
          <t>Dylan Rubino</t>
        </is>
      </c>
      <c r="D2014" s="58" t="inlineStr">
        <is>
          <t>Off-premise</t>
        </is>
      </c>
      <c r="E2014" s="53" t="n">
        <v>24</v>
      </c>
      <c r="F2014" s="53" t="n">
        <v>15</v>
      </c>
      <c r="G2014" s="55" t="n">
        <v>200.6</v>
      </c>
      <c r="H2014" s="55" t="n">
        <v>128.61</v>
      </c>
      <c r="I2014" s="53" t="n">
        <v>27</v>
      </c>
      <c r="J2014" s="53" t="n">
        <v>38</v>
      </c>
      <c r="K2014" s="53" t="n">
        <v>24</v>
      </c>
      <c r="L2014" s="53" t="n">
        <v>15</v>
      </c>
      <c r="M2014" s="33">
        <f>F2014-E2014</f>
        <v/>
      </c>
      <c r="N2014" s="33">
        <f>L2014-K2014</f>
        <v/>
      </c>
    </row>
    <row r="2015">
      <c r="A2015" s="58" t="inlineStr">
        <is>
          <t>170040 Los Padrinos</t>
        </is>
      </c>
      <c r="B2015" s="58" t="inlineStr">
        <is>
          <t>Hudson</t>
        </is>
      </c>
      <c r="C2015" s="58" t="inlineStr">
        <is>
          <t>Dylan Rubino</t>
        </is>
      </c>
      <c r="D2015" s="58" t="inlineStr">
        <is>
          <t>Off-premise</t>
        </is>
      </c>
      <c r="E2015" s="53" t="n">
        <v>28</v>
      </c>
      <c r="F2015" s="53" t="n">
        <v>19</v>
      </c>
      <c r="G2015" s="55" t="n">
        <v>212.25</v>
      </c>
      <c r="H2015" s="55" t="n">
        <v>142.41</v>
      </c>
      <c r="I2015" s="53" t="n">
        <v>74</v>
      </c>
      <c r="J2015" s="53" t="n">
        <v>49</v>
      </c>
      <c r="K2015" s="53" t="n">
        <v>28</v>
      </c>
      <c r="L2015" s="53" t="n">
        <v>19</v>
      </c>
      <c r="M2015" s="33">
        <f>F2015-E2015</f>
        <v/>
      </c>
      <c r="N2015" s="33">
        <f>L2015-K2015</f>
        <v/>
      </c>
    </row>
    <row r="2016">
      <c r="A2016" s="58" t="inlineStr">
        <is>
          <t>170066 State Liq &amp; Deli (P)</t>
        </is>
      </c>
      <c r="B2016" s="58" t="inlineStr">
        <is>
          <t>Hudson</t>
        </is>
      </c>
      <c r="C2016" s="58" t="inlineStr">
        <is>
          <t>Dylan Rubino</t>
        </is>
      </c>
      <c r="D2016" s="58" t="inlineStr">
        <is>
          <t>Unmatched</t>
        </is>
      </c>
      <c r="E2016" s="53" t="n">
        <v>9</v>
      </c>
      <c r="F2016" s="53" t="n">
        <v>0</v>
      </c>
      <c r="G2016" s="55" t="n">
        <v>71.54000000000001</v>
      </c>
      <c r="H2016" s="55" t="n">
        <v>0</v>
      </c>
      <c r="I2016" s="53" t="n">
        <v>20</v>
      </c>
      <c r="J2016" s="53" t="n">
        <v>0</v>
      </c>
      <c r="K2016" s="53" t="n">
        <v>9</v>
      </c>
      <c r="L2016" s="53" t="n">
        <v>0</v>
      </c>
      <c r="M2016" s="33">
        <f>F2016-E2016</f>
        <v/>
      </c>
      <c r="N2016" s="33">
        <f>L2016-K2016</f>
        <v/>
      </c>
    </row>
    <row r="2017">
      <c r="A2017" s="58" t="inlineStr">
        <is>
          <t>170069 Blvd Liquors (P)</t>
        </is>
      </c>
      <c r="B2017" s="58" t="inlineStr">
        <is>
          <t>Hudson</t>
        </is>
      </c>
      <c r="C2017" s="58" t="inlineStr">
        <is>
          <t>Dylan Rubino</t>
        </is>
      </c>
      <c r="D2017" s="58" t="inlineStr">
        <is>
          <t>Off-premise</t>
        </is>
      </c>
      <c r="E2017" s="53" t="n">
        <v>19</v>
      </c>
      <c r="F2017" s="53" t="n">
        <v>10</v>
      </c>
      <c r="G2017" s="55" t="n">
        <v>143.1</v>
      </c>
      <c r="H2017" s="55" t="n">
        <v>71.56999999999999</v>
      </c>
      <c r="I2017" s="53" t="n">
        <v>88</v>
      </c>
      <c r="J2017" s="53" t="n">
        <v>53</v>
      </c>
      <c r="K2017" s="53" t="n">
        <v>19</v>
      </c>
      <c r="L2017" s="53" t="n">
        <v>10</v>
      </c>
      <c r="M2017" s="33">
        <f>F2017-E2017</f>
        <v/>
      </c>
      <c r="N2017" s="33">
        <f>L2017-K2017</f>
        <v/>
      </c>
    </row>
    <row r="2018">
      <c r="A2018" s="58" t="inlineStr">
        <is>
          <t>170071 West Side Liquors</t>
        </is>
      </c>
      <c r="B2018" s="58" t="inlineStr">
        <is>
          <t>Hudson</t>
        </is>
      </c>
      <c r="C2018" s="58" t="inlineStr">
        <is>
          <t>Dylan Rubino</t>
        </is>
      </c>
      <c r="D2018" s="58" t="inlineStr">
        <is>
          <t>Off-premise</t>
        </is>
      </c>
      <c r="E2018" s="53" t="n">
        <v>9</v>
      </c>
      <c r="F2018" s="53" t="n">
        <v>0</v>
      </c>
      <c r="G2018" s="55" t="n">
        <v>71.53</v>
      </c>
      <c r="H2018" s="55" t="n">
        <v>0</v>
      </c>
      <c r="I2018" s="53" t="n">
        <v>16</v>
      </c>
      <c r="J2018" s="53" t="n">
        <v>0</v>
      </c>
      <c r="K2018" s="53" t="n">
        <v>9</v>
      </c>
      <c r="L2018" s="53" t="n">
        <v>0</v>
      </c>
      <c r="M2018" s="33">
        <f>F2018-E2018</f>
        <v/>
      </c>
      <c r="N2018" s="33">
        <f>L2018-K2018</f>
        <v/>
      </c>
    </row>
    <row r="2019">
      <c r="A2019" s="58" t="inlineStr">
        <is>
          <t>170089 New Orient Liquor</t>
        </is>
      </c>
      <c r="B2019" s="58" t="inlineStr">
        <is>
          <t>Hudson</t>
        </is>
      </c>
      <c r="C2019" s="58" t="inlineStr">
        <is>
          <t>Dylan Rubino</t>
        </is>
      </c>
      <c r="D2019" s="58" t="inlineStr">
        <is>
          <t>Off-premise</t>
        </is>
      </c>
      <c r="E2019" s="53" t="n">
        <v>9</v>
      </c>
      <c r="F2019" s="53" t="n">
        <v>0</v>
      </c>
      <c r="G2019" s="55" t="n">
        <v>71.53</v>
      </c>
      <c r="H2019" s="55" t="n">
        <v>0</v>
      </c>
      <c r="I2019" s="53" t="n">
        <v>6</v>
      </c>
      <c r="J2019" s="53" t="n">
        <v>0</v>
      </c>
      <c r="K2019" s="53" t="n">
        <v>9</v>
      </c>
      <c r="L2019" s="53" t="n">
        <v>0</v>
      </c>
      <c r="M2019" s="33">
        <f>F2019-E2019</f>
        <v/>
      </c>
      <c r="N2019" s="33">
        <f>L2019-K2019</f>
        <v/>
      </c>
    </row>
    <row r="2020">
      <c r="A2020" s="58" t="inlineStr">
        <is>
          <t>170119 Hudson Wine &amp; Liq (P)</t>
        </is>
      </c>
      <c r="B2020" s="58" t="inlineStr">
        <is>
          <t>Hudson</t>
        </is>
      </c>
      <c r="C2020" s="58" t="inlineStr">
        <is>
          <t>Dylan Rubino</t>
        </is>
      </c>
      <c r="D2020" s="58" t="inlineStr">
        <is>
          <t>Off-premise</t>
        </is>
      </c>
      <c r="E2020" s="53" t="n">
        <v>18</v>
      </c>
      <c r="F2020" s="53" t="n">
        <v>9</v>
      </c>
      <c r="G2020" s="55" t="n">
        <v>143.05</v>
      </c>
      <c r="H2020" s="55" t="n">
        <v>71.53</v>
      </c>
      <c r="I2020" s="53" t="n">
        <v>69</v>
      </c>
      <c r="J2020" s="53" t="n">
        <v>16</v>
      </c>
      <c r="K2020" s="53" t="n">
        <v>18</v>
      </c>
      <c r="L2020" s="53" t="n">
        <v>9</v>
      </c>
      <c r="M2020" s="33">
        <f>F2020-E2020</f>
        <v/>
      </c>
      <c r="N2020" s="33">
        <f>L2020-K2020</f>
        <v/>
      </c>
    </row>
    <row r="2021">
      <c r="A2021" s="58" t="inlineStr">
        <is>
          <t>170183 Mlk Liquor (455 Jersey City)</t>
        </is>
      </c>
      <c r="B2021" s="58" t="inlineStr">
        <is>
          <t>Hudson</t>
        </is>
      </c>
      <c r="C2021" s="58" t="inlineStr">
        <is>
          <t>Dylan Rubino</t>
        </is>
      </c>
      <c r="D2021" s="58" t="inlineStr">
        <is>
          <t>Off-premise</t>
        </is>
      </c>
      <c r="E2021" s="53" t="n">
        <v>18</v>
      </c>
      <c r="F2021" s="53" t="n">
        <v>9</v>
      </c>
      <c r="G2021" s="55" t="n">
        <v>140.22</v>
      </c>
      <c r="H2021" s="55" t="n">
        <v>71.06</v>
      </c>
      <c r="I2021" s="53" t="n">
        <v>295</v>
      </c>
      <c r="J2021" s="53" t="n">
        <v>280</v>
      </c>
      <c r="K2021" s="53" t="n">
        <v>18</v>
      </c>
      <c r="L2021" s="53" t="n">
        <v>9</v>
      </c>
      <c r="M2021" s="33">
        <f>F2021-E2021</f>
        <v/>
      </c>
      <c r="N2021" s="33">
        <f>L2021-K2021</f>
        <v/>
      </c>
    </row>
    <row r="2022">
      <c r="A2022" s="58" t="inlineStr">
        <is>
          <t>170186 A&amp;A Liquor (P)</t>
        </is>
      </c>
      <c r="B2022" s="58" t="inlineStr">
        <is>
          <t>Hudson</t>
        </is>
      </c>
      <c r="C2022" s="58" t="inlineStr">
        <is>
          <t>Dylan Rubino</t>
        </is>
      </c>
      <c r="D2022" s="58" t="inlineStr">
        <is>
          <t>Off-premise</t>
        </is>
      </c>
      <c r="E2022" s="53" t="n">
        <v>9</v>
      </c>
      <c r="F2022" s="53" t="n">
        <v>0</v>
      </c>
      <c r="G2022" s="55" t="n">
        <v>71.53</v>
      </c>
      <c r="H2022" s="55" t="n">
        <v>0</v>
      </c>
      <c r="I2022" s="53" t="n">
        <v>46</v>
      </c>
      <c r="J2022" s="53" t="n">
        <v>59</v>
      </c>
      <c r="K2022" s="53" t="n">
        <v>9</v>
      </c>
      <c r="L2022" s="53" t="n">
        <v>0</v>
      </c>
      <c r="M2022" s="33">
        <f>F2022-E2022</f>
        <v/>
      </c>
      <c r="N2022" s="33">
        <f>L2022-K2022</f>
        <v/>
      </c>
    </row>
    <row r="2023">
      <c r="A2023" s="58" t="inlineStr">
        <is>
          <t>170364 Red Feast W &amp; L (A)</t>
        </is>
      </c>
      <c r="B2023" s="58" t="inlineStr">
        <is>
          <t>Hudson</t>
        </is>
      </c>
      <c r="C2023" s="58" t="inlineStr">
        <is>
          <t>Dylan Rubino</t>
        </is>
      </c>
      <c r="D2023" s="58" t="inlineStr">
        <is>
          <t>Off-premise</t>
        </is>
      </c>
      <c r="E2023" s="53" t="n">
        <v>18</v>
      </c>
      <c r="F2023" s="53" t="n">
        <v>9</v>
      </c>
      <c r="G2023" s="55" t="n">
        <v>143.05</v>
      </c>
      <c r="H2023" s="55" t="n">
        <v>71.53</v>
      </c>
      <c r="I2023" s="53" t="n">
        <v>144</v>
      </c>
      <c r="J2023" s="53" t="n">
        <v>140</v>
      </c>
      <c r="K2023" s="53" t="n">
        <v>18</v>
      </c>
      <c r="L2023" s="53" t="n">
        <v>9</v>
      </c>
      <c r="M2023" s="33">
        <f>F2023-E2023</f>
        <v/>
      </c>
      <c r="N2023" s="33">
        <f>L2023-K2023</f>
        <v/>
      </c>
    </row>
    <row r="2024">
      <c r="A2024" s="58" t="inlineStr">
        <is>
          <t>150166 Liquor Zone</t>
        </is>
      </c>
      <c r="B2024" s="58" t="inlineStr">
        <is>
          <t>Essex</t>
        </is>
      </c>
      <c r="C2024" s="58" t="inlineStr">
        <is>
          <t>Hakan Sadik</t>
        </is>
      </c>
      <c r="D2024" s="58" t="inlineStr">
        <is>
          <t>Off-premise</t>
        </is>
      </c>
      <c r="E2024" s="53" t="n">
        <v>28</v>
      </c>
      <c r="F2024" s="53" t="n">
        <v>19</v>
      </c>
      <c r="G2024" s="55" t="n">
        <v>214.66</v>
      </c>
      <c r="H2024" s="55" t="n">
        <v>143.09</v>
      </c>
      <c r="I2024" s="53" t="n">
        <v>125</v>
      </c>
      <c r="J2024" s="53" t="n">
        <v>247</v>
      </c>
      <c r="K2024" s="53" t="n">
        <v>28</v>
      </c>
      <c r="L2024" s="53" t="n">
        <v>19</v>
      </c>
      <c r="M2024" s="33">
        <f>F2024-E2024</f>
        <v/>
      </c>
      <c r="N2024" s="33">
        <f>L2024-K2024</f>
        <v/>
      </c>
    </row>
    <row r="2025">
      <c r="A2025" s="58" t="inlineStr">
        <is>
          <t>150640 Firehouse Liquors</t>
        </is>
      </c>
      <c r="B2025" s="58" t="inlineStr">
        <is>
          <t>Essex</t>
        </is>
      </c>
      <c r="C2025" s="58" t="inlineStr">
        <is>
          <t>Hakan Sadik</t>
        </is>
      </c>
      <c r="D2025" s="58" t="inlineStr">
        <is>
          <t>Off-premise</t>
        </is>
      </c>
      <c r="E2025" s="53" t="n">
        <v>9</v>
      </c>
      <c r="F2025" s="53" t="n">
        <v>0</v>
      </c>
      <c r="G2025" s="55" t="n">
        <v>71.53</v>
      </c>
      <c r="H2025" s="55" t="n">
        <v>0</v>
      </c>
      <c r="I2025" s="53" t="n">
        <v>268</v>
      </c>
      <c r="J2025" s="53" t="n">
        <v>181</v>
      </c>
      <c r="K2025" s="53" t="n">
        <v>9</v>
      </c>
      <c r="L2025" s="53" t="n">
        <v>0</v>
      </c>
      <c r="M2025" s="33">
        <f>F2025-E2025</f>
        <v/>
      </c>
      <c r="N2025" s="33">
        <f>L2025-K2025</f>
        <v/>
      </c>
    </row>
    <row r="2026">
      <c r="A2026" s="58" t="inlineStr">
        <is>
          <t>150644 Fox's Liquor</t>
        </is>
      </c>
      <c r="B2026" s="58" t="inlineStr">
        <is>
          <t>Essex</t>
        </is>
      </c>
      <c r="C2026" s="58" t="inlineStr">
        <is>
          <t>Hakan Sadik</t>
        </is>
      </c>
      <c r="D2026" s="58" t="inlineStr">
        <is>
          <t>Off-premise</t>
        </is>
      </c>
      <c r="E2026" s="53" t="n">
        <v>9</v>
      </c>
      <c r="F2026" s="53" t="n">
        <v>0</v>
      </c>
      <c r="G2026" s="55" t="n">
        <v>71.53</v>
      </c>
      <c r="H2026" s="55" t="n">
        <v>0</v>
      </c>
      <c r="I2026" s="53" t="n">
        <v>102</v>
      </c>
      <c r="J2026" s="53" t="n">
        <v>70</v>
      </c>
      <c r="K2026" s="53" t="n">
        <v>9</v>
      </c>
      <c r="L2026" s="53" t="n">
        <v>0</v>
      </c>
      <c r="M2026" s="33">
        <f>F2026-E2026</f>
        <v/>
      </c>
      <c r="N2026" s="33">
        <f>L2026-K2026</f>
        <v/>
      </c>
    </row>
    <row r="2027">
      <c r="A2027" s="58" t="inlineStr">
        <is>
          <t>150648 Brick City Liquors</t>
        </is>
      </c>
      <c r="B2027" s="58" t="inlineStr">
        <is>
          <t>Essex</t>
        </is>
      </c>
      <c r="C2027" s="58" t="inlineStr">
        <is>
          <t>Hakan Sadik</t>
        </is>
      </c>
      <c r="D2027" s="58" t="inlineStr">
        <is>
          <t>Off-premise</t>
        </is>
      </c>
      <c r="E2027" s="53" t="n">
        <v>9</v>
      </c>
      <c r="F2027" s="53" t="n">
        <v>0</v>
      </c>
      <c r="G2027" s="55" t="n">
        <v>62.4</v>
      </c>
      <c r="H2027" s="55" t="n">
        <v>0</v>
      </c>
      <c r="I2027" s="53" t="n">
        <v>404</v>
      </c>
      <c r="J2027" s="53" t="n">
        <v>303</v>
      </c>
      <c r="K2027" s="53" t="n">
        <v>9</v>
      </c>
      <c r="L2027" s="53" t="n">
        <v>0</v>
      </c>
      <c r="M2027" s="33">
        <f>F2027-E2027</f>
        <v/>
      </c>
      <c r="N2027" s="33">
        <f>L2027-K2027</f>
        <v/>
      </c>
    </row>
    <row r="2028">
      <c r="A2028" s="58" t="inlineStr">
        <is>
          <t>230106 Burkes</t>
        </is>
      </c>
      <c r="B2028" s="58" t="inlineStr">
        <is>
          <t>Sussex</t>
        </is>
      </c>
      <c r="C2028" s="58" t="inlineStr">
        <is>
          <t>Jayson Romine</t>
        </is>
      </c>
      <c r="D2028" s="58" t="inlineStr">
        <is>
          <t>Off-premise</t>
        </is>
      </c>
      <c r="E2028" s="53" t="n">
        <v>814</v>
      </c>
      <c r="F2028" s="53" t="n">
        <v>733</v>
      </c>
      <c r="G2028" s="55" t="n">
        <v>5351.64</v>
      </c>
      <c r="H2028" s="55" t="n">
        <v>5011.97</v>
      </c>
      <c r="I2028" s="53" t="n">
        <v>316</v>
      </c>
      <c r="J2028" s="53" t="n">
        <v>332</v>
      </c>
      <c r="K2028" s="53" t="n">
        <v>83</v>
      </c>
      <c r="L2028" s="53" t="n">
        <v>74</v>
      </c>
      <c r="M2028" s="33">
        <f>F2028-E2028</f>
        <v/>
      </c>
      <c r="N2028" s="33">
        <f>L2028-K2028</f>
        <v/>
      </c>
    </row>
    <row r="2029">
      <c r="A2029" s="58" t="inlineStr">
        <is>
          <t>190060 The Wine Cellar</t>
        </is>
      </c>
      <c r="B2029" s="58" t="inlineStr">
        <is>
          <t>Morris</t>
        </is>
      </c>
      <c r="C2029" s="58" t="inlineStr">
        <is>
          <t>John O'Donoghue</t>
        </is>
      </c>
      <c r="D2029" s="58" t="inlineStr">
        <is>
          <t>Unmatched</t>
        </is>
      </c>
      <c r="E2029" s="53" t="n">
        <v>9</v>
      </c>
      <c r="F2029" s="53" t="n">
        <v>0</v>
      </c>
      <c r="G2029" s="55" t="n">
        <v>84.03</v>
      </c>
      <c r="H2029" s="55" t="n">
        <v>0</v>
      </c>
      <c r="I2029" s="53" t="n">
        <v>64</v>
      </c>
      <c r="J2029" s="53" t="n">
        <v>49</v>
      </c>
      <c r="K2029" s="53" t="n">
        <v>9</v>
      </c>
      <c r="L2029" s="53" t="n">
        <v>0</v>
      </c>
      <c r="M2029" s="33">
        <f>F2029-E2029</f>
        <v/>
      </c>
      <c r="N2029" s="33">
        <f>L2029-K2029</f>
        <v/>
      </c>
    </row>
    <row r="2030">
      <c r="A2030" s="58" t="inlineStr">
        <is>
          <t>36006 Wallington Liquor and Wine</t>
        </is>
      </c>
      <c r="B2030" s="58" t="inlineStr">
        <is>
          <t>Bergen</t>
        </is>
      </c>
      <c r="C2030" s="58" t="inlineStr">
        <is>
          <t>Matt Powierski</t>
        </is>
      </c>
      <c r="D2030" s="58" t="inlineStr">
        <is>
          <t>Unmatched</t>
        </is>
      </c>
      <c r="E2030" s="53" t="n">
        <v>1233</v>
      </c>
      <c r="F2030" s="53" t="n">
        <v>1263</v>
      </c>
      <c r="G2030" s="55" t="n">
        <v>8521.99</v>
      </c>
      <c r="H2030" s="55" t="n">
        <v>8953.92</v>
      </c>
      <c r="I2030" s="53" t="n">
        <v>376</v>
      </c>
      <c r="J2030" s="53" t="n">
        <v>538</v>
      </c>
      <c r="K2030" s="53" t="n">
        <v>231</v>
      </c>
      <c r="L2030" s="53" t="n">
        <v>222</v>
      </c>
      <c r="M2030" s="33">
        <f>F2030-E2030</f>
        <v/>
      </c>
      <c r="N2030" s="33">
        <f>L2030-K2030</f>
        <v/>
      </c>
    </row>
    <row r="2031">
      <c r="A2031" s="58" t="inlineStr">
        <is>
          <t>84004 Quick Stop Liquor &amp; Wine</t>
        </is>
      </c>
      <c r="B2031" s="58" t="inlineStr">
        <is>
          <t>Bergen</t>
        </is>
      </c>
      <c r="C2031" s="58" t="inlineStr">
        <is>
          <t>Mike Ast</t>
        </is>
      </c>
      <c r="D2031" s="58" t="inlineStr">
        <is>
          <t>Off-premise</t>
        </is>
      </c>
      <c r="E2031" s="53" t="n">
        <v>914</v>
      </c>
      <c r="F2031" s="53" t="n">
        <v>773</v>
      </c>
      <c r="G2031" s="55" t="n">
        <v>7091.400000000001</v>
      </c>
      <c r="H2031" s="55" t="n">
        <v>6036.56</v>
      </c>
      <c r="I2031" s="53" t="n">
        <v>212</v>
      </c>
      <c r="J2031" s="53" t="n">
        <v>193</v>
      </c>
      <c r="K2031" s="53" t="n">
        <v>161</v>
      </c>
      <c r="L2031" s="53" t="n">
        <v>152</v>
      </c>
      <c r="M2031" s="33">
        <f>F2031-E2031</f>
        <v/>
      </c>
      <c r="N2031" s="33">
        <f>L2031-K2031</f>
        <v/>
      </c>
    </row>
    <row r="2032">
      <c r="A2032" s="58" t="inlineStr">
        <is>
          <t>29014 Bar 503</t>
        </is>
      </c>
      <c r="B2032" s="58" t="inlineStr">
        <is>
          <t>Bergen</t>
        </is>
      </c>
      <c r="C2032" s="58" t="inlineStr">
        <is>
          <t>Nick Melissari</t>
        </is>
      </c>
      <c r="D2032" s="58" t="inlineStr">
        <is>
          <t>Unmatched</t>
        </is>
      </c>
      <c r="E2032" s="53" t="n">
        <v>86</v>
      </c>
      <c r="F2032" s="53" t="n">
        <v>61</v>
      </c>
      <c r="G2032" s="55" t="n">
        <v>666.53</v>
      </c>
      <c r="H2032" s="55" t="n">
        <v>479.91</v>
      </c>
      <c r="I2032" s="53" t="n">
        <v>5</v>
      </c>
      <c r="J2032" s="53" t="n">
        <v>5</v>
      </c>
      <c r="K2032" s="53" t="n">
        <v>43</v>
      </c>
      <c r="L2032" s="53" t="n">
        <v>34</v>
      </c>
      <c r="M2032" s="33">
        <f>F2032-E2032</f>
        <v/>
      </c>
      <c r="N2032" s="33">
        <f>L2032-K2032</f>
        <v/>
      </c>
    </row>
    <row r="2033">
      <c r="A2033" s="58" t="inlineStr">
        <is>
          <t>35006 The Concourse #728</t>
        </is>
      </c>
      <c r="B2033" s="58" t="inlineStr">
        <is>
          <t>Bergen</t>
        </is>
      </c>
      <c r="C2033" s="58" t="inlineStr">
        <is>
          <t>Nick Melissari</t>
        </is>
      </c>
      <c r="D2033" s="58" t="inlineStr">
        <is>
          <t>Unmatched</t>
        </is>
      </c>
      <c r="E2033" s="53" t="n">
        <v>81</v>
      </c>
      <c r="F2033" s="53" t="n">
        <v>64</v>
      </c>
      <c r="G2033" s="55" t="n">
        <v>673.84</v>
      </c>
      <c r="H2033" s="55" t="n">
        <v>567.1700000000001</v>
      </c>
      <c r="I2033" s="53" t="n">
        <v>48</v>
      </c>
      <c r="J2033" s="53" t="n">
        <v>46</v>
      </c>
      <c r="K2033" s="53" t="n">
        <v>34</v>
      </c>
      <c r="L2033" s="53" t="n">
        <v>25</v>
      </c>
      <c r="M2033" s="33">
        <f>F2033-E2033</f>
        <v/>
      </c>
      <c r="N2033" s="33">
        <f>L2033-K2033</f>
        <v/>
      </c>
    </row>
    <row r="2034">
      <c r="A2034" s="58" t="inlineStr">
        <is>
          <t>54012 Axia Taverna</t>
        </is>
      </c>
      <c r="B2034" s="58" t="inlineStr">
        <is>
          <t>Bergen</t>
        </is>
      </c>
      <c r="C2034" s="58" t="inlineStr">
        <is>
          <t>Paul Mclaughlin</t>
        </is>
      </c>
      <c r="D2034" s="58" t="inlineStr">
        <is>
          <t>On-premise</t>
        </is>
      </c>
      <c r="E2034" s="53" t="n">
        <v>19</v>
      </c>
      <c r="F2034" s="53" t="n">
        <v>7</v>
      </c>
      <c r="G2034" s="55" t="n">
        <v>193.52</v>
      </c>
      <c r="H2034" s="55" t="n">
        <v>72.85999999999999</v>
      </c>
      <c r="I2034" s="53" t="n">
        <v>17</v>
      </c>
      <c r="J2034" s="53" t="n">
        <v>14</v>
      </c>
      <c r="K2034" s="53" t="n">
        <v>19</v>
      </c>
      <c r="L2034" s="53" t="n">
        <v>10</v>
      </c>
      <c r="M2034" s="33">
        <f>F2034-E2034</f>
        <v/>
      </c>
      <c r="N2034" s="33">
        <f>L2034-K2034</f>
        <v/>
      </c>
    </row>
    <row r="2035">
      <c r="A2035" s="58" t="inlineStr">
        <is>
          <t>40005 Lazy Lanigans (A)</t>
        </is>
      </c>
      <c r="B2035" s="58" t="inlineStr">
        <is>
          <t>Bergen</t>
        </is>
      </c>
      <c r="C2035" s="58" t="inlineStr">
        <is>
          <t>Paul Mclaughlin</t>
        </is>
      </c>
      <c r="D2035" s="58" t="inlineStr">
        <is>
          <t>On-premise</t>
        </is>
      </c>
      <c r="E2035" s="53" t="n">
        <v>473</v>
      </c>
      <c r="F2035" s="53" t="n">
        <v>525</v>
      </c>
      <c r="G2035" s="55" t="n">
        <v>3641.89</v>
      </c>
      <c r="H2035" s="55" t="n">
        <v>3668.06</v>
      </c>
      <c r="I2035" s="53" t="n">
        <v>83</v>
      </c>
      <c r="J2035" s="53" t="n">
        <v>68</v>
      </c>
      <c r="K2035" s="53" t="n">
        <v>32</v>
      </c>
      <c r="L2035" s="53" t="n">
        <v>23</v>
      </c>
      <c r="M2035" s="33">
        <f>F2035-E2035</f>
        <v/>
      </c>
      <c r="N2035" s="33">
        <f>L2035-K2035</f>
        <v/>
      </c>
    </row>
    <row r="2036">
      <c r="A2036" s="58" t="inlineStr">
        <is>
          <t>39008 Blush Gentleman's Club</t>
        </is>
      </c>
      <c r="B2036" s="58" t="inlineStr">
        <is>
          <t>Bergen</t>
        </is>
      </c>
      <c r="C2036" s="58" t="inlineStr">
        <is>
          <t>Paul Mclaughlin</t>
        </is>
      </c>
      <c r="D2036" s="58" t="inlineStr">
        <is>
          <t>On-premise</t>
        </is>
      </c>
      <c r="E2036" s="53" t="n">
        <v>150</v>
      </c>
      <c r="F2036" s="53" t="n">
        <v>0</v>
      </c>
      <c r="G2036" s="55" t="n">
        <v>1350.83</v>
      </c>
      <c r="H2036" s="55" t="n">
        <v>0</v>
      </c>
      <c r="I2036" s="53" t="n">
        <v>8</v>
      </c>
      <c r="J2036" s="53" t="n">
        <v>0</v>
      </c>
      <c r="K2036" s="53" t="n">
        <v>9</v>
      </c>
      <c r="L2036" s="53" t="n">
        <v>0</v>
      </c>
      <c r="M2036" s="33">
        <f>F2036-E2036</f>
        <v/>
      </c>
      <c r="N2036" s="33">
        <f>L2036-K2036</f>
        <v/>
      </c>
    </row>
    <row r="2037">
      <c r="A2037" s="58" t="inlineStr">
        <is>
          <t>62010 LUCIOS</t>
        </is>
      </c>
      <c r="B2037" s="58" t="inlineStr">
        <is>
          <t>Bergen</t>
        </is>
      </c>
      <c r="C2037" s="58" t="inlineStr">
        <is>
          <t>Paul Mclaughlin</t>
        </is>
      </c>
      <c r="D2037" s="58" t="inlineStr">
        <is>
          <t>On-premise</t>
        </is>
      </c>
      <c r="E2037" s="53" t="n">
        <v>34</v>
      </c>
      <c r="F2037" s="53" t="n">
        <v>6</v>
      </c>
      <c r="G2037" s="55" t="n">
        <v>364.12</v>
      </c>
      <c r="H2037" s="55" t="n">
        <v>72.73999999999999</v>
      </c>
      <c r="I2037" s="53" t="n">
        <v>6</v>
      </c>
      <c r="J2037" s="53" t="n">
        <v>4</v>
      </c>
      <c r="K2037" s="53" t="n">
        <v>11</v>
      </c>
      <c r="L2037" s="53" t="n">
        <v>2</v>
      </c>
      <c r="M2037" s="33">
        <f>F2037-E2037</f>
        <v/>
      </c>
      <c r="N2037" s="33">
        <f>L2037-K2037</f>
        <v/>
      </c>
    </row>
    <row r="2038">
      <c r="A2038" s="58" t="inlineStr">
        <is>
          <t>67014 The Rockleigh C C (P)</t>
        </is>
      </c>
      <c r="B2038" s="58" t="inlineStr">
        <is>
          <t>Bergen</t>
        </is>
      </c>
      <c r="C2038" s="58" t="inlineStr">
        <is>
          <t>Paul Mclaughlin</t>
        </is>
      </c>
      <c r="D2038" s="58" t="inlineStr">
        <is>
          <t>On-premise</t>
        </is>
      </c>
      <c r="E2038" s="53" t="n">
        <v>151</v>
      </c>
      <c r="F2038" s="53" t="n">
        <v>132</v>
      </c>
      <c r="G2038" s="55" t="n">
        <v>1556.74</v>
      </c>
      <c r="H2038" s="55" t="n">
        <v>1336.6</v>
      </c>
      <c r="I2038" s="53" t="n">
        <v>12</v>
      </c>
      <c r="J2038" s="53" t="n">
        <v>14</v>
      </c>
      <c r="K2038" s="53" t="n">
        <v>22</v>
      </c>
      <c r="L2038" s="53" t="n">
        <v>13</v>
      </c>
      <c r="M2038" s="33">
        <f>F2038-E2038</f>
        <v/>
      </c>
      <c r="N2038" s="33">
        <f>L2038-K2038</f>
        <v/>
      </c>
    </row>
    <row r="2039">
      <c r="A2039" s="58" t="inlineStr">
        <is>
          <t>50018 Debonair Music Hall</t>
        </is>
      </c>
      <c r="B2039" s="58" t="inlineStr">
        <is>
          <t>Bergen</t>
        </is>
      </c>
      <c r="C2039" s="58" t="inlineStr">
        <is>
          <t>Paul Mclaughlin</t>
        </is>
      </c>
      <c r="D2039" s="58" t="inlineStr">
        <is>
          <t>On-premise</t>
        </is>
      </c>
      <c r="E2039" s="53" t="n">
        <v>79</v>
      </c>
      <c r="F2039" s="53" t="n">
        <v>68</v>
      </c>
      <c r="G2039" s="55" t="n">
        <v>721.9299999999999</v>
      </c>
      <c r="H2039" s="55" t="n">
        <v>693.4</v>
      </c>
      <c r="I2039" s="53" t="n">
        <v>32</v>
      </c>
      <c r="J2039" s="53" t="n">
        <v>24</v>
      </c>
      <c r="K2039" s="53" t="n">
        <v>18</v>
      </c>
      <c r="L2039" s="53" t="n">
        <v>9</v>
      </c>
      <c r="M2039" s="33">
        <f>F2039-E2039</f>
        <v/>
      </c>
      <c r="N2039" s="33">
        <f>L2039-K2039</f>
        <v/>
      </c>
    </row>
    <row r="2040">
      <c r="A2040" s="58" t="inlineStr">
        <is>
          <t>250140 Station Liquors</t>
        </is>
      </c>
      <c r="B2040" s="58" t="inlineStr">
        <is>
          <t>Union</t>
        </is>
      </c>
      <c r="C2040" s="58" t="inlineStr">
        <is>
          <t>Alex Rodriguez</t>
        </is>
      </c>
      <c r="D2040" s="58" t="inlineStr">
        <is>
          <t>Off-premise</t>
        </is>
      </c>
      <c r="E2040" s="53" t="n">
        <v>10</v>
      </c>
      <c r="F2040" s="53" t="n">
        <v>0</v>
      </c>
      <c r="G2040" s="55" t="n">
        <v>70.36</v>
      </c>
      <c r="H2040" s="55" t="n">
        <v>0</v>
      </c>
      <c r="I2040" s="53" t="n">
        <v>145</v>
      </c>
      <c r="J2040" s="53" t="n">
        <v>119</v>
      </c>
      <c r="K2040" s="53" t="n">
        <v>10</v>
      </c>
      <c r="L2040" s="53" t="n">
        <v>0</v>
      </c>
      <c r="M2040" s="33">
        <f>F2040-E2040</f>
        <v/>
      </c>
      <c r="N2040" s="33">
        <f>L2040-K2040</f>
        <v/>
      </c>
    </row>
    <row r="2041">
      <c r="A2041" s="58" t="inlineStr">
        <is>
          <t>150037 Heller &amp; Heller Liquors (Nutley)</t>
        </is>
      </c>
      <c r="B2041" s="58" t="inlineStr">
        <is>
          <t>Essex</t>
        </is>
      </c>
      <c r="C2041" s="58" t="inlineStr">
        <is>
          <t>Alisa Acciardi</t>
        </is>
      </c>
      <c r="D2041" s="58" t="inlineStr">
        <is>
          <t>Off-premise</t>
        </is>
      </c>
      <c r="E2041" s="53" t="n">
        <v>10</v>
      </c>
      <c r="F2041" s="53" t="n">
        <v>0</v>
      </c>
      <c r="G2041" s="55" t="n">
        <v>69.2</v>
      </c>
      <c r="H2041" s="55" t="n">
        <v>0</v>
      </c>
      <c r="I2041" s="53" t="n">
        <v>106</v>
      </c>
      <c r="J2041" s="53" t="n">
        <v>89</v>
      </c>
      <c r="K2041" s="53" t="n">
        <v>10</v>
      </c>
      <c r="L2041" s="53" t="n">
        <v>0</v>
      </c>
      <c r="M2041" s="33">
        <f>F2041-E2041</f>
        <v/>
      </c>
      <c r="N2041" s="33">
        <f>L2041-K2041</f>
        <v/>
      </c>
    </row>
    <row r="2042">
      <c r="A2042" s="58" t="inlineStr">
        <is>
          <t>170142 Lopez Liquors</t>
        </is>
      </c>
      <c r="B2042" s="58" t="inlineStr">
        <is>
          <t>Hudson</t>
        </is>
      </c>
      <c r="C2042" s="58" t="inlineStr">
        <is>
          <t>Alisa Acciardi</t>
        </is>
      </c>
      <c r="D2042" s="58" t="inlineStr">
        <is>
          <t>Unmatched</t>
        </is>
      </c>
      <c r="E2042" s="53" t="n">
        <v>10</v>
      </c>
      <c r="F2042" s="53" t="n">
        <v>0</v>
      </c>
      <c r="G2042" s="55" t="n">
        <v>70.62</v>
      </c>
      <c r="H2042" s="55" t="n">
        <v>0</v>
      </c>
      <c r="I2042" s="53" t="n">
        <v>19</v>
      </c>
      <c r="J2042" s="53" t="n">
        <v>0</v>
      </c>
      <c r="K2042" s="53" t="n">
        <v>10</v>
      </c>
      <c r="L2042" s="53" t="n">
        <v>0</v>
      </c>
      <c r="M2042" s="33">
        <f>F2042-E2042</f>
        <v/>
      </c>
      <c r="N2042" s="33">
        <f>L2042-K2042</f>
        <v/>
      </c>
    </row>
    <row r="2043">
      <c r="A2043" s="58" t="inlineStr">
        <is>
          <t>12035 Preakness Hills (A) cc</t>
        </is>
      </c>
      <c r="B2043" s="58" t="inlineStr">
        <is>
          <t>Passaic</t>
        </is>
      </c>
      <c r="C2043" s="58" t="inlineStr">
        <is>
          <t>Allison Scott</t>
        </is>
      </c>
      <c r="D2043" s="58" t="inlineStr">
        <is>
          <t>On-premise</t>
        </is>
      </c>
      <c r="E2043" s="53" t="n">
        <v>120</v>
      </c>
      <c r="F2043" s="53" t="n">
        <v>79</v>
      </c>
      <c r="G2043" s="55" t="n">
        <v>1152.69</v>
      </c>
      <c r="H2043" s="55" t="n">
        <v>774.85</v>
      </c>
      <c r="I2043" s="53" t="n">
        <v>25</v>
      </c>
      <c r="J2043" s="53" t="n">
        <v>21</v>
      </c>
      <c r="K2043" s="53" t="n">
        <v>22</v>
      </c>
      <c r="L2043" s="53" t="n">
        <v>12</v>
      </c>
      <c r="M2043" s="33">
        <f>F2043-E2043</f>
        <v/>
      </c>
      <c r="N2043" s="33">
        <f>L2043-K2043</f>
        <v/>
      </c>
    </row>
    <row r="2044">
      <c r="A2044" s="58" t="inlineStr">
        <is>
          <t>22016 Johnny A's (P) Hitchn Pos</t>
        </is>
      </c>
      <c r="B2044" s="58" t="inlineStr">
        <is>
          <t>Passaic</t>
        </is>
      </c>
      <c r="C2044" s="58" t="inlineStr">
        <is>
          <t>Allison Scott</t>
        </is>
      </c>
      <c r="D2044" s="58" t="inlineStr">
        <is>
          <t>On-premise</t>
        </is>
      </c>
      <c r="E2044" s="53" t="n">
        <v>894</v>
      </c>
      <c r="F2044" s="53" t="n">
        <v>839</v>
      </c>
      <c r="G2044" s="55" t="n">
        <v>7222.41</v>
      </c>
      <c r="H2044" s="55" t="n">
        <v>6832.219999999999</v>
      </c>
      <c r="I2044" s="53" t="n">
        <v>98</v>
      </c>
      <c r="J2044" s="53" t="n">
        <v>90</v>
      </c>
      <c r="K2044" s="53" t="n">
        <v>91</v>
      </c>
      <c r="L2044" s="53" t="n">
        <v>81</v>
      </c>
      <c r="M2044" s="33">
        <f>F2044-E2044</f>
        <v/>
      </c>
      <c r="N2044" s="33">
        <f>L2044-K2044</f>
        <v/>
      </c>
    </row>
    <row r="2045">
      <c r="A2045" s="58" t="inlineStr">
        <is>
          <t>12051 Packanack Golf (P)</t>
        </is>
      </c>
      <c r="B2045" s="58" t="inlineStr">
        <is>
          <t>Passaic</t>
        </is>
      </c>
      <c r="C2045" s="58" t="inlineStr">
        <is>
          <t>Allison Scott</t>
        </is>
      </c>
      <c r="D2045" s="58" t="inlineStr">
        <is>
          <t>On-premise</t>
        </is>
      </c>
      <c r="E2045" s="53" t="n">
        <v>131</v>
      </c>
      <c r="F2045" s="53" t="n">
        <v>59</v>
      </c>
      <c r="G2045" s="55" t="n">
        <v>545.55</v>
      </c>
      <c r="H2045" s="55" t="n">
        <v>226.56</v>
      </c>
      <c r="I2045" s="53" t="n">
        <v>33</v>
      </c>
      <c r="J2045" s="53" t="n">
        <v>84</v>
      </c>
      <c r="K2045" s="53" t="n">
        <v>14</v>
      </c>
      <c r="L2045" s="53" t="n">
        <v>4</v>
      </c>
      <c r="M2045" s="33">
        <f>F2045-E2045</f>
        <v/>
      </c>
      <c r="N2045" s="33">
        <f>L2045-K2045</f>
        <v/>
      </c>
    </row>
    <row r="2046">
      <c r="A2046" s="58" t="inlineStr">
        <is>
          <t>250081 Wine Depot Of Union</t>
        </is>
      </c>
      <c r="B2046" s="58" t="inlineStr">
        <is>
          <t>Union</t>
        </is>
      </c>
      <c r="C2046" s="58" t="inlineStr">
        <is>
          <t>Andrew Lundy</t>
        </is>
      </c>
      <c r="D2046" s="58" t="inlineStr">
        <is>
          <t>Unmatched</t>
        </is>
      </c>
      <c r="E2046" s="53" t="n">
        <v>10</v>
      </c>
      <c r="F2046" s="53" t="n">
        <v>0</v>
      </c>
      <c r="G2046" s="55" t="n">
        <v>69.91</v>
      </c>
      <c r="H2046" s="55" t="n">
        <v>0</v>
      </c>
      <c r="I2046" s="53" t="n">
        <v>17</v>
      </c>
      <c r="J2046" s="53" t="n">
        <v>0</v>
      </c>
      <c r="K2046" s="53" t="n">
        <v>10</v>
      </c>
      <c r="L2046" s="53" t="n">
        <v>0</v>
      </c>
      <c r="M2046" s="33">
        <f>F2046-E2046</f>
        <v/>
      </c>
      <c r="N2046" s="33">
        <f>L2046-K2046</f>
        <v/>
      </c>
    </row>
    <row r="2047">
      <c r="A2047" s="58" t="inlineStr">
        <is>
          <t>250167 Village Liquors (Union)</t>
        </is>
      </c>
      <c r="B2047" s="58" t="inlineStr">
        <is>
          <t>Union</t>
        </is>
      </c>
      <c r="C2047" s="58" t="inlineStr">
        <is>
          <t>Andrew Lundy</t>
        </is>
      </c>
      <c r="D2047" s="58" t="inlineStr">
        <is>
          <t>Unmatched</t>
        </is>
      </c>
      <c r="E2047" s="53" t="n">
        <v>10</v>
      </c>
      <c r="F2047" s="53" t="n">
        <v>0</v>
      </c>
      <c r="G2047" s="55" t="n">
        <v>70.40000000000001</v>
      </c>
      <c r="H2047" s="55" t="n">
        <v>0</v>
      </c>
      <c r="I2047" s="53" t="n">
        <v>15</v>
      </c>
      <c r="J2047" s="53" t="n">
        <v>0</v>
      </c>
      <c r="K2047" s="53" t="n">
        <v>10</v>
      </c>
      <c r="L2047" s="53" t="n">
        <v>0</v>
      </c>
      <c r="M2047" s="33">
        <f>F2047-E2047</f>
        <v/>
      </c>
      <c r="N2047" s="33">
        <f>L2047-K2047</f>
        <v/>
      </c>
    </row>
    <row r="2048">
      <c r="A2048" s="58" t="inlineStr">
        <is>
          <t>1004 The Vreeland Store</t>
        </is>
      </c>
      <c r="B2048" s="58" t="inlineStr">
        <is>
          <t>Passaic</t>
        </is>
      </c>
      <c r="C2048" s="58" t="inlineStr">
        <is>
          <t>Anthony Palmisano</t>
        </is>
      </c>
      <c r="D2048" s="58" t="inlineStr">
        <is>
          <t>On-premise</t>
        </is>
      </c>
      <c r="E2048" s="53" t="n">
        <v>37</v>
      </c>
      <c r="F2048" s="53" t="n">
        <v>19</v>
      </c>
      <c r="G2048" s="55" t="n">
        <v>341.8</v>
      </c>
      <c r="H2048" s="55" t="n">
        <v>183.7</v>
      </c>
      <c r="I2048" s="53" t="n">
        <v>21</v>
      </c>
      <c r="J2048" s="53" t="n">
        <v>9</v>
      </c>
      <c r="K2048" s="53" t="n">
        <v>19</v>
      </c>
      <c r="L2048" s="53" t="n">
        <v>9</v>
      </c>
      <c r="M2048" s="33">
        <f>F2048-E2048</f>
        <v/>
      </c>
      <c r="N2048" s="33">
        <f>L2048-K2048</f>
        <v/>
      </c>
    </row>
    <row r="2049">
      <c r="A2049" s="58" t="inlineStr">
        <is>
          <t>2004 Sam's Bar and Grill</t>
        </is>
      </c>
      <c r="B2049" s="58" t="inlineStr">
        <is>
          <t>Passaic</t>
        </is>
      </c>
      <c r="C2049" s="58" t="inlineStr">
        <is>
          <t>Anthony Palmisano</t>
        </is>
      </c>
      <c r="D2049" s="58" t="inlineStr">
        <is>
          <t>On-premise</t>
        </is>
      </c>
      <c r="E2049" s="53" t="n">
        <v>386</v>
      </c>
      <c r="F2049" s="53" t="n">
        <v>251</v>
      </c>
      <c r="G2049" s="55" t="n">
        <v>2757.76</v>
      </c>
      <c r="H2049" s="55" t="n">
        <v>1636.99</v>
      </c>
      <c r="I2049" s="53" t="n">
        <v>130</v>
      </c>
      <c r="J2049" s="53" t="n">
        <v>67</v>
      </c>
      <c r="K2049" s="53" t="n">
        <v>32</v>
      </c>
      <c r="L2049" s="53" t="n">
        <v>22</v>
      </c>
      <c r="M2049" s="33">
        <f>F2049-E2049</f>
        <v/>
      </c>
      <c r="N2049" s="33">
        <f>L2049-K2049</f>
        <v/>
      </c>
    </row>
    <row r="2050">
      <c r="A2050" s="58" t="inlineStr">
        <is>
          <t>1033 D'Boathaus Restaurant</t>
        </is>
      </c>
      <c r="B2050" s="58" t="inlineStr">
        <is>
          <t>Passaic</t>
        </is>
      </c>
      <c r="C2050" s="58" t="inlineStr">
        <is>
          <t>Anthony Palmisano</t>
        </is>
      </c>
      <c r="D2050" s="58" t="inlineStr">
        <is>
          <t>On-premise</t>
        </is>
      </c>
      <c r="E2050" s="53" t="n">
        <v>203</v>
      </c>
      <c r="F2050" s="53" t="n">
        <v>206</v>
      </c>
      <c r="G2050" s="55" t="n">
        <v>1892.27</v>
      </c>
      <c r="H2050" s="55" t="n">
        <v>1955.14</v>
      </c>
      <c r="I2050" s="53" t="n">
        <v>55</v>
      </c>
      <c r="J2050" s="53" t="n">
        <v>56</v>
      </c>
      <c r="K2050" s="53" t="n">
        <v>18</v>
      </c>
      <c r="L2050" s="53" t="n">
        <v>8</v>
      </c>
      <c r="M2050" s="33">
        <f>F2050-E2050</f>
        <v/>
      </c>
      <c r="N2050" s="33">
        <f>L2050-K2050</f>
        <v/>
      </c>
    </row>
    <row r="2051">
      <c r="A2051" s="58" t="inlineStr">
        <is>
          <t>190706 Mill Lane Tavern</t>
        </is>
      </c>
      <c r="B2051" s="58" t="inlineStr">
        <is>
          <t>Morris</t>
        </is>
      </c>
      <c r="C2051" s="58" t="inlineStr">
        <is>
          <t>Brian Sengebush</t>
        </is>
      </c>
      <c r="D2051" s="58" t="inlineStr">
        <is>
          <t>On-premise</t>
        </is>
      </c>
      <c r="E2051" s="53" t="n">
        <v>358</v>
      </c>
      <c r="F2051" s="53" t="n">
        <v>290</v>
      </c>
      <c r="G2051" s="55" t="n">
        <v>2479.94</v>
      </c>
      <c r="H2051" s="55" t="n">
        <v>1946.49</v>
      </c>
      <c r="I2051" s="53" t="n">
        <v>55</v>
      </c>
      <c r="J2051" s="53" t="n">
        <v>27</v>
      </c>
      <c r="K2051" s="53" t="n">
        <v>12</v>
      </c>
      <c r="L2051" s="53" t="n">
        <v>2</v>
      </c>
      <c r="M2051" s="33">
        <f>F2051-E2051</f>
        <v/>
      </c>
      <c r="N2051" s="33">
        <f>L2051-K2051</f>
        <v/>
      </c>
    </row>
    <row r="2052">
      <c r="A2052" s="58" t="inlineStr">
        <is>
          <t>190709 Adams (P)</t>
        </is>
      </c>
      <c r="B2052" s="58" t="inlineStr">
        <is>
          <t>Morris</t>
        </is>
      </c>
      <c r="C2052" s="58" t="inlineStr">
        <is>
          <t>Brian Sengebush</t>
        </is>
      </c>
      <c r="D2052" s="58" t="inlineStr">
        <is>
          <t>On-premise</t>
        </is>
      </c>
      <c r="E2052" s="53" t="n">
        <v>415</v>
      </c>
      <c r="F2052" s="53" t="n">
        <v>303</v>
      </c>
      <c r="G2052" s="55" t="n">
        <v>2390.24</v>
      </c>
      <c r="H2052" s="55" t="n">
        <v>1828.04</v>
      </c>
      <c r="I2052" s="53" t="n">
        <v>93</v>
      </c>
      <c r="J2052" s="53" t="n">
        <v>53</v>
      </c>
      <c r="K2052" s="53" t="n">
        <v>40</v>
      </c>
      <c r="L2052" s="53" t="n">
        <v>30</v>
      </c>
      <c r="M2052" s="33">
        <f>F2052-E2052</f>
        <v/>
      </c>
      <c r="N2052" s="33">
        <f>L2052-K2052</f>
        <v/>
      </c>
    </row>
    <row r="2053">
      <c r="A2053" s="58" t="inlineStr">
        <is>
          <t>231719 Layton Tavern</t>
        </is>
      </c>
      <c r="B2053" s="58" t="inlineStr">
        <is>
          <t>Sussex</t>
        </is>
      </c>
      <c r="C2053" s="58" t="inlineStr">
        <is>
          <t>Brian Sengebush</t>
        </is>
      </c>
      <c r="D2053" s="58" t="inlineStr">
        <is>
          <t>On-premise</t>
        </is>
      </c>
      <c r="E2053" s="53" t="n">
        <v>485</v>
      </c>
      <c r="F2053" s="53" t="n">
        <v>286</v>
      </c>
      <c r="G2053" s="55" t="n">
        <v>2707.22</v>
      </c>
      <c r="H2053" s="55" t="n">
        <v>1774.52</v>
      </c>
      <c r="I2053" s="53" t="n">
        <v>42</v>
      </c>
      <c r="J2053" s="53" t="n">
        <v>55</v>
      </c>
      <c r="K2053" s="53" t="n">
        <v>28</v>
      </c>
      <c r="L2053" s="53" t="n">
        <v>18</v>
      </c>
      <c r="M2053" s="33">
        <f>F2053-E2053</f>
        <v/>
      </c>
      <c r="N2053" s="33">
        <f>L2053-K2053</f>
        <v/>
      </c>
    </row>
    <row r="2054">
      <c r="A2054" s="58" t="inlineStr">
        <is>
          <t>230426 The Newton Theatre</t>
        </is>
      </c>
      <c r="B2054" s="58" t="inlineStr">
        <is>
          <t>Sussex</t>
        </is>
      </c>
      <c r="C2054" s="58" t="inlineStr">
        <is>
          <t>Brian Sengebush</t>
        </is>
      </c>
      <c r="D2054" s="58" t="inlineStr">
        <is>
          <t>On-premise</t>
        </is>
      </c>
      <c r="E2054" s="53" t="n">
        <v>57</v>
      </c>
      <c r="F2054" s="53" t="n">
        <v>39</v>
      </c>
      <c r="G2054" s="55" t="n">
        <v>415.17</v>
      </c>
      <c r="H2054" s="55" t="n">
        <v>290.17</v>
      </c>
      <c r="I2054" s="53" t="n">
        <v>6</v>
      </c>
      <c r="J2054" s="53" t="n">
        <v>8</v>
      </c>
      <c r="K2054" s="53" t="n">
        <v>10</v>
      </c>
      <c r="L2054" s="53" t="n">
        <v>0</v>
      </c>
      <c r="M2054" s="33">
        <f>F2054-E2054</f>
        <v/>
      </c>
      <c r="N2054" s="33">
        <f>L2054-K2054</f>
        <v/>
      </c>
    </row>
    <row r="2055">
      <c r="A2055" s="58" t="inlineStr">
        <is>
          <t>44039 Villa Amalfi</t>
        </is>
      </c>
      <c r="B2055" s="58" t="inlineStr">
        <is>
          <t>Bergen</t>
        </is>
      </c>
      <c r="C2055" s="58" t="inlineStr">
        <is>
          <t>Dan Lagala</t>
        </is>
      </c>
      <c r="D2055" s="58" t="inlineStr">
        <is>
          <t>On-premise</t>
        </is>
      </c>
      <c r="E2055" s="53" t="n">
        <v>44</v>
      </c>
      <c r="F2055" s="53" t="n">
        <v>21</v>
      </c>
      <c r="G2055" s="55" t="n">
        <v>351.28</v>
      </c>
      <c r="H2055" s="55" t="n">
        <v>200.67</v>
      </c>
      <c r="I2055" s="53" t="n">
        <v>5</v>
      </c>
      <c r="J2055" s="53" t="n">
        <v>0</v>
      </c>
      <c r="K2055" s="53" t="n">
        <v>16</v>
      </c>
      <c r="L2055" s="53" t="n">
        <v>6</v>
      </c>
      <c r="M2055" s="33">
        <f>F2055-E2055</f>
        <v/>
      </c>
      <c r="N2055" s="33">
        <f>L2055-K2055</f>
        <v/>
      </c>
    </row>
    <row r="2056">
      <c r="A2056" s="58" t="inlineStr">
        <is>
          <t>170199 H &amp; H Discount Liq (P)</t>
        </is>
      </c>
      <c r="B2056" s="58" t="inlineStr">
        <is>
          <t>Hudson</t>
        </is>
      </c>
      <c r="C2056" s="58" t="inlineStr">
        <is>
          <t>Dylan Rubino</t>
        </is>
      </c>
      <c r="D2056" s="58" t="inlineStr">
        <is>
          <t>Off-premise</t>
        </is>
      </c>
      <c r="E2056" s="53" t="n">
        <v>29</v>
      </c>
      <c r="F2056" s="53" t="n">
        <v>19</v>
      </c>
      <c r="G2056" s="55" t="n">
        <v>214.68</v>
      </c>
      <c r="H2056" s="55" t="n">
        <v>143.1</v>
      </c>
      <c r="I2056" s="53" t="n">
        <v>25</v>
      </c>
      <c r="J2056" s="53" t="n">
        <v>13</v>
      </c>
      <c r="K2056" s="53" t="n">
        <v>29</v>
      </c>
      <c r="L2056" s="53" t="n">
        <v>19</v>
      </c>
      <c r="M2056" s="33">
        <f>F2056-E2056</f>
        <v/>
      </c>
      <c r="N2056" s="33">
        <f>L2056-K2056</f>
        <v/>
      </c>
    </row>
    <row r="2057">
      <c r="A2057" s="58" t="inlineStr">
        <is>
          <t>150132 Boot Leggers W/L</t>
        </is>
      </c>
      <c r="B2057" s="58" t="inlineStr">
        <is>
          <t>Essex</t>
        </is>
      </c>
      <c r="C2057" s="58" t="inlineStr">
        <is>
          <t>Hakan Sadik</t>
        </is>
      </c>
      <c r="D2057" s="58" t="inlineStr">
        <is>
          <t>Off-premise</t>
        </is>
      </c>
      <c r="E2057" s="53" t="n">
        <v>10</v>
      </c>
      <c r="F2057" s="53" t="n">
        <v>0</v>
      </c>
      <c r="G2057" s="55" t="n">
        <v>87.75</v>
      </c>
      <c r="H2057" s="55" t="n">
        <v>0</v>
      </c>
      <c r="I2057" s="53" t="n">
        <v>1028</v>
      </c>
      <c r="J2057" s="53" t="n">
        <v>969</v>
      </c>
      <c r="K2057" s="53" t="n">
        <v>10</v>
      </c>
      <c r="L2057" s="53" t="n">
        <v>0</v>
      </c>
      <c r="M2057" s="33">
        <f>F2057-E2057</f>
        <v/>
      </c>
      <c r="N2057" s="33">
        <f>L2057-K2057</f>
        <v/>
      </c>
    </row>
    <row r="2058">
      <c r="A2058" s="58" t="inlineStr">
        <is>
          <t>150612 All Brothers Ii (Irvington)</t>
        </is>
      </c>
      <c r="B2058" s="58" t="inlineStr">
        <is>
          <t>Essex</t>
        </is>
      </c>
      <c r="C2058" s="58" t="inlineStr">
        <is>
          <t>Hakan Sadik</t>
        </is>
      </c>
      <c r="D2058" s="58" t="inlineStr">
        <is>
          <t>Off-premise</t>
        </is>
      </c>
      <c r="E2058" s="53" t="n">
        <v>10</v>
      </c>
      <c r="F2058" s="53" t="n">
        <v>0</v>
      </c>
      <c r="G2058" s="55" t="n">
        <v>85.31999999999999</v>
      </c>
      <c r="H2058" s="55" t="n">
        <v>0</v>
      </c>
      <c r="I2058" s="53" t="n">
        <v>154</v>
      </c>
      <c r="J2058" s="53" t="n">
        <v>208</v>
      </c>
      <c r="K2058" s="53" t="n">
        <v>10</v>
      </c>
      <c r="L2058" s="53" t="n">
        <v>0</v>
      </c>
      <c r="M2058" s="33">
        <f>F2058-E2058</f>
        <v/>
      </c>
      <c r="N2058" s="33">
        <f>L2058-K2058</f>
        <v/>
      </c>
    </row>
    <row r="2059">
      <c r="A2059" s="58" t="inlineStr">
        <is>
          <t>150633 Wine Warehouse (Newark)</t>
        </is>
      </c>
      <c r="B2059" s="58" t="inlineStr">
        <is>
          <t>Essex</t>
        </is>
      </c>
      <c r="C2059" s="58" t="inlineStr">
        <is>
          <t>Hakan Sadik</t>
        </is>
      </c>
      <c r="D2059" s="58" t="inlineStr">
        <is>
          <t>Off-premise</t>
        </is>
      </c>
      <c r="E2059" s="53" t="n">
        <v>10</v>
      </c>
      <c r="F2059" s="53" t="n">
        <v>0</v>
      </c>
      <c r="G2059" s="55" t="n">
        <v>71.59999999999999</v>
      </c>
      <c r="H2059" s="55" t="n">
        <v>0</v>
      </c>
      <c r="I2059" s="53" t="n">
        <v>154</v>
      </c>
      <c r="J2059" s="53" t="n">
        <v>90</v>
      </c>
      <c r="K2059" s="53" t="n">
        <v>10</v>
      </c>
      <c r="L2059" s="53" t="n">
        <v>0</v>
      </c>
      <c r="M2059" s="33">
        <f>F2059-E2059</f>
        <v/>
      </c>
      <c r="N2059" s="33">
        <f>L2059-K2059</f>
        <v/>
      </c>
    </row>
    <row r="2060">
      <c r="A2060" s="58" t="inlineStr">
        <is>
          <t>27040 Danny's Liquor</t>
        </is>
      </c>
      <c r="B2060" s="58" t="inlineStr">
        <is>
          <t>Passaic</t>
        </is>
      </c>
      <c r="C2060" s="58" t="inlineStr">
        <is>
          <t>Javier Melo</t>
        </is>
      </c>
      <c r="D2060" s="58" t="inlineStr">
        <is>
          <t>Off-premise</t>
        </is>
      </c>
      <c r="E2060" s="53" t="n">
        <v>4457</v>
      </c>
      <c r="F2060" s="53" t="n">
        <v>4108</v>
      </c>
      <c r="G2060" s="55" t="n">
        <v>27847.98</v>
      </c>
      <c r="H2060" s="55" t="n">
        <v>27083.27</v>
      </c>
      <c r="I2060" s="53" t="n">
        <v>471</v>
      </c>
      <c r="J2060" s="53" t="n">
        <v>365</v>
      </c>
      <c r="K2060" s="53" t="n">
        <v>812</v>
      </c>
      <c r="L2060" s="53" t="n">
        <v>802</v>
      </c>
      <c r="M2060" s="33">
        <f>F2060-E2060</f>
        <v/>
      </c>
      <c r="N2060" s="33">
        <f>L2060-K2060</f>
        <v/>
      </c>
    </row>
    <row r="2061">
      <c r="A2061" s="58" t="inlineStr">
        <is>
          <t>190040 Four Seasons Wine &amp; Liq</t>
        </is>
      </c>
      <c r="B2061" s="58" t="inlineStr">
        <is>
          <t>Morris</t>
        </is>
      </c>
      <c r="C2061" s="58" t="inlineStr">
        <is>
          <t>John O'Donoghue</t>
        </is>
      </c>
      <c r="D2061" s="58" t="inlineStr">
        <is>
          <t>Unmatched</t>
        </is>
      </c>
      <c r="E2061" s="53" t="n">
        <v>10</v>
      </c>
      <c r="F2061" s="53" t="n">
        <v>0</v>
      </c>
      <c r="G2061" s="55" t="n">
        <v>71.08</v>
      </c>
      <c r="H2061" s="55" t="n">
        <v>0</v>
      </c>
      <c r="I2061" s="53" t="n">
        <v>80</v>
      </c>
      <c r="J2061" s="53" t="n">
        <v>64</v>
      </c>
      <c r="K2061" s="53" t="n">
        <v>10</v>
      </c>
      <c r="L2061" s="53" t="n">
        <v>0</v>
      </c>
      <c r="M2061" s="33">
        <f>F2061-E2061</f>
        <v/>
      </c>
      <c r="N2061" s="33">
        <f>L2061-K2061</f>
        <v/>
      </c>
    </row>
    <row r="2062">
      <c r="A2062" s="58" t="inlineStr">
        <is>
          <t>190616 Partners Discount Liquors</t>
        </is>
      </c>
      <c r="B2062" s="58" t="inlineStr">
        <is>
          <t>Morris</t>
        </is>
      </c>
      <c r="C2062" s="58" t="inlineStr">
        <is>
          <t>John O'Donoghue</t>
        </is>
      </c>
      <c r="D2062" s="58" t="inlineStr">
        <is>
          <t>Unmatched</t>
        </is>
      </c>
      <c r="E2062" s="53" t="n">
        <v>20</v>
      </c>
      <c r="F2062" s="53" t="n">
        <v>10</v>
      </c>
      <c r="G2062" s="55" t="n">
        <v>140.52</v>
      </c>
      <c r="H2062" s="55" t="n">
        <v>70.37</v>
      </c>
      <c r="I2062" s="53" t="n">
        <v>203</v>
      </c>
      <c r="J2062" s="53" t="n">
        <v>333</v>
      </c>
      <c r="K2062" s="53" t="n">
        <v>20</v>
      </c>
      <c r="L2062" s="53" t="n">
        <v>10</v>
      </c>
      <c r="M2062" s="33">
        <f>F2062-E2062</f>
        <v/>
      </c>
      <c r="N2062" s="33">
        <f>L2062-K2062</f>
        <v/>
      </c>
    </row>
    <row r="2063">
      <c r="A2063" s="58" t="inlineStr">
        <is>
          <t>191835 The Village Liquor Store_2</t>
        </is>
      </c>
      <c r="B2063" s="58" t="inlineStr">
        <is>
          <t>Morris</t>
        </is>
      </c>
      <c r="C2063" s="58" t="inlineStr">
        <is>
          <t>John O'Donoghue</t>
        </is>
      </c>
      <c r="D2063" s="58" t="inlineStr">
        <is>
          <t>Unmatched</t>
        </is>
      </c>
      <c r="E2063" s="53" t="n">
        <v>30</v>
      </c>
      <c r="F2063" s="53" t="n">
        <v>20</v>
      </c>
      <c r="G2063" s="55" t="n">
        <v>219.72</v>
      </c>
      <c r="H2063" s="55" t="n">
        <v>141.48</v>
      </c>
      <c r="I2063" s="53" t="n">
        <v>734</v>
      </c>
      <c r="J2063" s="53" t="n">
        <v>811</v>
      </c>
      <c r="K2063" s="53" t="n">
        <v>30</v>
      </c>
      <c r="L2063" s="53" t="n">
        <v>20</v>
      </c>
      <c r="M2063" s="33">
        <f>F2063-E2063</f>
        <v/>
      </c>
      <c r="N2063" s="33">
        <f>L2063-K2063</f>
        <v/>
      </c>
    </row>
    <row r="2064">
      <c r="A2064" s="58" t="inlineStr">
        <is>
          <t>190101 Montville Wine &amp; Spirits</t>
        </is>
      </c>
      <c r="B2064" s="58" t="inlineStr">
        <is>
          <t>Morris</t>
        </is>
      </c>
      <c r="C2064" s="58" t="inlineStr">
        <is>
          <t>Klejdi Lamo</t>
        </is>
      </c>
      <c r="D2064" s="58" t="inlineStr">
        <is>
          <t>Off-premise</t>
        </is>
      </c>
      <c r="E2064" s="53" t="n">
        <v>1954</v>
      </c>
      <c r="F2064" s="53" t="n">
        <v>1729</v>
      </c>
      <c r="G2064" s="55" t="n">
        <v>13158.1</v>
      </c>
      <c r="H2064" s="55" t="n">
        <v>12288.55</v>
      </c>
      <c r="I2064" s="53" t="n">
        <v>397</v>
      </c>
      <c r="J2064" s="53" t="n">
        <v>441</v>
      </c>
      <c r="K2064" s="53" t="n">
        <v>397</v>
      </c>
      <c r="L2064" s="53" t="n">
        <v>387</v>
      </c>
      <c r="M2064" s="33">
        <f>F2064-E2064</f>
        <v/>
      </c>
      <c r="N2064" s="33">
        <f>L2064-K2064</f>
        <v/>
      </c>
    </row>
    <row r="2065">
      <c r="A2065" s="58" t="inlineStr">
        <is>
          <t>150048 Cedar Grove Wine Cellar</t>
        </is>
      </c>
      <c r="B2065" s="58" t="inlineStr">
        <is>
          <t>Essex</t>
        </is>
      </c>
      <c r="C2065" s="58" t="inlineStr">
        <is>
          <t>Michael Harboy</t>
        </is>
      </c>
      <c r="D2065" s="58" t="inlineStr">
        <is>
          <t>Off-premise</t>
        </is>
      </c>
      <c r="E2065" s="53" t="n">
        <v>20</v>
      </c>
      <c r="F2065" s="53" t="n">
        <v>10</v>
      </c>
      <c r="G2065" s="55" t="n">
        <v>155.07</v>
      </c>
      <c r="H2065" s="55" t="n">
        <v>83.56999999999999</v>
      </c>
      <c r="I2065" s="53" t="n">
        <v>264</v>
      </c>
      <c r="J2065" s="53" t="n">
        <v>295</v>
      </c>
      <c r="K2065" s="53" t="n">
        <v>20</v>
      </c>
      <c r="L2065" s="53" t="n">
        <v>10</v>
      </c>
      <c r="M2065" s="33">
        <f>F2065-E2065</f>
        <v/>
      </c>
      <c r="N2065" s="33">
        <f>L2065-K2065</f>
        <v/>
      </c>
    </row>
    <row r="2066">
      <c r="A2066" s="58" t="inlineStr">
        <is>
          <t>93006 Mahwah Wine &amp; Liquor (A)</t>
        </is>
      </c>
      <c r="B2066" s="58" t="inlineStr">
        <is>
          <t>Bergen</t>
        </is>
      </c>
      <c r="C2066" s="58" t="inlineStr">
        <is>
          <t>Mike Ast</t>
        </is>
      </c>
      <c r="D2066" s="58" t="inlineStr">
        <is>
          <t>Off-premise</t>
        </is>
      </c>
      <c r="E2066" s="53" t="n">
        <v>1656</v>
      </c>
      <c r="F2066" s="53" t="n">
        <v>1391</v>
      </c>
      <c r="G2066" s="55" t="n">
        <v>11378.8</v>
      </c>
      <c r="H2066" s="55" t="n">
        <v>9727.339999999998</v>
      </c>
      <c r="I2066" s="53" t="n">
        <v>346</v>
      </c>
      <c r="J2066" s="53" t="n">
        <v>287</v>
      </c>
      <c r="K2066" s="53" t="n">
        <v>138</v>
      </c>
      <c r="L2066" s="53" t="n">
        <v>128</v>
      </c>
      <c r="M2066" s="33">
        <f>F2066-E2066</f>
        <v/>
      </c>
      <c r="N2066" s="33">
        <f>L2066-K2066</f>
        <v/>
      </c>
    </row>
    <row r="2067">
      <c r="A2067" s="58" t="inlineStr">
        <is>
          <t>84008 The Wine Seller</t>
        </is>
      </c>
      <c r="B2067" s="58" t="inlineStr">
        <is>
          <t>Bergen</t>
        </is>
      </c>
      <c r="C2067" s="58" t="inlineStr">
        <is>
          <t>Mike Ast</t>
        </is>
      </c>
      <c r="D2067" s="58" t="inlineStr">
        <is>
          <t>Off-premise</t>
        </is>
      </c>
      <c r="E2067" s="53" t="n">
        <v>181</v>
      </c>
      <c r="F2067" s="53" t="n">
        <v>137</v>
      </c>
      <c r="G2067" s="55" t="n">
        <v>1323.3</v>
      </c>
      <c r="H2067" s="55" t="n">
        <v>1079.08</v>
      </c>
      <c r="I2067" s="53" t="n">
        <v>73</v>
      </c>
      <c r="J2067" s="53" t="n">
        <v>67</v>
      </c>
      <c r="K2067" s="53" t="n">
        <v>29</v>
      </c>
      <c r="L2067" s="53" t="n">
        <v>19</v>
      </c>
      <c r="M2067" s="33">
        <f>F2067-E2067</f>
        <v/>
      </c>
      <c r="N2067" s="33">
        <f>L2067-K2067</f>
        <v/>
      </c>
    </row>
    <row r="2068">
      <c r="A2068" s="58" t="inlineStr">
        <is>
          <t>74010 Osteria Crescendo</t>
        </is>
      </c>
      <c r="B2068" s="58" t="inlineStr">
        <is>
          <t>Bergen</t>
        </is>
      </c>
      <c r="C2068" s="58" t="inlineStr">
        <is>
          <t>Paul Mclaughlin</t>
        </is>
      </c>
      <c r="D2068" s="58" t="inlineStr">
        <is>
          <t>On-premise</t>
        </is>
      </c>
      <c r="E2068" s="53" t="n">
        <v>25</v>
      </c>
      <c r="F2068" s="53" t="n">
        <v>15</v>
      </c>
      <c r="G2068" s="55" t="n">
        <v>275.38</v>
      </c>
      <c r="H2068" s="55" t="n">
        <v>194.11</v>
      </c>
      <c r="I2068" s="53" t="n">
        <v>9</v>
      </c>
      <c r="J2068" s="53" t="n">
        <v>7</v>
      </c>
      <c r="K2068" s="53" t="n">
        <v>25</v>
      </c>
      <c r="L2068" s="53" t="n">
        <v>15</v>
      </c>
      <c r="M2068" s="33">
        <f>F2068-E2068</f>
        <v/>
      </c>
      <c r="N2068" s="33">
        <f>L2068-K2068</f>
        <v/>
      </c>
    </row>
    <row r="2069">
      <c r="A2069" s="58" t="inlineStr">
        <is>
          <t>191527 Garden State Yacht Club</t>
        </is>
      </c>
      <c r="B2069" s="58" t="inlineStr">
        <is>
          <t>Sussex</t>
        </is>
      </c>
      <c r="C2069" s="58" t="inlineStr">
        <is>
          <t>Robin Feldman</t>
        </is>
      </c>
      <c r="D2069" s="58" t="inlineStr">
        <is>
          <t>On-premise</t>
        </is>
      </c>
      <c r="E2069" s="53" t="n">
        <v>0</v>
      </c>
      <c r="F2069" s="53" t="n">
        <v>-16</v>
      </c>
      <c r="G2069" s="55" t="n">
        <v>0</v>
      </c>
      <c r="H2069" s="55" t="n">
        <v>-146.74</v>
      </c>
      <c r="I2069" s="53" t="n">
        <v>0</v>
      </c>
      <c r="J2069" s="53" t="n">
        <v>0</v>
      </c>
      <c r="K2069" s="53" t="n">
        <v>0</v>
      </c>
      <c r="L2069" s="53" t="n">
        <v>-10</v>
      </c>
      <c r="M2069" s="33">
        <f>F2069-E2069</f>
        <v/>
      </c>
      <c r="N2069" s="33">
        <f>L2069-K2069</f>
        <v/>
      </c>
    </row>
    <row r="2070">
      <c r="A2070" s="58" t="inlineStr">
        <is>
          <t>42001 Garden Shabu</t>
        </is>
      </c>
      <c r="B2070" s="58" t="inlineStr">
        <is>
          <t>Bergen</t>
        </is>
      </c>
      <c r="C2070" s="58" t="inlineStr">
        <is>
          <t>Robin Feldman</t>
        </is>
      </c>
      <c r="D2070" s="58" t="inlineStr">
        <is>
          <t>On-premise</t>
        </is>
      </c>
      <c r="E2070" s="53" t="n">
        <v>52</v>
      </c>
      <c r="F2070" s="53" t="n">
        <v>28</v>
      </c>
      <c r="G2070" s="55" t="n">
        <v>486.75</v>
      </c>
      <c r="H2070" s="55" t="n">
        <v>269.39</v>
      </c>
      <c r="I2070" s="53" t="n">
        <v>0</v>
      </c>
      <c r="J2070" s="53" t="n">
        <v>0</v>
      </c>
      <c r="K2070" s="53" t="n">
        <v>26</v>
      </c>
      <c r="L2070" s="53" t="n">
        <v>16</v>
      </c>
      <c r="M2070" s="33">
        <f>F2070-E2070</f>
        <v/>
      </c>
      <c r="N2070" s="33">
        <f>L2070-K2070</f>
        <v/>
      </c>
    </row>
    <row r="2071">
      <c r="A2071" s="58" t="inlineStr">
        <is>
          <t>74002 Elks Post 1562</t>
        </is>
      </c>
      <c r="B2071" s="58" t="inlineStr">
        <is>
          <t>Bergen</t>
        </is>
      </c>
      <c r="C2071" s="58" t="inlineStr">
        <is>
          <t>Robin Feldman</t>
        </is>
      </c>
      <c r="D2071" s="58" t="inlineStr">
        <is>
          <t>On-premise</t>
        </is>
      </c>
      <c r="E2071" s="53" t="n">
        <v>60</v>
      </c>
      <c r="F2071" s="53" t="n">
        <v>73</v>
      </c>
      <c r="G2071" s="55" t="n">
        <v>521.3</v>
      </c>
      <c r="H2071" s="55" t="n">
        <v>569.79</v>
      </c>
      <c r="I2071" s="53" t="n">
        <v>29</v>
      </c>
      <c r="J2071" s="53" t="n">
        <v>60</v>
      </c>
      <c r="K2071" s="53" t="n">
        <v>17</v>
      </c>
      <c r="L2071" s="53" t="n">
        <v>7</v>
      </c>
      <c r="M2071" s="33">
        <f>F2071-E2071</f>
        <v/>
      </c>
      <c r="N2071" s="33">
        <f>L2071-K2071</f>
        <v/>
      </c>
    </row>
    <row r="2072">
      <c r="A2072" s="58" t="inlineStr">
        <is>
          <t>38043 K Of C Lodi</t>
        </is>
      </c>
      <c r="B2072" s="58" t="inlineStr">
        <is>
          <t>Bergen</t>
        </is>
      </c>
      <c r="C2072" s="58" t="inlineStr">
        <is>
          <t>Robin Feldman</t>
        </is>
      </c>
      <c r="D2072" s="58" t="inlineStr">
        <is>
          <t>On-premise</t>
        </is>
      </c>
      <c r="E2072" s="53" t="n">
        <v>27</v>
      </c>
      <c r="F2072" s="53" t="n">
        <v>40</v>
      </c>
      <c r="G2072" s="55" t="n">
        <v>236.72</v>
      </c>
      <c r="H2072" s="55" t="n">
        <v>393.48</v>
      </c>
      <c r="I2072" s="53" t="n">
        <v>0</v>
      </c>
      <c r="J2072" s="53" t="n">
        <v>0</v>
      </c>
      <c r="K2072" s="53" t="n">
        <v>10</v>
      </c>
      <c r="L2072" s="53" t="n">
        <v>0</v>
      </c>
      <c r="M2072" s="33">
        <f>F2072-E2072</f>
        <v/>
      </c>
      <c r="N2072" s="33">
        <f>L2072-K2072</f>
        <v/>
      </c>
    </row>
    <row r="2073">
      <c r="A2073" s="58" t="inlineStr">
        <is>
          <t>66002 Kiku (Z) Restaurant</t>
        </is>
      </c>
      <c r="B2073" s="58" t="inlineStr">
        <is>
          <t>Bergen</t>
        </is>
      </c>
      <c r="C2073" s="58" t="inlineStr">
        <is>
          <t>Robin Feldman</t>
        </is>
      </c>
      <c r="D2073" s="58" t="inlineStr">
        <is>
          <t>On-premise</t>
        </is>
      </c>
      <c r="E2073" s="53" t="n">
        <v>70</v>
      </c>
      <c r="F2073" s="53" t="n">
        <v>50</v>
      </c>
      <c r="G2073" s="55" t="n">
        <v>603.3</v>
      </c>
      <c r="H2073" s="55" t="n">
        <v>436</v>
      </c>
      <c r="I2073" s="53" t="n">
        <v>0</v>
      </c>
      <c r="J2073" s="53" t="n">
        <v>10</v>
      </c>
      <c r="K2073" s="53" t="n">
        <v>40</v>
      </c>
      <c r="L2073" s="53" t="n">
        <v>30</v>
      </c>
      <c r="M2073" s="33">
        <f>F2073-E2073</f>
        <v/>
      </c>
      <c r="N2073" s="33">
        <f>L2073-K2073</f>
        <v/>
      </c>
    </row>
    <row r="2074">
      <c r="A2074" s="58" t="inlineStr">
        <is>
          <t>64002 The Store</t>
        </is>
      </c>
      <c r="B2074" s="58" t="inlineStr">
        <is>
          <t>Bergen</t>
        </is>
      </c>
      <c r="C2074" s="58" t="inlineStr">
        <is>
          <t>Shane Barreca</t>
        </is>
      </c>
      <c r="D2074" s="58" t="inlineStr">
        <is>
          <t>Off-premise</t>
        </is>
      </c>
      <c r="E2074" s="53" t="n">
        <v>93</v>
      </c>
      <c r="F2074" s="53" t="n">
        <v>50</v>
      </c>
      <c r="G2074" s="55" t="n">
        <v>856.7</v>
      </c>
      <c r="H2074" s="55" t="n">
        <v>444.52</v>
      </c>
      <c r="I2074" s="53" t="n">
        <v>18</v>
      </c>
      <c r="J2074" s="53" t="n">
        <v>8</v>
      </c>
      <c r="K2074" s="53" t="n">
        <v>20</v>
      </c>
      <c r="L2074" s="53" t="n">
        <v>10</v>
      </c>
      <c r="M2074" s="33">
        <f>F2074-E2074</f>
        <v/>
      </c>
      <c r="N2074" s="33">
        <f>L2074-K2074</f>
        <v/>
      </c>
    </row>
    <row r="2075">
      <c r="A2075" s="58" t="inlineStr">
        <is>
          <t>150131 Lbv Cellars</t>
        </is>
      </c>
      <c r="B2075" s="58" t="inlineStr">
        <is>
          <t>Essex</t>
        </is>
      </c>
      <c r="C2075" s="58" t="inlineStr">
        <is>
          <t>Alisa Acciardi</t>
        </is>
      </c>
      <c r="D2075" s="58" t="inlineStr">
        <is>
          <t>Off-premise</t>
        </is>
      </c>
      <c r="E2075" s="53" t="n">
        <v>43</v>
      </c>
      <c r="F2075" s="53" t="n">
        <v>32</v>
      </c>
      <c r="G2075" s="55" t="n">
        <v>295.88</v>
      </c>
      <c r="H2075" s="55" t="n">
        <v>233.33</v>
      </c>
      <c r="I2075" s="53" t="n">
        <v>108</v>
      </c>
      <c r="J2075" s="53" t="n">
        <v>72</v>
      </c>
      <c r="K2075" s="53" t="n">
        <v>43</v>
      </c>
      <c r="L2075" s="53" t="n">
        <v>32</v>
      </c>
      <c r="M2075" s="33">
        <f>F2075-E2075</f>
        <v/>
      </c>
      <c r="N2075" s="33">
        <f>L2075-K2075</f>
        <v/>
      </c>
    </row>
    <row r="2076">
      <c r="A2076" s="58" t="inlineStr">
        <is>
          <t>171001 Bridgeview Liquors</t>
        </is>
      </c>
      <c r="B2076" s="58" t="inlineStr">
        <is>
          <t>Hudson</t>
        </is>
      </c>
      <c r="C2076" s="58" t="inlineStr">
        <is>
          <t>Alisa Acciardi</t>
        </is>
      </c>
      <c r="D2076" s="58" t="inlineStr">
        <is>
          <t>Off-premise</t>
        </is>
      </c>
      <c r="E2076" s="53" t="n">
        <v>97</v>
      </c>
      <c r="F2076" s="53" t="n">
        <v>86</v>
      </c>
      <c r="G2076" s="55" t="n">
        <v>617.6900000000001</v>
      </c>
      <c r="H2076" s="55" t="n">
        <v>601.83</v>
      </c>
      <c r="I2076" s="53" t="n">
        <v>501</v>
      </c>
      <c r="J2076" s="53" t="n">
        <v>577</v>
      </c>
      <c r="K2076" s="53" t="n">
        <v>97</v>
      </c>
      <c r="L2076" s="53" t="n">
        <v>86</v>
      </c>
      <c r="M2076" s="33">
        <f>F2076-E2076</f>
        <v/>
      </c>
      <c r="N2076" s="33">
        <f>L2076-K2076</f>
        <v/>
      </c>
    </row>
    <row r="2077">
      <c r="A2077" s="58" t="inlineStr">
        <is>
          <t>250062 Aarti's World Disc Liq</t>
        </is>
      </c>
      <c r="B2077" s="58" t="inlineStr">
        <is>
          <t>Union</t>
        </is>
      </c>
      <c r="C2077" s="58" t="inlineStr">
        <is>
          <t>Andrew Lundy</t>
        </is>
      </c>
      <c r="D2077" s="58" t="inlineStr">
        <is>
          <t>Off-premise</t>
        </is>
      </c>
      <c r="E2077" s="53" t="n">
        <v>20</v>
      </c>
      <c r="F2077" s="53" t="n">
        <v>9</v>
      </c>
      <c r="G2077" s="55" t="n">
        <v>143.16</v>
      </c>
      <c r="H2077" s="55" t="n">
        <v>71.55</v>
      </c>
      <c r="I2077" s="53" t="n">
        <v>5</v>
      </c>
      <c r="J2077" s="53" t="n">
        <v>20</v>
      </c>
      <c r="K2077" s="53" t="n">
        <v>20</v>
      </c>
      <c r="L2077" s="53" t="n">
        <v>9</v>
      </c>
      <c r="M2077" s="33">
        <f>F2077-E2077</f>
        <v/>
      </c>
      <c r="N2077" s="33">
        <f>L2077-K2077</f>
        <v/>
      </c>
    </row>
    <row r="2078">
      <c r="A2078" s="58" t="inlineStr">
        <is>
          <t>230903 Black Bear Golf(A)</t>
        </is>
      </c>
      <c r="B2078" s="58" t="inlineStr">
        <is>
          <t>Sussex</t>
        </is>
      </c>
      <c r="C2078" s="58" t="inlineStr">
        <is>
          <t>Anthony Palmisano</t>
        </is>
      </c>
      <c r="D2078" s="58" t="inlineStr">
        <is>
          <t>On-premise</t>
        </is>
      </c>
      <c r="E2078" s="53" t="n">
        <v>486</v>
      </c>
      <c r="F2078" s="53" t="n">
        <v>400</v>
      </c>
      <c r="G2078" s="55" t="n">
        <v>2300.82</v>
      </c>
      <c r="H2078" s="55" t="n">
        <v>1678.48</v>
      </c>
      <c r="I2078" s="53" t="n">
        <v>126</v>
      </c>
      <c r="J2078" s="53" t="n">
        <v>133</v>
      </c>
      <c r="K2078" s="53" t="n">
        <v>34</v>
      </c>
      <c r="L2078" s="53" t="n">
        <v>23</v>
      </c>
      <c r="M2078" s="33">
        <f>F2078-E2078</f>
        <v/>
      </c>
      <c r="N2078" s="33">
        <f>L2078-K2078</f>
        <v/>
      </c>
    </row>
    <row r="2079">
      <c r="A2079" s="58" t="inlineStr">
        <is>
          <t>230401 The Greek's</t>
        </is>
      </c>
      <c r="B2079" s="58" t="inlineStr">
        <is>
          <t>Sussex</t>
        </is>
      </c>
      <c r="C2079" s="58" t="inlineStr">
        <is>
          <t>Brian Sengebush</t>
        </is>
      </c>
      <c r="D2079" s="58" t="inlineStr">
        <is>
          <t>Off-premise</t>
        </is>
      </c>
      <c r="E2079" s="53" t="n">
        <v>614</v>
      </c>
      <c r="F2079" s="53" t="n">
        <v>557</v>
      </c>
      <c r="G2079" s="55" t="n">
        <v>4072.589999999999</v>
      </c>
      <c r="H2079" s="55" t="n">
        <v>3873.42</v>
      </c>
      <c r="I2079" s="53" t="n">
        <v>379</v>
      </c>
      <c r="J2079" s="53" t="n">
        <v>305</v>
      </c>
      <c r="K2079" s="53" t="n">
        <v>33</v>
      </c>
      <c r="L2079" s="53" t="n">
        <v>22</v>
      </c>
      <c r="M2079" s="33">
        <f>F2079-E2079</f>
        <v/>
      </c>
      <c r="N2079" s="33">
        <f>L2079-K2079</f>
        <v/>
      </c>
    </row>
    <row r="2080">
      <c r="A2080" s="58" t="inlineStr">
        <is>
          <t>190910 NORTE 175</t>
        </is>
      </c>
      <c r="B2080" s="58" t="inlineStr">
        <is>
          <t>Morris</t>
        </is>
      </c>
      <c r="C2080" s="58" t="inlineStr">
        <is>
          <t>Brian Sengebush</t>
        </is>
      </c>
      <c r="D2080" s="58" t="inlineStr">
        <is>
          <t>On-premise</t>
        </is>
      </c>
      <c r="E2080" s="53" t="n">
        <v>85</v>
      </c>
      <c r="F2080" s="53" t="n">
        <v>33</v>
      </c>
      <c r="G2080" s="55" t="n">
        <v>789.21</v>
      </c>
      <c r="H2080" s="55" t="n">
        <v>289.77</v>
      </c>
      <c r="I2080" s="53" t="n">
        <v>6</v>
      </c>
      <c r="J2080" s="53" t="n">
        <v>17</v>
      </c>
      <c r="K2080" s="53" t="n">
        <v>22</v>
      </c>
      <c r="L2080" s="53" t="n">
        <v>11</v>
      </c>
      <c r="M2080" s="33">
        <f>F2080-E2080</f>
        <v/>
      </c>
      <c r="N2080" s="33">
        <f>L2080-K2080</f>
        <v/>
      </c>
    </row>
    <row r="2081">
      <c r="A2081" s="58" t="inlineStr">
        <is>
          <t>170168 Discount Wine &amp; Spirits</t>
        </is>
      </c>
      <c r="B2081" s="58" t="inlineStr">
        <is>
          <t>Hudson</t>
        </is>
      </c>
      <c r="C2081" s="58" t="inlineStr">
        <is>
          <t>Dylan Rubino</t>
        </is>
      </c>
      <c r="D2081" s="58" t="inlineStr">
        <is>
          <t>Off-premise</t>
        </is>
      </c>
      <c r="E2081" s="53" t="n">
        <v>49</v>
      </c>
      <c r="F2081" s="53" t="n">
        <v>38</v>
      </c>
      <c r="G2081" s="55" t="n">
        <v>284.86</v>
      </c>
      <c r="H2081" s="55" t="n">
        <v>283.81</v>
      </c>
      <c r="I2081" s="53" t="n">
        <v>20</v>
      </c>
      <c r="J2081" s="53" t="n">
        <v>0</v>
      </c>
      <c r="K2081" s="53" t="n">
        <v>49</v>
      </c>
      <c r="L2081" s="53" t="n">
        <v>38</v>
      </c>
      <c r="M2081" s="33">
        <f>F2081-E2081</f>
        <v/>
      </c>
      <c r="N2081" s="33">
        <f>L2081-K2081</f>
        <v/>
      </c>
    </row>
    <row r="2082">
      <c r="A2082" s="58" t="inlineStr">
        <is>
          <t>191518 3 IN 1 LIQUORS INC</t>
        </is>
      </c>
      <c r="B2082" s="58" t="inlineStr">
        <is>
          <t>Sussex</t>
        </is>
      </c>
      <c r="C2082" s="58" t="inlineStr">
        <is>
          <t>Klejdi Lamo</t>
        </is>
      </c>
      <c r="D2082" s="58" t="inlineStr">
        <is>
          <t>Off-premise</t>
        </is>
      </c>
      <c r="E2082" s="53" t="n">
        <v>1725</v>
      </c>
      <c r="F2082" s="53" t="n">
        <v>1622</v>
      </c>
      <c r="G2082" s="55" t="n">
        <v>11117.69</v>
      </c>
      <c r="H2082" s="55" t="n">
        <v>10101.12</v>
      </c>
      <c r="I2082" s="53" t="n">
        <v>287</v>
      </c>
      <c r="J2082" s="53" t="n">
        <v>362</v>
      </c>
      <c r="K2082" s="53" t="n">
        <v>185</v>
      </c>
      <c r="L2082" s="53" t="n">
        <v>174</v>
      </c>
      <c r="M2082" s="33">
        <f>F2082-E2082</f>
        <v/>
      </c>
      <c r="N2082" s="33">
        <f>L2082-K2082</f>
        <v/>
      </c>
    </row>
    <row r="2083">
      <c r="A2083" s="58" t="inlineStr">
        <is>
          <t>191606 Quick Check Liquor (A)</t>
        </is>
      </c>
      <c r="B2083" s="58" t="inlineStr">
        <is>
          <t>Morris</t>
        </is>
      </c>
      <c r="C2083" s="58" t="inlineStr">
        <is>
          <t>Klejdi Lamo</t>
        </is>
      </c>
      <c r="D2083" s="58" t="inlineStr">
        <is>
          <t>Off-premise</t>
        </is>
      </c>
      <c r="E2083" s="53" t="n">
        <v>1407</v>
      </c>
      <c r="F2083" s="53" t="n">
        <v>1468</v>
      </c>
      <c r="G2083" s="55" t="n">
        <v>9880.389999999999</v>
      </c>
      <c r="H2083" s="55" t="n">
        <v>10452.6</v>
      </c>
      <c r="I2083" s="53" t="n">
        <v>239</v>
      </c>
      <c r="J2083" s="53" t="n">
        <v>302</v>
      </c>
      <c r="K2083" s="53" t="n">
        <v>249</v>
      </c>
      <c r="L2083" s="53" t="n">
        <v>238</v>
      </c>
      <c r="M2083" s="33">
        <f>F2083-E2083</f>
        <v/>
      </c>
      <c r="N2083" s="33">
        <f>L2083-K2083</f>
        <v/>
      </c>
    </row>
    <row r="2084">
      <c r="A2084" s="58" t="inlineStr">
        <is>
          <t>84006 Roots Ridgewood (A)</t>
        </is>
      </c>
      <c r="B2084" s="58" t="inlineStr">
        <is>
          <t>Bergen</t>
        </is>
      </c>
      <c r="C2084" s="58" t="inlineStr">
        <is>
          <t>Mike Ast</t>
        </is>
      </c>
      <c r="D2084" s="58" t="inlineStr">
        <is>
          <t>On-premise</t>
        </is>
      </c>
      <c r="E2084" s="53" t="n">
        <v>24</v>
      </c>
      <c r="F2084" s="53" t="n">
        <v>12</v>
      </c>
      <c r="G2084" s="55" t="n">
        <v>260.06</v>
      </c>
      <c r="H2084" s="55" t="n">
        <v>118.75</v>
      </c>
      <c r="I2084" s="53" t="n">
        <v>7</v>
      </c>
      <c r="J2084" s="53" t="n">
        <v>8</v>
      </c>
      <c r="K2084" s="53" t="n">
        <v>11</v>
      </c>
      <c r="L2084" s="53" t="n">
        <v>0</v>
      </c>
      <c r="M2084" s="33">
        <f>F2084-E2084</f>
        <v/>
      </c>
      <c r="N2084" s="33">
        <f>L2084-K2084</f>
        <v/>
      </c>
    </row>
    <row r="2085">
      <c r="A2085" s="58" t="inlineStr">
        <is>
          <t>78007 Woodstone Pizza B &amp; G</t>
        </is>
      </c>
      <c r="B2085" s="58" t="inlineStr">
        <is>
          <t>Bergen</t>
        </is>
      </c>
      <c r="C2085" s="58" t="inlineStr">
        <is>
          <t>Nick Melissari</t>
        </is>
      </c>
      <c r="D2085" s="58" t="inlineStr">
        <is>
          <t>On-premise</t>
        </is>
      </c>
      <c r="E2085" s="53" t="n">
        <v>162</v>
      </c>
      <c r="F2085" s="53" t="n">
        <v>143</v>
      </c>
      <c r="G2085" s="55" t="n">
        <v>1287.66</v>
      </c>
      <c r="H2085" s="55" t="n">
        <v>1178.31</v>
      </c>
      <c r="I2085" s="53" t="n">
        <v>26</v>
      </c>
      <c r="J2085" s="53" t="n">
        <v>45</v>
      </c>
      <c r="K2085" s="53" t="n">
        <v>46</v>
      </c>
      <c r="L2085" s="53" t="n">
        <v>35</v>
      </c>
      <c r="M2085" s="33">
        <f>F2085-E2085</f>
        <v/>
      </c>
      <c r="N2085" s="33">
        <f>L2085-K2085</f>
        <v/>
      </c>
    </row>
    <row r="2086">
      <c r="A2086" s="58" t="inlineStr">
        <is>
          <t>62007 The Hill</t>
        </is>
      </c>
      <c r="B2086" s="58" t="inlineStr">
        <is>
          <t>Bergen</t>
        </is>
      </c>
      <c r="C2086" s="58" t="inlineStr">
        <is>
          <t>Paul Mclaughlin</t>
        </is>
      </c>
      <c r="D2086" s="58" t="inlineStr">
        <is>
          <t>On-premise</t>
        </is>
      </c>
      <c r="E2086" s="53" t="n">
        <v>15</v>
      </c>
      <c r="F2086" s="53" t="n">
        <v>0</v>
      </c>
      <c r="G2086" s="55" t="n">
        <v>181.53</v>
      </c>
      <c r="H2086" s="55" t="n">
        <v>0</v>
      </c>
      <c r="I2086" s="53" t="n">
        <v>68</v>
      </c>
      <c r="J2086" s="53" t="n">
        <v>0</v>
      </c>
      <c r="K2086" s="53" t="n">
        <v>11</v>
      </c>
      <c r="L2086" s="53" t="n">
        <v>0</v>
      </c>
      <c r="M2086" s="33">
        <f>F2086-E2086</f>
        <v/>
      </c>
      <c r="N2086" s="33">
        <f>L2086-K2086</f>
        <v/>
      </c>
    </row>
    <row r="2087">
      <c r="A2087" s="58" t="inlineStr">
        <is>
          <t>56011 International Bar/Rest</t>
        </is>
      </c>
      <c r="B2087" s="58" t="inlineStr">
        <is>
          <t>Bergen</t>
        </is>
      </c>
      <c r="C2087" s="58" t="inlineStr">
        <is>
          <t>Paul Mclaughlin</t>
        </is>
      </c>
      <c r="D2087" s="58" t="inlineStr">
        <is>
          <t>On-premise</t>
        </is>
      </c>
      <c r="E2087" s="53" t="n">
        <v>427</v>
      </c>
      <c r="F2087" s="53" t="n">
        <v>537</v>
      </c>
      <c r="G2087" s="55" t="n">
        <v>3188.72</v>
      </c>
      <c r="H2087" s="55" t="n">
        <v>4433.690000000001</v>
      </c>
      <c r="I2087" s="53" t="n">
        <v>33</v>
      </c>
      <c r="J2087" s="53" t="n">
        <v>40</v>
      </c>
      <c r="K2087" s="53" t="n">
        <v>84</v>
      </c>
      <c r="L2087" s="53" t="n">
        <v>73</v>
      </c>
      <c r="M2087" s="33">
        <f>F2087-E2087</f>
        <v/>
      </c>
      <c r="N2087" s="33">
        <f>L2087-K2087</f>
        <v/>
      </c>
    </row>
    <row r="2088">
      <c r="A2088" s="58" t="inlineStr">
        <is>
          <t>41002 Mi Tierrita (P)</t>
        </is>
      </c>
      <c r="B2088" s="58" t="inlineStr">
        <is>
          <t>Bergen</t>
        </is>
      </c>
      <c r="C2088" s="58" t="inlineStr">
        <is>
          <t>Paul Mclaughlin</t>
        </is>
      </c>
      <c r="D2088" s="58" t="inlineStr">
        <is>
          <t>On-premise</t>
        </is>
      </c>
      <c r="E2088" s="53" t="n">
        <v>213</v>
      </c>
      <c r="F2088" s="53" t="n">
        <v>86</v>
      </c>
      <c r="G2088" s="55" t="n">
        <v>1915.21</v>
      </c>
      <c r="H2088" s="55" t="n">
        <v>773.3200000000001</v>
      </c>
      <c r="I2088" s="53" t="n">
        <v>0</v>
      </c>
      <c r="J2088" s="53" t="n">
        <v>0</v>
      </c>
      <c r="K2088" s="53" t="n">
        <v>15</v>
      </c>
      <c r="L2088" s="53" t="n">
        <v>4</v>
      </c>
      <c r="M2088" s="33">
        <f>F2088-E2088</f>
        <v/>
      </c>
      <c r="N2088" s="33">
        <f>L2088-K2088</f>
        <v/>
      </c>
    </row>
    <row r="2089">
      <c r="A2089" s="58" t="inlineStr">
        <is>
          <t>190607 Rockaway River Cc(P)</t>
        </is>
      </c>
      <c r="B2089" s="58" t="inlineStr">
        <is>
          <t>Morris</t>
        </is>
      </c>
      <c r="C2089" s="58" t="inlineStr">
        <is>
          <t>Robin Feldman</t>
        </is>
      </c>
      <c r="D2089" s="58" t="inlineStr">
        <is>
          <t>On-premise</t>
        </is>
      </c>
      <c r="E2089" s="53" t="n">
        <v>265</v>
      </c>
      <c r="F2089" s="53" t="n">
        <v>316</v>
      </c>
      <c r="G2089" s="55" t="n">
        <v>975.9300000000001</v>
      </c>
      <c r="H2089" s="55" t="n">
        <v>977.2200000000001</v>
      </c>
      <c r="I2089" s="53" t="n">
        <v>66</v>
      </c>
      <c r="J2089" s="53" t="n">
        <v>143</v>
      </c>
      <c r="K2089" s="53" t="n">
        <v>17</v>
      </c>
      <c r="L2089" s="53" t="n">
        <v>6</v>
      </c>
      <c r="M2089" s="33">
        <f>F2089-E2089</f>
        <v/>
      </c>
      <c r="N2089" s="33">
        <f>L2089-K2089</f>
        <v/>
      </c>
    </row>
    <row r="2090">
      <c r="A2090" s="58" t="inlineStr">
        <is>
          <t>25050 Tio Taco &amp; Tequila Bar</t>
        </is>
      </c>
      <c r="B2090" s="58" t="inlineStr">
        <is>
          <t>Passaic</t>
        </is>
      </c>
      <c r="C2090" s="58" t="inlineStr">
        <is>
          <t>Allison Scott</t>
        </is>
      </c>
      <c r="D2090" s="58" t="inlineStr">
        <is>
          <t>Unmatched</t>
        </is>
      </c>
      <c r="E2090" s="53" t="n">
        <v>120</v>
      </c>
      <c r="F2090" s="53" t="n">
        <v>0</v>
      </c>
      <c r="G2090" s="55" t="n">
        <v>1239.35</v>
      </c>
      <c r="H2090" s="55" t="n">
        <v>0</v>
      </c>
      <c r="I2090" s="53" t="n">
        <v>32</v>
      </c>
      <c r="J2090" s="53" t="n">
        <v>0</v>
      </c>
      <c r="K2090" s="53" t="n">
        <v>12</v>
      </c>
      <c r="L2090" s="53" t="n">
        <v>0</v>
      </c>
      <c r="M2090" s="33">
        <f>F2090-E2090</f>
        <v/>
      </c>
      <c r="N2090" s="33">
        <f>L2090-K2090</f>
        <v/>
      </c>
    </row>
    <row r="2091">
      <c r="A2091" s="58" t="inlineStr">
        <is>
          <t>250443 Buyrite Liquors</t>
        </is>
      </c>
      <c r="B2091" s="58" t="inlineStr">
        <is>
          <t>Union</t>
        </is>
      </c>
      <c r="C2091" s="58" t="inlineStr">
        <is>
          <t>Andrew Lundy</t>
        </is>
      </c>
      <c r="D2091" s="58" t="inlineStr">
        <is>
          <t>Off-premise</t>
        </is>
      </c>
      <c r="E2091" s="53" t="n">
        <v>46</v>
      </c>
      <c r="F2091" s="53" t="n">
        <v>34</v>
      </c>
      <c r="G2091" s="55" t="n">
        <v>339.57</v>
      </c>
      <c r="H2091" s="55" t="n">
        <v>257.62</v>
      </c>
      <c r="I2091" s="53" t="n">
        <v>222</v>
      </c>
      <c r="J2091" s="53" t="n">
        <v>175</v>
      </c>
      <c r="K2091" s="53" t="n">
        <v>46</v>
      </c>
      <c r="L2091" s="53" t="n">
        <v>34</v>
      </c>
      <c r="M2091" s="33">
        <f>F2091-E2091</f>
        <v/>
      </c>
      <c r="N2091" s="33">
        <f>L2091-K2091</f>
        <v/>
      </c>
    </row>
    <row r="2092">
      <c r="A2092" s="58" t="inlineStr">
        <is>
          <t>230430 Applebee's Grill(A)Newton</t>
        </is>
      </c>
      <c r="B2092" s="58" t="inlineStr">
        <is>
          <t>Sussex</t>
        </is>
      </c>
      <c r="C2092" s="58" t="inlineStr">
        <is>
          <t>Brian Sengebush</t>
        </is>
      </c>
      <c r="D2092" s="58" t="inlineStr">
        <is>
          <t>On-premise</t>
        </is>
      </c>
      <c r="E2092" s="53" t="n">
        <v>271</v>
      </c>
      <c r="F2092" s="53" t="n">
        <v>239</v>
      </c>
      <c r="G2092" s="55" t="n">
        <v>1921.05</v>
      </c>
      <c r="H2092" s="55" t="n">
        <v>1574.77</v>
      </c>
      <c r="I2092" s="53" t="n">
        <v>45</v>
      </c>
      <c r="J2092" s="53" t="n">
        <v>54</v>
      </c>
      <c r="K2092" s="53" t="n">
        <v>14</v>
      </c>
      <c r="L2092" s="53" t="n">
        <v>2</v>
      </c>
      <c r="M2092" s="33">
        <f>F2092-E2092</f>
        <v/>
      </c>
      <c r="N2092" s="33">
        <f>L2092-K2092</f>
        <v/>
      </c>
    </row>
    <row r="2093">
      <c r="A2093" s="58" t="inlineStr">
        <is>
          <t>45015 Tivoli Restaurant</t>
        </is>
      </c>
      <c r="B2093" s="58" t="inlineStr">
        <is>
          <t>Bergen</t>
        </is>
      </c>
      <c r="C2093" s="58" t="inlineStr">
        <is>
          <t>Dan Lagala</t>
        </is>
      </c>
      <c r="D2093" s="58" t="inlineStr">
        <is>
          <t>On-premise</t>
        </is>
      </c>
      <c r="E2093" s="53" t="n">
        <v>77</v>
      </c>
      <c r="F2093" s="53" t="n">
        <v>61</v>
      </c>
      <c r="G2093" s="55" t="n">
        <v>692.13</v>
      </c>
      <c r="H2093" s="55" t="n">
        <v>593.39</v>
      </c>
      <c r="I2093" s="53" t="n">
        <v>7</v>
      </c>
      <c r="J2093" s="53" t="n">
        <v>8</v>
      </c>
      <c r="K2093" s="53" t="n">
        <v>17</v>
      </c>
      <c r="L2093" s="53" t="n">
        <v>5</v>
      </c>
      <c r="M2093" s="33">
        <f>F2093-E2093</f>
        <v/>
      </c>
      <c r="N2093" s="33">
        <f>L2093-K2093</f>
        <v/>
      </c>
    </row>
    <row r="2094">
      <c r="A2094" s="58" t="inlineStr">
        <is>
          <t>20005 La Sorpresa Liq (P)</t>
        </is>
      </c>
      <c r="B2094" s="58" t="inlineStr">
        <is>
          <t>Passaic</t>
        </is>
      </c>
      <c r="C2094" s="58" t="inlineStr">
        <is>
          <t>Derrick Laws</t>
        </is>
      </c>
      <c r="D2094" s="58" t="inlineStr">
        <is>
          <t>Off-premise</t>
        </is>
      </c>
      <c r="E2094" s="53" t="n">
        <v>5210</v>
      </c>
      <c r="F2094" s="53" t="n">
        <v>4470</v>
      </c>
      <c r="G2094" s="55" t="n">
        <v>35498.18</v>
      </c>
      <c r="H2094" s="55" t="n">
        <v>31415.68</v>
      </c>
      <c r="I2094" s="53" t="n">
        <v>100</v>
      </c>
      <c r="J2094" s="53" t="n">
        <v>123</v>
      </c>
      <c r="K2094" s="53" t="n">
        <v>546</v>
      </c>
      <c r="L2094" s="53" t="n">
        <v>534</v>
      </c>
      <c r="M2094" s="33">
        <f>F2094-E2094</f>
        <v/>
      </c>
      <c r="N2094" s="33">
        <f>L2094-K2094</f>
        <v/>
      </c>
    </row>
    <row r="2095">
      <c r="A2095" s="58" t="inlineStr">
        <is>
          <t>170163 Buy Rite Union City</t>
        </is>
      </c>
      <c r="B2095" s="58" t="inlineStr">
        <is>
          <t>Hudson</t>
        </is>
      </c>
      <c r="C2095" s="58" t="inlineStr">
        <is>
          <t>Dylan Rubino</t>
        </is>
      </c>
      <c r="D2095" s="58" t="inlineStr">
        <is>
          <t>Off-premise</t>
        </is>
      </c>
      <c r="E2095" s="53" t="n">
        <v>69</v>
      </c>
      <c r="F2095" s="53" t="n">
        <v>57</v>
      </c>
      <c r="G2095" s="55" t="n">
        <v>429.74</v>
      </c>
      <c r="H2095" s="55" t="n">
        <v>361.23</v>
      </c>
      <c r="I2095" s="53" t="n">
        <v>239</v>
      </c>
      <c r="J2095" s="53" t="n">
        <v>225</v>
      </c>
      <c r="K2095" s="53" t="n">
        <v>69</v>
      </c>
      <c r="L2095" s="53" t="n">
        <v>57</v>
      </c>
      <c r="M2095" s="33">
        <f>F2095-E2095</f>
        <v/>
      </c>
      <c r="N2095" s="33">
        <f>L2095-K2095</f>
        <v/>
      </c>
    </row>
    <row r="2096">
      <c r="A2096" s="58" t="inlineStr">
        <is>
          <t>150156 Ivy Plaza Liquors</t>
        </is>
      </c>
      <c r="B2096" s="58" t="inlineStr">
        <is>
          <t>Essex</t>
        </is>
      </c>
      <c r="C2096" s="58" t="inlineStr">
        <is>
          <t>Hakan Sadik</t>
        </is>
      </c>
      <c r="D2096" s="58" t="inlineStr">
        <is>
          <t>Off-premise</t>
        </is>
      </c>
      <c r="E2096" s="53" t="n">
        <v>21</v>
      </c>
      <c r="F2096" s="53" t="n">
        <v>9</v>
      </c>
      <c r="G2096" s="55" t="n">
        <v>164.89</v>
      </c>
      <c r="H2096" s="55" t="n">
        <v>84.03</v>
      </c>
      <c r="I2096" s="53" t="n">
        <v>337</v>
      </c>
      <c r="J2096" s="53" t="n">
        <v>199</v>
      </c>
      <c r="K2096" s="53" t="n">
        <v>21</v>
      </c>
      <c r="L2096" s="53" t="n">
        <v>9</v>
      </c>
      <c r="M2096" s="33">
        <f>F2096-E2096</f>
        <v/>
      </c>
      <c r="N2096" s="33">
        <f>L2096-K2096</f>
        <v/>
      </c>
    </row>
    <row r="2097">
      <c r="A2097" s="58" t="inlineStr">
        <is>
          <t>170090 Bauers Wine &amp; Liquor</t>
        </is>
      </c>
      <c r="B2097" s="58" t="inlineStr">
        <is>
          <t>Hudson</t>
        </is>
      </c>
      <c r="C2097" s="58" t="inlineStr">
        <is>
          <t>Jaime Colonna</t>
        </is>
      </c>
      <c r="D2097" s="58" t="inlineStr">
        <is>
          <t>Off-premise</t>
        </is>
      </c>
      <c r="E2097" s="53" t="n">
        <v>10</v>
      </c>
      <c r="F2097" s="53" t="n">
        <v>-2</v>
      </c>
      <c r="G2097" s="55" t="n">
        <v>70.40000000000001</v>
      </c>
      <c r="H2097" s="55" t="n">
        <v>-24.84</v>
      </c>
      <c r="I2097" s="53" t="n">
        <v>85</v>
      </c>
      <c r="J2097" s="53" t="n">
        <v>55</v>
      </c>
      <c r="K2097" s="53" t="n">
        <v>10</v>
      </c>
      <c r="L2097" s="53" t="n">
        <v>-2</v>
      </c>
      <c r="M2097" s="33">
        <f>F2097-E2097</f>
        <v/>
      </c>
      <c r="N2097" s="33">
        <f>L2097-K2097</f>
        <v/>
      </c>
    </row>
    <row r="2098">
      <c r="A2098" s="58" t="inlineStr">
        <is>
          <t>15031 Pete's Family Liqs</t>
        </is>
      </c>
      <c r="B2098" s="58" t="inlineStr">
        <is>
          <t>Passaic</t>
        </is>
      </c>
      <c r="C2098" s="58" t="inlineStr">
        <is>
          <t>Javier Melo</t>
        </is>
      </c>
      <c r="D2098" s="58" t="inlineStr">
        <is>
          <t>Off-premise</t>
        </is>
      </c>
      <c r="E2098" s="53" t="n">
        <v>1367</v>
      </c>
      <c r="F2098" s="53" t="n">
        <v>1221</v>
      </c>
      <c r="G2098" s="55" t="n">
        <v>8916.82</v>
      </c>
      <c r="H2098" s="55" t="n">
        <v>8509.060000000001</v>
      </c>
      <c r="I2098" s="53" t="n">
        <v>358</v>
      </c>
      <c r="J2098" s="53" t="n">
        <v>272</v>
      </c>
      <c r="K2098" s="53" t="n">
        <v>168</v>
      </c>
      <c r="L2098" s="53" t="n">
        <v>156</v>
      </c>
      <c r="M2098" s="33">
        <f>F2098-E2098</f>
        <v/>
      </c>
      <c r="N2098" s="33">
        <f>L2098-K2098</f>
        <v/>
      </c>
    </row>
    <row r="2099">
      <c r="A2099" s="58" t="inlineStr">
        <is>
          <t>191838 Village Wine &amp; Liquors</t>
        </is>
      </c>
      <c r="B2099" s="58" t="inlineStr">
        <is>
          <t>Morris</t>
        </is>
      </c>
      <c r="C2099" s="58" t="inlineStr">
        <is>
          <t>John O'Donoghue</t>
        </is>
      </c>
      <c r="D2099" s="58" t="inlineStr">
        <is>
          <t>Unmatched</t>
        </is>
      </c>
      <c r="E2099" s="53" t="n">
        <v>22</v>
      </c>
      <c r="F2099" s="53" t="n">
        <v>10</v>
      </c>
      <c r="G2099" s="55" t="n">
        <v>168.24</v>
      </c>
      <c r="H2099" s="55" t="n">
        <v>70.63</v>
      </c>
      <c r="I2099" s="53" t="n">
        <v>159</v>
      </c>
      <c r="J2099" s="53" t="n">
        <v>179</v>
      </c>
      <c r="K2099" s="53" t="n">
        <v>22</v>
      </c>
      <c r="L2099" s="53" t="n">
        <v>10</v>
      </c>
      <c r="M2099" s="33">
        <f>F2099-E2099</f>
        <v/>
      </c>
      <c r="N2099" s="33">
        <f>L2099-K2099</f>
        <v/>
      </c>
    </row>
    <row r="2100">
      <c r="A2100" s="58" t="inlineStr">
        <is>
          <t>96010 Aldo's Italian Rest(Z)</t>
        </is>
      </c>
      <c r="B2100" s="58" t="inlineStr">
        <is>
          <t>Bergen</t>
        </is>
      </c>
      <c r="C2100" s="58" t="inlineStr">
        <is>
          <t>Nick Melissari</t>
        </is>
      </c>
      <c r="D2100" s="58" t="inlineStr">
        <is>
          <t>On-premise</t>
        </is>
      </c>
      <c r="E2100" s="53" t="n">
        <v>178</v>
      </c>
      <c r="F2100" s="53" t="n">
        <v>179</v>
      </c>
      <c r="G2100" s="55" t="n">
        <v>1665.21</v>
      </c>
      <c r="H2100" s="55" t="n">
        <v>1729.16</v>
      </c>
      <c r="I2100" s="53" t="n">
        <v>13</v>
      </c>
      <c r="J2100" s="53" t="n">
        <v>11</v>
      </c>
      <c r="K2100" s="53" t="n">
        <v>65</v>
      </c>
      <c r="L2100" s="53" t="n">
        <v>53</v>
      </c>
      <c r="M2100" s="33">
        <f>F2100-E2100</f>
        <v/>
      </c>
      <c r="N2100" s="33">
        <f>L2100-K2100</f>
        <v/>
      </c>
    </row>
    <row r="2101">
      <c r="A2101" s="58" t="inlineStr">
        <is>
          <t>31026 Rockafella's</t>
        </is>
      </c>
      <c r="B2101" s="58" t="inlineStr">
        <is>
          <t>Bergen</t>
        </is>
      </c>
      <c r="C2101" s="58" t="inlineStr">
        <is>
          <t>Nick Melissari</t>
        </is>
      </c>
      <c r="D2101" s="58" t="inlineStr">
        <is>
          <t>On-premise</t>
        </is>
      </c>
      <c r="E2101" s="53" t="n">
        <v>437</v>
      </c>
      <c r="F2101" s="53" t="n">
        <v>430</v>
      </c>
      <c r="G2101" s="55" t="n">
        <v>2971.77</v>
      </c>
      <c r="H2101" s="55" t="n">
        <v>2631.12</v>
      </c>
      <c r="I2101" s="53" t="n">
        <v>62</v>
      </c>
      <c r="J2101" s="53" t="n">
        <v>60</v>
      </c>
      <c r="K2101" s="53" t="n">
        <v>22</v>
      </c>
      <c r="L2101" s="53" t="n">
        <v>10</v>
      </c>
      <c r="M2101" s="33">
        <f>F2101-E2101</f>
        <v/>
      </c>
      <c r="N2101" s="33">
        <f>L2101-K2101</f>
        <v/>
      </c>
    </row>
    <row r="2102">
      <c r="A2102" s="58" t="inlineStr">
        <is>
          <t>39010 Players Club (Z)</t>
        </is>
      </c>
      <c r="B2102" s="58" t="inlineStr">
        <is>
          <t>Bergen</t>
        </is>
      </c>
      <c r="C2102" s="58" t="inlineStr">
        <is>
          <t>Paul Mclaughlin</t>
        </is>
      </c>
      <c r="D2102" s="58" t="inlineStr">
        <is>
          <t>On-premise</t>
        </is>
      </c>
      <c r="E2102" s="53" t="n">
        <v>508</v>
      </c>
      <c r="F2102" s="53" t="n">
        <v>382</v>
      </c>
      <c r="G2102" s="55" t="n">
        <v>3848.990000000001</v>
      </c>
      <c r="H2102" s="55" t="n">
        <v>2989.55</v>
      </c>
      <c r="I2102" s="53" t="n">
        <v>67</v>
      </c>
      <c r="J2102" s="53" t="n">
        <v>94</v>
      </c>
      <c r="K2102" s="53" t="n">
        <v>43</v>
      </c>
      <c r="L2102" s="53" t="n">
        <v>31</v>
      </c>
      <c r="M2102" s="33">
        <f>F2102-E2102</f>
        <v/>
      </c>
      <c r="N2102" s="33">
        <f>L2102-K2102</f>
        <v/>
      </c>
    </row>
    <row r="2103">
      <c r="A2103" s="58" t="inlineStr">
        <is>
          <t>150033 Discount Liquors Bloomfield</t>
        </is>
      </c>
      <c r="B2103" s="58" t="inlineStr">
        <is>
          <t>Essex</t>
        </is>
      </c>
      <c r="C2103" s="58" t="inlineStr">
        <is>
          <t>Alisa Acciardi</t>
        </is>
      </c>
      <c r="D2103" s="58" t="inlineStr">
        <is>
          <t>Off-premise</t>
        </is>
      </c>
      <c r="E2103" s="53" t="n">
        <v>18</v>
      </c>
      <c r="F2103" s="53" t="n">
        <v>5</v>
      </c>
      <c r="G2103" s="55" t="n">
        <v>143.05</v>
      </c>
      <c r="H2103" s="55" t="n">
        <v>42.01</v>
      </c>
      <c r="I2103" s="53" t="n">
        <v>42</v>
      </c>
      <c r="J2103" s="53" t="n">
        <v>47</v>
      </c>
      <c r="K2103" s="53" t="n">
        <v>18</v>
      </c>
      <c r="L2103" s="53" t="n">
        <v>5</v>
      </c>
      <c r="M2103" s="33">
        <f>F2103-E2103</f>
        <v/>
      </c>
      <c r="N2103" s="33">
        <f>L2103-K2103</f>
        <v/>
      </c>
    </row>
    <row r="2104">
      <c r="A2104" s="58" t="inlineStr">
        <is>
          <t>250028 Beechwood Wine &amp; Liq</t>
        </is>
      </c>
      <c r="B2104" s="58" t="inlineStr">
        <is>
          <t>Union</t>
        </is>
      </c>
      <c r="C2104" s="58" t="inlineStr">
        <is>
          <t>Andrew Lundy</t>
        </is>
      </c>
      <c r="D2104" s="58" t="inlineStr">
        <is>
          <t>Off-premise</t>
        </is>
      </c>
      <c r="E2104" s="53" t="n">
        <v>27</v>
      </c>
      <c r="F2104" s="53" t="n">
        <v>14</v>
      </c>
      <c r="G2104" s="55" t="n">
        <v>245.15</v>
      </c>
      <c r="H2104" s="55" t="n">
        <v>107.33</v>
      </c>
      <c r="I2104" s="53" t="n">
        <v>20</v>
      </c>
      <c r="J2104" s="53" t="n">
        <v>15</v>
      </c>
      <c r="K2104" s="53" t="n">
        <v>27</v>
      </c>
      <c r="L2104" s="53" t="n">
        <v>14</v>
      </c>
      <c r="M2104" s="33">
        <f>F2104-E2104</f>
        <v/>
      </c>
      <c r="N2104" s="33">
        <f>L2104-K2104</f>
        <v/>
      </c>
    </row>
    <row r="2105">
      <c r="A2105" s="58" t="inlineStr">
        <is>
          <t>250110 Liquor City @ Sams Club</t>
        </is>
      </c>
      <c r="B2105" s="58" t="inlineStr">
        <is>
          <t>Union</t>
        </is>
      </c>
      <c r="C2105" s="58" t="inlineStr">
        <is>
          <t>Andrew Lundy</t>
        </is>
      </c>
      <c r="D2105" s="58" t="inlineStr">
        <is>
          <t>Off-premise</t>
        </is>
      </c>
      <c r="E2105" s="53" t="n">
        <v>108</v>
      </c>
      <c r="F2105" s="53" t="n">
        <v>95</v>
      </c>
      <c r="G2105" s="55" t="n">
        <v>696.0599999999999</v>
      </c>
      <c r="H2105" s="55" t="n">
        <v>564.6799999999999</v>
      </c>
      <c r="I2105" s="53" t="n">
        <v>152</v>
      </c>
      <c r="J2105" s="53" t="n">
        <v>204</v>
      </c>
      <c r="K2105" s="53" t="n">
        <v>108</v>
      </c>
      <c r="L2105" s="53" t="n">
        <v>95</v>
      </c>
      <c r="M2105" s="33">
        <f>F2105-E2105</f>
        <v/>
      </c>
      <c r="N2105" s="33">
        <f>L2105-K2105</f>
        <v/>
      </c>
    </row>
    <row r="2106">
      <c r="A2106" s="58" t="inlineStr">
        <is>
          <t>170023 Corks &amp; Bottles (P)</t>
        </is>
      </c>
      <c r="B2106" s="58" t="inlineStr">
        <is>
          <t>Hudson</t>
        </is>
      </c>
      <c r="C2106" s="58" t="inlineStr">
        <is>
          <t>Dylan Rubino</t>
        </is>
      </c>
      <c r="D2106" s="58" t="inlineStr">
        <is>
          <t>Off-premise</t>
        </is>
      </c>
      <c r="E2106" s="53" t="n">
        <v>83</v>
      </c>
      <c r="F2106" s="53" t="n">
        <v>70</v>
      </c>
      <c r="G2106" s="55" t="n">
        <v>561.04</v>
      </c>
      <c r="H2106" s="55" t="n">
        <v>452.6</v>
      </c>
      <c r="I2106" s="53" t="n">
        <v>158</v>
      </c>
      <c r="J2106" s="53" t="n">
        <v>178</v>
      </c>
      <c r="K2106" s="53" t="n">
        <v>83</v>
      </c>
      <c r="L2106" s="53" t="n">
        <v>70</v>
      </c>
      <c r="M2106" s="33">
        <f>F2106-E2106</f>
        <v/>
      </c>
      <c r="N2106" s="33">
        <f>L2106-K2106</f>
        <v/>
      </c>
    </row>
    <row r="2107">
      <c r="A2107" s="58" t="inlineStr">
        <is>
          <t>170087 Liquor Mart (Jersey City)</t>
        </is>
      </c>
      <c r="B2107" s="58" t="inlineStr">
        <is>
          <t>Hudson</t>
        </is>
      </c>
      <c r="C2107" s="58" t="inlineStr">
        <is>
          <t>Dylan Rubino</t>
        </is>
      </c>
      <c r="D2107" s="58" t="inlineStr">
        <is>
          <t>Off-premise</t>
        </is>
      </c>
      <c r="E2107" s="53" t="n">
        <v>24</v>
      </c>
      <c r="F2107" s="53" t="n">
        <v>11</v>
      </c>
      <c r="G2107" s="55" t="n">
        <v>177.02</v>
      </c>
      <c r="H2107" s="55" t="n">
        <v>77.77</v>
      </c>
      <c r="I2107" s="53" t="n">
        <v>139</v>
      </c>
      <c r="J2107" s="53" t="n">
        <v>87</v>
      </c>
      <c r="K2107" s="53" t="n">
        <v>24</v>
      </c>
      <c r="L2107" s="53" t="n">
        <v>11</v>
      </c>
      <c r="M2107" s="33">
        <f>F2107-E2107</f>
        <v/>
      </c>
      <c r="N2107" s="33">
        <f>L2107-K2107</f>
        <v/>
      </c>
    </row>
    <row r="2108">
      <c r="A2108" s="58" t="inlineStr">
        <is>
          <t>170182 Binnys Liquors (1062 Jersey City)</t>
        </is>
      </c>
      <c r="B2108" s="58" t="inlineStr">
        <is>
          <t>Hudson</t>
        </is>
      </c>
      <c r="C2108" s="58" t="inlineStr">
        <is>
          <t>Dylan Rubino</t>
        </is>
      </c>
      <c r="D2108" s="58" t="inlineStr">
        <is>
          <t>Off-premise</t>
        </is>
      </c>
      <c r="E2108" s="53" t="n">
        <v>23</v>
      </c>
      <c r="F2108" s="53" t="n">
        <v>10</v>
      </c>
      <c r="G2108" s="55" t="n">
        <v>169.86</v>
      </c>
      <c r="H2108" s="55" t="n">
        <v>71.56</v>
      </c>
      <c r="I2108" s="53" t="n">
        <v>31</v>
      </c>
      <c r="J2108" s="53" t="n">
        <v>19</v>
      </c>
      <c r="K2108" s="53" t="n">
        <v>23</v>
      </c>
      <c r="L2108" s="53" t="n">
        <v>10</v>
      </c>
      <c r="M2108" s="33">
        <f>F2108-E2108</f>
        <v/>
      </c>
      <c r="N2108" s="33">
        <f>L2108-K2108</f>
        <v/>
      </c>
    </row>
    <row r="2109">
      <c r="A2109" s="58" t="inlineStr">
        <is>
          <t>170233 Five Star Liquors</t>
        </is>
      </c>
      <c r="B2109" s="58" t="inlineStr">
        <is>
          <t>Hudson</t>
        </is>
      </c>
      <c r="C2109" s="58" t="inlineStr">
        <is>
          <t>Dylan Rubino</t>
        </is>
      </c>
      <c r="D2109" s="58" t="inlineStr">
        <is>
          <t>Off-premise</t>
        </is>
      </c>
      <c r="E2109" s="53" t="n">
        <v>22</v>
      </c>
      <c r="F2109" s="53" t="n">
        <v>9</v>
      </c>
      <c r="G2109" s="55" t="n">
        <v>164.58</v>
      </c>
      <c r="H2109" s="55" t="n">
        <v>71.54000000000001</v>
      </c>
      <c r="I2109" s="53" t="n">
        <v>37</v>
      </c>
      <c r="J2109" s="53" t="n">
        <v>9</v>
      </c>
      <c r="K2109" s="53" t="n">
        <v>22</v>
      </c>
      <c r="L2109" s="53" t="n">
        <v>9</v>
      </c>
      <c r="M2109" s="33">
        <f>F2109-E2109</f>
        <v/>
      </c>
      <c r="N2109" s="33">
        <f>L2109-K2109</f>
        <v/>
      </c>
    </row>
    <row r="2110">
      <c r="A2110" s="58" t="inlineStr">
        <is>
          <t>21006 Camilo Liquors(A)</t>
        </is>
      </c>
      <c r="B2110" s="58" t="inlineStr">
        <is>
          <t>Passaic</t>
        </is>
      </c>
      <c r="C2110" s="58" t="inlineStr">
        <is>
          <t>Javier Melo</t>
        </is>
      </c>
      <c r="D2110" s="58" t="inlineStr">
        <is>
          <t>Off-premise</t>
        </is>
      </c>
      <c r="E2110" s="53" t="n">
        <v>1967</v>
      </c>
      <c r="F2110" s="53" t="n">
        <v>1968</v>
      </c>
      <c r="G2110" s="55" t="n">
        <v>14245.25</v>
      </c>
      <c r="H2110" s="55" t="n">
        <v>14431.15</v>
      </c>
      <c r="I2110" s="53" t="n">
        <v>62</v>
      </c>
      <c r="J2110" s="53" t="n">
        <v>38</v>
      </c>
      <c r="K2110" s="53" t="n">
        <v>90</v>
      </c>
      <c r="L2110" s="53" t="n">
        <v>77</v>
      </c>
      <c r="M2110" s="33">
        <f>F2110-E2110</f>
        <v/>
      </c>
      <c r="N2110" s="33">
        <f>L2110-K2110</f>
        <v/>
      </c>
    </row>
    <row r="2111">
      <c r="A2111" s="58" t="inlineStr">
        <is>
          <t>25023 Clifton Wine &amp; Liquor</t>
        </is>
      </c>
      <c r="B2111" s="58" t="inlineStr">
        <is>
          <t>Passaic</t>
        </is>
      </c>
      <c r="C2111" s="58" t="inlineStr">
        <is>
          <t>Jim Heaney</t>
        </is>
      </c>
      <c r="D2111" s="58" t="inlineStr">
        <is>
          <t>Off-premise</t>
        </is>
      </c>
      <c r="E2111" s="53" t="n">
        <v>867</v>
      </c>
      <c r="F2111" s="53" t="n">
        <v>914</v>
      </c>
      <c r="G2111" s="55" t="n">
        <v>5697.329999999999</v>
      </c>
      <c r="H2111" s="55" t="n">
        <v>6341.679999999999</v>
      </c>
      <c r="I2111" s="53" t="n">
        <v>89</v>
      </c>
      <c r="J2111" s="53" t="n">
        <v>111</v>
      </c>
      <c r="K2111" s="53" t="n">
        <v>143</v>
      </c>
      <c r="L2111" s="53" t="n">
        <v>130</v>
      </c>
      <c r="M2111" s="33">
        <f>F2111-E2111</f>
        <v/>
      </c>
      <c r="N2111" s="33">
        <f>L2111-K2111</f>
        <v/>
      </c>
    </row>
    <row r="2112">
      <c r="A2112" s="58" t="inlineStr">
        <is>
          <t>94006 Harvest and Ale</t>
        </is>
      </c>
      <c r="B2112" s="58" t="inlineStr">
        <is>
          <t>Bergen</t>
        </is>
      </c>
      <c r="C2112" s="58" t="inlineStr">
        <is>
          <t>Nick Melissari</t>
        </is>
      </c>
      <c r="D2112" s="58" t="inlineStr">
        <is>
          <t>Unmatched</t>
        </is>
      </c>
      <c r="E2112" s="53" t="n">
        <v>82</v>
      </c>
      <c r="F2112" s="53" t="n">
        <v>30</v>
      </c>
      <c r="G2112" s="55" t="n">
        <v>633.0400000000001</v>
      </c>
      <c r="H2112" s="55" t="n">
        <v>238.25</v>
      </c>
      <c r="I2112" s="53" t="n">
        <v>41</v>
      </c>
      <c r="J2112" s="53" t="n">
        <v>26</v>
      </c>
      <c r="K2112" s="53" t="n">
        <v>22</v>
      </c>
      <c r="L2112" s="53" t="n">
        <v>9</v>
      </c>
      <c r="M2112" s="33">
        <f>F2112-E2112</f>
        <v/>
      </c>
      <c r="N2112" s="33">
        <f>L2112-K2112</f>
        <v/>
      </c>
    </row>
    <row r="2113">
      <c r="A2113" s="58" t="inlineStr">
        <is>
          <t>20102 La Fiesta</t>
        </is>
      </c>
      <c r="B2113" s="58" t="inlineStr">
        <is>
          <t>Passaic</t>
        </is>
      </c>
      <c r="C2113" s="58" t="inlineStr">
        <is>
          <t>Pablo Lopez</t>
        </is>
      </c>
      <c r="D2113" s="58" t="inlineStr">
        <is>
          <t>On-premise</t>
        </is>
      </c>
      <c r="E2113" s="53" t="n">
        <v>109</v>
      </c>
      <c r="F2113" s="53" t="n">
        <v>0</v>
      </c>
      <c r="G2113" s="55" t="n">
        <v>938.79</v>
      </c>
      <c r="H2113" s="55" t="n">
        <v>0</v>
      </c>
      <c r="I2113" s="53" t="n">
        <v>6</v>
      </c>
      <c r="J2113" s="53" t="n">
        <v>0</v>
      </c>
      <c r="K2113" s="53" t="n">
        <v>13</v>
      </c>
      <c r="L2113" s="53" t="n">
        <v>0</v>
      </c>
      <c r="M2113" s="33">
        <f>F2113-E2113</f>
        <v/>
      </c>
      <c r="N2113" s="33">
        <f>L2113-K2113</f>
        <v/>
      </c>
    </row>
    <row r="2114">
      <c r="A2114" s="58" t="inlineStr">
        <is>
          <t>69007 Florentine Garden</t>
        </is>
      </c>
      <c r="B2114" s="58" t="inlineStr">
        <is>
          <t>Bergen</t>
        </is>
      </c>
      <c r="C2114" s="58" t="inlineStr">
        <is>
          <t>Paul Mclaughlin</t>
        </is>
      </c>
      <c r="D2114" s="58" t="inlineStr">
        <is>
          <t>On-premise</t>
        </is>
      </c>
      <c r="E2114" s="53" t="n">
        <v>247</v>
      </c>
      <c r="F2114" s="53" t="n">
        <v>154</v>
      </c>
      <c r="G2114" s="55" t="n">
        <v>1913.64</v>
      </c>
      <c r="H2114" s="55" t="n">
        <v>1256.39</v>
      </c>
      <c r="I2114" s="53" t="n">
        <v>62</v>
      </c>
      <c r="J2114" s="53" t="n">
        <v>42</v>
      </c>
      <c r="K2114" s="53" t="n">
        <v>25</v>
      </c>
      <c r="L2114" s="53" t="n">
        <v>12</v>
      </c>
      <c r="M2114" s="33">
        <f>F2114-E2114</f>
        <v/>
      </c>
      <c r="N2114" s="33">
        <f>L2114-K2114</f>
        <v/>
      </c>
    </row>
    <row r="2115">
      <c r="A2115" s="58" t="inlineStr">
        <is>
          <t>50005 Megha Liquor &amp; Grocery</t>
        </is>
      </c>
      <c r="B2115" s="58" t="inlineStr">
        <is>
          <t>Bergen</t>
        </is>
      </c>
      <c r="C2115" s="58" t="inlineStr">
        <is>
          <t>Phil Ernst</t>
        </is>
      </c>
      <c r="D2115" s="58" t="inlineStr">
        <is>
          <t>Off-premise</t>
        </is>
      </c>
      <c r="E2115" s="53" t="n">
        <v>267</v>
      </c>
      <c r="F2115" s="53" t="n">
        <v>215</v>
      </c>
      <c r="G2115" s="55" t="n">
        <v>1836.6</v>
      </c>
      <c r="H2115" s="55" t="n">
        <v>1824</v>
      </c>
      <c r="I2115" s="53" t="n">
        <v>19</v>
      </c>
      <c r="J2115" s="53" t="n">
        <v>6</v>
      </c>
      <c r="K2115" s="53" t="n">
        <v>41</v>
      </c>
      <c r="L2115" s="53" t="n">
        <v>28</v>
      </c>
      <c r="M2115" s="33">
        <f>F2115-E2115</f>
        <v/>
      </c>
      <c r="N2115" s="33">
        <f>L2115-K2115</f>
        <v/>
      </c>
    </row>
    <row r="2116">
      <c r="A2116" s="58" t="inlineStr">
        <is>
          <t>150098 Lisbon Wines &amp; Liquors</t>
        </is>
      </c>
      <c r="B2116" s="58" t="inlineStr">
        <is>
          <t>Essex</t>
        </is>
      </c>
      <c r="C2116" s="58" t="inlineStr">
        <is>
          <t>Alisa Acciardi</t>
        </is>
      </c>
      <c r="D2116" s="58" t="inlineStr">
        <is>
          <t>Off-premise</t>
        </is>
      </c>
      <c r="E2116" s="53" t="n">
        <v>14</v>
      </c>
      <c r="F2116" s="53" t="n">
        <v>0</v>
      </c>
      <c r="G2116" s="55" t="n">
        <v>126.04</v>
      </c>
      <c r="H2116" s="55" t="n">
        <v>0</v>
      </c>
      <c r="I2116" s="53" t="n">
        <v>150</v>
      </c>
      <c r="J2116" s="53" t="n">
        <v>23</v>
      </c>
      <c r="K2116" s="53" t="n">
        <v>14</v>
      </c>
      <c r="L2116" s="53" t="n">
        <v>0</v>
      </c>
      <c r="M2116" s="33">
        <f>F2116-E2116</f>
        <v/>
      </c>
      <c r="N2116" s="33">
        <f>L2116-K2116</f>
        <v/>
      </c>
    </row>
    <row r="2117">
      <c r="A2117" s="58" t="inlineStr">
        <is>
          <t>12038 Tommy's Tavern + Tap (Wayne)</t>
        </is>
      </c>
      <c r="B2117" s="58" t="inlineStr">
        <is>
          <t>Passaic</t>
        </is>
      </c>
      <c r="C2117" s="58" t="inlineStr">
        <is>
          <t>Allison Scott</t>
        </is>
      </c>
      <c r="D2117" s="58" t="inlineStr">
        <is>
          <t>On-premise</t>
        </is>
      </c>
      <c r="E2117" s="53" t="n">
        <v>412</v>
      </c>
      <c r="F2117" s="53" t="n">
        <v>415</v>
      </c>
      <c r="G2117" s="55" t="n">
        <v>3351.91</v>
      </c>
      <c r="H2117" s="55" t="n">
        <v>3072.119999999999</v>
      </c>
      <c r="I2117" s="53" t="n">
        <v>131</v>
      </c>
      <c r="J2117" s="53" t="n">
        <v>95</v>
      </c>
      <c r="K2117" s="53" t="n">
        <v>83</v>
      </c>
      <c r="L2117" s="53" t="n">
        <v>69</v>
      </c>
      <c r="M2117" s="33">
        <f>F2117-E2117</f>
        <v/>
      </c>
      <c r="N2117" s="33">
        <f>L2117-K2117</f>
        <v/>
      </c>
    </row>
    <row r="2118">
      <c r="A2118" s="58" t="inlineStr">
        <is>
          <t>190704 Tavern On The Rocks</t>
        </is>
      </c>
      <c r="B2118" s="58" t="inlineStr">
        <is>
          <t>Morris</t>
        </is>
      </c>
      <c r="C2118" s="58" t="inlineStr">
        <is>
          <t>Brian Sengebush</t>
        </is>
      </c>
      <c r="D2118" s="58" t="inlineStr">
        <is>
          <t>On-premise</t>
        </is>
      </c>
      <c r="E2118" s="53" t="n">
        <v>441</v>
      </c>
      <c r="F2118" s="53" t="n">
        <v>429</v>
      </c>
      <c r="G2118" s="55" t="n">
        <v>2748.37</v>
      </c>
      <c r="H2118" s="55" t="n">
        <v>2756.26</v>
      </c>
      <c r="I2118" s="53" t="n">
        <v>68</v>
      </c>
      <c r="J2118" s="53" t="n">
        <v>52</v>
      </c>
      <c r="K2118" s="53" t="n">
        <v>34</v>
      </c>
      <c r="L2118" s="53" t="n">
        <v>20</v>
      </c>
      <c r="M2118" s="33">
        <f>F2118-E2118</f>
        <v/>
      </c>
      <c r="N2118" s="33">
        <f>L2118-K2118</f>
        <v/>
      </c>
    </row>
    <row r="2119">
      <c r="A2119" s="58" t="inlineStr">
        <is>
          <t>47005 Exquisite W &amp; L (A)</t>
        </is>
      </c>
      <c r="B2119" s="58" t="inlineStr">
        <is>
          <t>Bergen</t>
        </is>
      </c>
      <c r="C2119" s="58" t="inlineStr">
        <is>
          <t>Chris Payton</t>
        </is>
      </c>
      <c r="D2119" s="58" t="inlineStr">
        <is>
          <t>Off-premise</t>
        </is>
      </c>
      <c r="E2119" s="53" t="n">
        <v>4147</v>
      </c>
      <c r="F2119" s="53" t="n">
        <v>3760</v>
      </c>
      <c r="G2119" s="55" t="n">
        <v>27721.73</v>
      </c>
      <c r="H2119" s="55" t="n">
        <v>25715.29</v>
      </c>
      <c r="I2119" s="53" t="n">
        <v>731</v>
      </c>
      <c r="J2119" s="53" t="n">
        <v>652</v>
      </c>
      <c r="K2119" s="53" t="n">
        <v>431</v>
      </c>
      <c r="L2119" s="53" t="n">
        <v>417</v>
      </c>
      <c r="M2119" s="33">
        <f>F2119-E2119</f>
        <v/>
      </c>
      <c r="N2119" s="33">
        <f>L2119-K2119</f>
        <v/>
      </c>
    </row>
    <row r="2120">
      <c r="A2120" s="58" t="inlineStr">
        <is>
          <t>76012 Excelsior (Z)</t>
        </is>
      </c>
      <c r="B2120" s="58" t="inlineStr">
        <is>
          <t>Bergen</t>
        </is>
      </c>
      <c r="C2120" s="58" t="inlineStr">
        <is>
          <t>Chris Payton</t>
        </is>
      </c>
      <c r="D2120" s="58" t="inlineStr">
        <is>
          <t>On-premise</t>
        </is>
      </c>
      <c r="E2120" s="53" t="n">
        <v>39</v>
      </c>
      <c r="F2120" s="53" t="n">
        <v>42</v>
      </c>
      <c r="G2120" s="55" t="n">
        <v>327.91</v>
      </c>
      <c r="H2120" s="55" t="n">
        <v>378.16</v>
      </c>
      <c r="I2120" s="53" t="n">
        <v>0</v>
      </c>
      <c r="J2120" s="53" t="n">
        <v>0</v>
      </c>
      <c r="K2120" s="53" t="n">
        <v>14</v>
      </c>
      <c r="L2120" s="53" t="n">
        <v>0</v>
      </c>
      <c r="M2120" s="33">
        <f>F2120-E2120</f>
        <v/>
      </c>
      <c r="N2120" s="33">
        <f>L2120-K2120</f>
        <v/>
      </c>
    </row>
    <row r="2121">
      <c r="A2121" s="58" t="inlineStr">
        <is>
          <t>46018 Mad For Chicken Palisades Park</t>
        </is>
      </c>
      <c r="B2121" s="58" t="inlineStr">
        <is>
          <t>Bergen</t>
        </is>
      </c>
      <c r="C2121" s="58" t="inlineStr">
        <is>
          <t>Dan Lagala</t>
        </is>
      </c>
      <c r="D2121" s="58" t="inlineStr">
        <is>
          <t>Unmatched</t>
        </is>
      </c>
      <c r="E2121" s="53" t="n">
        <v>20</v>
      </c>
      <c r="F2121" s="53" t="n">
        <v>0</v>
      </c>
      <c r="G2121" s="55" t="n">
        <v>216.62</v>
      </c>
      <c r="H2121" s="55" t="n">
        <v>0</v>
      </c>
      <c r="I2121" s="53" t="n">
        <v>0</v>
      </c>
      <c r="J2121" s="53" t="n">
        <v>0</v>
      </c>
      <c r="K2121" s="53" t="n">
        <v>14</v>
      </c>
      <c r="L2121" s="53" t="n">
        <v>0</v>
      </c>
      <c r="M2121" s="33">
        <f>F2121-E2121</f>
        <v/>
      </c>
      <c r="N2121" s="33">
        <f>L2121-K2121</f>
        <v/>
      </c>
    </row>
    <row r="2122">
      <c r="A2122" s="58" t="inlineStr">
        <is>
          <t>46004 Hang Ahri(Pelicana Chic)Z</t>
        </is>
      </c>
      <c r="B2122" s="58" t="inlineStr">
        <is>
          <t>Bergen</t>
        </is>
      </c>
      <c r="C2122" s="58" t="inlineStr">
        <is>
          <t>Dan Lagala</t>
        </is>
      </c>
      <c r="D2122" s="58" t="inlineStr">
        <is>
          <t>Unmatched</t>
        </is>
      </c>
      <c r="E2122" s="53" t="n">
        <v>49</v>
      </c>
      <c r="F2122" s="53" t="n">
        <v>0</v>
      </c>
      <c r="G2122" s="55" t="n">
        <v>328.05</v>
      </c>
      <c r="H2122" s="55" t="n">
        <v>0</v>
      </c>
      <c r="I2122" s="53" t="n">
        <v>7</v>
      </c>
      <c r="J2122" s="53" t="n">
        <v>0</v>
      </c>
      <c r="K2122" s="53" t="n">
        <v>14</v>
      </c>
      <c r="L2122" s="53" t="n">
        <v>0</v>
      </c>
      <c r="M2122" s="33">
        <f>F2122-E2122</f>
        <v/>
      </c>
      <c r="N2122" s="33">
        <f>L2122-K2122</f>
        <v/>
      </c>
    </row>
    <row r="2123">
      <c r="A2123" s="58" t="inlineStr">
        <is>
          <t>170088 Sip Discount Liq (A)</t>
        </is>
      </c>
      <c r="B2123" s="58" t="inlineStr">
        <is>
          <t>Hudson</t>
        </is>
      </c>
      <c r="C2123" s="58" t="inlineStr">
        <is>
          <t>Dylan Rubino</t>
        </is>
      </c>
      <c r="D2123" s="58" t="inlineStr">
        <is>
          <t>Off-premise</t>
        </is>
      </c>
      <c r="E2123" s="53" t="n">
        <v>28</v>
      </c>
      <c r="F2123" s="53" t="n">
        <v>14</v>
      </c>
      <c r="G2123" s="55" t="n">
        <v>214.6</v>
      </c>
      <c r="H2123" s="55" t="n">
        <v>114.33</v>
      </c>
      <c r="I2123" s="53" t="n">
        <v>37</v>
      </c>
      <c r="J2123" s="53" t="n">
        <v>34</v>
      </c>
      <c r="K2123" s="53" t="n">
        <v>28</v>
      </c>
      <c r="L2123" s="53" t="n">
        <v>14</v>
      </c>
      <c r="M2123" s="33">
        <f>F2123-E2123</f>
        <v/>
      </c>
      <c r="N2123" s="33">
        <f>L2123-K2123</f>
        <v/>
      </c>
    </row>
    <row r="2124">
      <c r="A2124" s="58" t="inlineStr">
        <is>
          <t>171340 PF Changs China Bistro (West NY)</t>
        </is>
      </c>
      <c r="B2124" s="58" t="inlineStr">
        <is>
          <t>Hudson</t>
        </is>
      </c>
      <c r="C2124" s="58" t="inlineStr">
        <is>
          <t>Dylan Rubino</t>
        </is>
      </c>
      <c r="D2124" s="58" t="inlineStr">
        <is>
          <t>On-premise</t>
        </is>
      </c>
      <c r="E2124" s="53" t="n">
        <v>48</v>
      </c>
      <c r="F2124" s="53" t="n">
        <v>34</v>
      </c>
      <c r="G2124" s="55" t="n">
        <v>277.75</v>
      </c>
      <c r="H2124" s="55" t="n">
        <v>211.25</v>
      </c>
      <c r="I2124" s="53" t="n">
        <v>0</v>
      </c>
      <c r="J2124" s="53" t="n">
        <v>0</v>
      </c>
      <c r="K2124" s="53" t="n">
        <v>48</v>
      </c>
      <c r="L2124" s="53" t="n">
        <v>34</v>
      </c>
      <c r="M2124" s="33">
        <f>F2124-E2124</f>
        <v/>
      </c>
      <c r="N2124" s="33">
        <f>L2124-K2124</f>
        <v/>
      </c>
    </row>
    <row r="2125">
      <c r="A2125" s="58" t="inlineStr">
        <is>
          <t>172051 WNY Liquors</t>
        </is>
      </c>
      <c r="B2125" s="58" t="inlineStr">
        <is>
          <t>Hudson</t>
        </is>
      </c>
      <c r="C2125" s="58" t="inlineStr">
        <is>
          <t>Dylan Rubino</t>
        </is>
      </c>
      <c r="D2125" s="58" t="inlineStr">
        <is>
          <t>Off-premise</t>
        </is>
      </c>
      <c r="E2125" s="53" t="n">
        <v>32</v>
      </c>
      <c r="F2125" s="53" t="n">
        <v>18</v>
      </c>
      <c r="G2125" s="55" t="n">
        <v>218.77</v>
      </c>
      <c r="H2125" s="55" t="n">
        <v>143.05</v>
      </c>
      <c r="I2125" s="53" t="n">
        <v>196</v>
      </c>
      <c r="J2125" s="53" t="n">
        <v>149</v>
      </c>
      <c r="K2125" s="53" t="n">
        <v>32</v>
      </c>
      <c r="L2125" s="53" t="n">
        <v>18</v>
      </c>
      <c r="M2125" s="33">
        <f>F2125-E2125</f>
        <v/>
      </c>
      <c r="N2125" s="33">
        <f>L2125-K2125</f>
        <v/>
      </c>
    </row>
    <row r="2126">
      <c r="A2126" s="58" t="inlineStr">
        <is>
          <t>178104 Asian Grill &amp; Sushi</t>
        </is>
      </c>
      <c r="B2126" s="58" t="inlineStr">
        <is>
          <t>Hudson</t>
        </is>
      </c>
      <c r="C2126" s="58" t="inlineStr">
        <is>
          <t>Dylan Rubino</t>
        </is>
      </c>
      <c r="D2126" s="58" t="inlineStr">
        <is>
          <t>On-premise</t>
        </is>
      </c>
      <c r="E2126" s="53" t="n">
        <v>28</v>
      </c>
      <c r="F2126" s="53" t="n">
        <v>14</v>
      </c>
      <c r="G2126" s="55" t="n">
        <v>157</v>
      </c>
      <c r="H2126" s="55" t="n">
        <v>78.5</v>
      </c>
      <c r="I2126" s="53" t="n">
        <v>10</v>
      </c>
      <c r="J2126" s="53" t="n">
        <v>19</v>
      </c>
      <c r="K2126" s="53" t="n">
        <v>28</v>
      </c>
      <c r="L2126" s="53" t="n">
        <v>14</v>
      </c>
      <c r="M2126" s="33">
        <f>F2126-E2126</f>
        <v/>
      </c>
      <c r="N2126" s="33">
        <f>L2126-K2126</f>
        <v/>
      </c>
    </row>
    <row r="2127">
      <c r="A2127" s="58" t="inlineStr">
        <is>
          <t>170129 Ani Ramen House</t>
        </is>
      </c>
      <c r="B2127" s="58" t="inlineStr">
        <is>
          <t>Hudson</t>
        </is>
      </c>
      <c r="C2127" s="58" t="inlineStr">
        <is>
          <t>Jaime Colonna</t>
        </is>
      </c>
      <c r="D2127" s="58" t="inlineStr">
        <is>
          <t>On-premise</t>
        </is>
      </c>
      <c r="E2127" s="53" t="n">
        <v>55</v>
      </c>
      <c r="F2127" s="53" t="n">
        <v>41</v>
      </c>
      <c r="G2127" s="55" t="n">
        <v>317</v>
      </c>
      <c r="H2127" s="55" t="n">
        <v>241.5</v>
      </c>
      <c r="I2127" s="53" t="n">
        <v>0</v>
      </c>
      <c r="J2127" s="53" t="n">
        <v>18</v>
      </c>
      <c r="K2127" s="53" t="n">
        <v>55</v>
      </c>
      <c r="L2127" s="53" t="n">
        <v>41</v>
      </c>
      <c r="M2127" s="33">
        <f>F2127-E2127</f>
        <v/>
      </c>
      <c r="N2127" s="33">
        <f>L2127-K2127</f>
        <v/>
      </c>
    </row>
    <row r="2128">
      <c r="A2128" s="58" t="inlineStr">
        <is>
          <t>230121 White Deer Inn</t>
        </is>
      </c>
      <c r="B2128" s="58" t="inlineStr">
        <is>
          <t>Sussex</t>
        </is>
      </c>
      <c r="C2128" s="58" t="inlineStr">
        <is>
          <t>Jayson Romine</t>
        </is>
      </c>
      <c r="D2128" s="58" t="inlineStr">
        <is>
          <t>Off-premise</t>
        </is>
      </c>
      <c r="E2128" s="53" t="n">
        <v>1585</v>
      </c>
      <c r="F2128" s="53" t="n">
        <v>1575</v>
      </c>
      <c r="G2128" s="55" t="n">
        <v>10925.05</v>
      </c>
      <c r="H2128" s="55" t="n">
        <v>10788.05</v>
      </c>
      <c r="I2128" s="53" t="n">
        <v>320</v>
      </c>
      <c r="J2128" s="53" t="n">
        <v>301</v>
      </c>
      <c r="K2128" s="53" t="n">
        <v>338</v>
      </c>
      <c r="L2128" s="53" t="n">
        <v>324</v>
      </c>
      <c r="M2128" s="33">
        <f>F2128-E2128</f>
        <v/>
      </c>
      <c r="N2128" s="33">
        <f>L2128-K2128</f>
        <v/>
      </c>
    </row>
    <row r="2129">
      <c r="A2129" s="58" t="inlineStr">
        <is>
          <t>11001 Lincoln Center Liq</t>
        </is>
      </c>
      <c r="B2129" s="58" t="inlineStr">
        <is>
          <t>Morris</t>
        </is>
      </c>
      <c r="C2129" s="58" t="inlineStr">
        <is>
          <t>Michael Harboy</t>
        </is>
      </c>
      <c r="D2129" s="58" t="inlineStr">
        <is>
          <t>Off-premise</t>
        </is>
      </c>
      <c r="E2129" s="53" t="n">
        <v>2557</v>
      </c>
      <c r="F2129" s="53" t="n">
        <v>1504</v>
      </c>
      <c r="G2129" s="55" t="n">
        <v>16103.86</v>
      </c>
      <c r="H2129" s="55" t="n">
        <v>9826.460000000001</v>
      </c>
      <c r="I2129" s="53" t="n">
        <v>856</v>
      </c>
      <c r="J2129" s="53" t="n">
        <v>625</v>
      </c>
      <c r="K2129" s="53" t="n">
        <v>308</v>
      </c>
      <c r="L2129" s="53" t="n">
        <v>294</v>
      </c>
      <c r="M2129" s="33">
        <f>F2129-E2129</f>
        <v/>
      </c>
      <c r="N2129" s="33">
        <f>L2129-K2129</f>
        <v/>
      </c>
    </row>
    <row r="2130">
      <c r="A2130" s="58" t="inlineStr">
        <is>
          <t>84001 Public Ridgewood</t>
        </is>
      </c>
      <c r="B2130" s="58" t="inlineStr">
        <is>
          <t>Bergen</t>
        </is>
      </c>
      <c r="C2130" s="58" t="inlineStr">
        <is>
          <t>Mike Ast</t>
        </is>
      </c>
      <c r="D2130" s="58" t="inlineStr">
        <is>
          <t>Off-premise</t>
        </is>
      </c>
      <c r="E2130" s="53" t="n">
        <v>269</v>
      </c>
      <c r="F2130" s="53" t="n">
        <v>293</v>
      </c>
      <c r="G2130" s="55" t="n">
        <v>2228.38</v>
      </c>
      <c r="H2130" s="55" t="n">
        <v>2427.79</v>
      </c>
      <c r="I2130" s="53" t="n">
        <v>17</v>
      </c>
      <c r="J2130" s="53" t="n">
        <v>9</v>
      </c>
      <c r="K2130" s="53" t="n">
        <v>71</v>
      </c>
      <c r="L2130" s="53" t="n">
        <v>57</v>
      </c>
      <c r="M2130" s="33">
        <f>F2130-E2130</f>
        <v/>
      </c>
      <c r="N2130" s="33">
        <f>L2130-K2130</f>
        <v/>
      </c>
    </row>
    <row r="2131">
      <c r="A2131" s="58" t="inlineStr">
        <is>
          <t>32010 Segovia Meson</t>
        </is>
      </c>
      <c r="B2131" s="58" t="inlineStr">
        <is>
          <t>Bergen</t>
        </is>
      </c>
      <c r="C2131" s="58" t="inlineStr">
        <is>
          <t>Nick Melissari</t>
        </is>
      </c>
      <c r="D2131" s="58" t="inlineStr">
        <is>
          <t>On-premise</t>
        </is>
      </c>
      <c r="E2131" s="53" t="n">
        <v>68</v>
      </c>
      <c r="F2131" s="53" t="n">
        <v>76</v>
      </c>
      <c r="G2131" s="55" t="n">
        <v>551.96</v>
      </c>
      <c r="H2131" s="55" t="n">
        <v>656.46</v>
      </c>
      <c r="I2131" s="53" t="n">
        <v>9</v>
      </c>
      <c r="J2131" s="53" t="n">
        <v>2</v>
      </c>
      <c r="K2131" s="53" t="n">
        <v>14</v>
      </c>
      <c r="L2131" s="53" t="n">
        <v>0</v>
      </c>
      <c r="M2131" s="33">
        <f>F2131-E2131</f>
        <v/>
      </c>
      <c r="N2131" s="33">
        <f>L2131-K2131</f>
        <v/>
      </c>
    </row>
    <row r="2132">
      <c r="A2132" s="58" t="inlineStr">
        <is>
          <t>56004 Jack E Pooh's</t>
        </is>
      </c>
      <c r="B2132" s="58" t="inlineStr">
        <is>
          <t>Bergen</t>
        </is>
      </c>
      <c r="C2132" s="58" t="inlineStr">
        <is>
          <t>Paul Mclaughlin</t>
        </is>
      </c>
      <c r="D2132" s="58" t="inlineStr">
        <is>
          <t>On-premise</t>
        </is>
      </c>
      <c r="E2132" s="53" t="n">
        <v>196</v>
      </c>
      <c r="F2132" s="53" t="n">
        <v>135</v>
      </c>
      <c r="G2132" s="55" t="n">
        <v>2000.59</v>
      </c>
      <c r="H2132" s="55" t="n">
        <v>1379.75</v>
      </c>
      <c r="I2132" s="53" t="n">
        <v>30</v>
      </c>
      <c r="J2132" s="53" t="n">
        <v>26</v>
      </c>
      <c r="K2132" s="53" t="n">
        <v>23</v>
      </c>
      <c r="L2132" s="53" t="n">
        <v>9</v>
      </c>
      <c r="M2132" s="33">
        <f>F2132-E2132</f>
        <v/>
      </c>
      <c r="N2132" s="33">
        <f>L2132-K2132</f>
        <v/>
      </c>
    </row>
    <row r="2133">
      <c r="A2133" s="58" t="inlineStr">
        <is>
          <t>70012 Fire &amp; Oak (A)</t>
        </is>
      </c>
      <c r="B2133" s="58" t="inlineStr">
        <is>
          <t>Bergen</t>
        </is>
      </c>
      <c r="C2133" s="58" t="inlineStr">
        <is>
          <t>Paul Mclaughlin</t>
        </is>
      </c>
      <c r="D2133" s="58" t="inlineStr">
        <is>
          <t>On-premise</t>
        </is>
      </c>
      <c r="E2133" s="53" t="n">
        <v>40</v>
      </c>
      <c r="F2133" s="53" t="n">
        <v>4</v>
      </c>
      <c r="G2133" s="55" t="n">
        <v>413.9300000000001</v>
      </c>
      <c r="H2133" s="55" t="n">
        <v>32.68000000000001</v>
      </c>
      <c r="I2133" s="53" t="n">
        <v>42</v>
      </c>
      <c r="J2133" s="53" t="n">
        <v>52</v>
      </c>
      <c r="K2133" s="53" t="n">
        <v>17</v>
      </c>
      <c r="L2133" s="53" t="n">
        <v>3</v>
      </c>
      <c r="M2133" s="33">
        <f>F2133-E2133</f>
        <v/>
      </c>
      <c r="N2133" s="33">
        <f>L2133-K2133</f>
        <v/>
      </c>
    </row>
    <row r="2134">
      <c r="A2134" s="58" t="inlineStr">
        <is>
          <t>190712 White Meadow Lake Cc</t>
        </is>
      </c>
      <c r="B2134" s="58" t="inlineStr">
        <is>
          <t>Morris</t>
        </is>
      </c>
      <c r="C2134" s="58" t="inlineStr">
        <is>
          <t>Robin Feldman</t>
        </is>
      </c>
      <c r="D2134" s="58" t="inlineStr">
        <is>
          <t>On-premise</t>
        </is>
      </c>
      <c r="E2134" s="53" t="n">
        <v>191</v>
      </c>
      <c r="F2134" s="53" t="n">
        <v>156</v>
      </c>
      <c r="G2134" s="55" t="n">
        <v>1579.8</v>
      </c>
      <c r="H2134" s="55" t="n">
        <v>1338.26</v>
      </c>
      <c r="I2134" s="53" t="n">
        <v>34</v>
      </c>
      <c r="J2134" s="53" t="n">
        <v>40</v>
      </c>
      <c r="K2134" s="53" t="n">
        <v>32</v>
      </c>
      <c r="L2134" s="53" t="n">
        <v>18</v>
      </c>
      <c r="M2134" s="33">
        <f>F2134-E2134</f>
        <v/>
      </c>
      <c r="N2134" s="33">
        <f>L2134-K2134</f>
        <v/>
      </c>
    </row>
    <row r="2135">
      <c r="A2135" s="58" t="inlineStr">
        <is>
          <t>230807 North Shore House</t>
        </is>
      </c>
      <c r="B2135" s="58" t="inlineStr">
        <is>
          <t>Sussex</t>
        </is>
      </c>
      <c r="C2135" s="58" t="inlineStr">
        <is>
          <t>Robin Feldman</t>
        </is>
      </c>
      <c r="D2135" s="58" t="inlineStr">
        <is>
          <t>On-premise</t>
        </is>
      </c>
      <c r="E2135" s="53" t="n">
        <v>109</v>
      </c>
      <c r="F2135" s="53" t="n">
        <v>49</v>
      </c>
      <c r="G2135" s="55" t="n">
        <v>981.22</v>
      </c>
      <c r="H2135" s="55" t="n">
        <v>430.35</v>
      </c>
      <c r="I2135" s="53" t="n">
        <v>0</v>
      </c>
      <c r="J2135" s="53" t="n">
        <v>1</v>
      </c>
      <c r="K2135" s="53" t="n">
        <v>23</v>
      </c>
      <c r="L2135" s="53" t="n">
        <v>9</v>
      </c>
      <c r="M2135" s="33">
        <f>F2135-E2135</f>
        <v/>
      </c>
      <c r="N2135" s="33">
        <f>L2135-K2135</f>
        <v/>
      </c>
    </row>
    <row r="2136">
      <c r="A2136" s="58" t="inlineStr">
        <is>
          <t>30017 Renaissance Meadowlands</t>
        </is>
      </c>
      <c r="B2136" s="58" t="inlineStr">
        <is>
          <t>Bergen</t>
        </is>
      </c>
      <c r="C2136" s="58" t="inlineStr">
        <is>
          <t>Robin Feldman</t>
        </is>
      </c>
      <c r="D2136" s="58" t="inlineStr">
        <is>
          <t>On-premise</t>
        </is>
      </c>
      <c r="E2136" s="53" t="n">
        <v>124</v>
      </c>
      <c r="F2136" s="53" t="n">
        <v>125</v>
      </c>
      <c r="G2136" s="55" t="n">
        <v>1192.65</v>
      </c>
      <c r="H2136" s="55" t="n">
        <v>1242.22</v>
      </c>
      <c r="I2136" s="53" t="n">
        <v>24</v>
      </c>
      <c r="J2136" s="53" t="n">
        <v>23</v>
      </c>
      <c r="K2136" s="53" t="n">
        <v>54</v>
      </c>
      <c r="L2136" s="53" t="n">
        <v>40</v>
      </c>
      <c r="M2136" s="33">
        <f>F2136-E2136</f>
        <v/>
      </c>
      <c r="N2136" s="33">
        <f>L2136-K2136</f>
        <v/>
      </c>
    </row>
    <row r="2137">
      <c r="A2137" s="58" t="inlineStr">
        <is>
          <t>121004 Harry's Wine Cellar</t>
        </is>
      </c>
      <c r="B2137" s="58" t="inlineStr">
        <is>
          <t>Hudson</t>
        </is>
      </c>
      <c r="C2137" s="58" t="inlineStr">
        <is>
          <t>Alisa Acciardi</t>
        </is>
      </c>
      <c r="D2137" s="58" t="inlineStr">
        <is>
          <t>Off-premise</t>
        </is>
      </c>
      <c r="E2137" s="53" t="n">
        <v>24</v>
      </c>
      <c r="F2137" s="53" t="n">
        <v>9</v>
      </c>
      <c r="G2137" s="55" t="n">
        <v>183.01</v>
      </c>
      <c r="H2137" s="55" t="n">
        <v>71.03</v>
      </c>
      <c r="I2137" s="53" t="n">
        <v>73</v>
      </c>
      <c r="J2137" s="53" t="n">
        <v>114</v>
      </c>
      <c r="K2137" s="53" t="n">
        <v>24</v>
      </c>
      <c r="L2137" s="53" t="n">
        <v>9</v>
      </c>
      <c r="M2137" s="33">
        <f>F2137-E2137</f>
        <v/>
      </c>
      <c r="N2137" s="33">
        <f>L2137-K2137</f>
        <v/>
      </c>
    </row>
    <row r="2138">
      <c r="A2138" s="58" t="inlineStr">
        <is>
          <t>12008 North Jersey C C</t>
        </is>
      </c>
      <c r="B2138" s="58" t="inlineStr">
        <is>
          <t>Passaic</t>
        </is>
      </c>
      <c r="C2138" s="58" t="inlineStr">
        <is>
          <t>Allison Scott</t>
        </is>
      </c>
      <c r="D2138" s="58" t="inlineStr">
        <is>
          <t>On-premise</t>
        </is>
      </c>
      <c r="E2138" s="53" t="n">
        <v>173</v>
      </c>
      <c r="F2138" s="53" t="n">
        <v>135</v>
      </c>
      <c r="G2138" s="55" t="n">
        <v>1434.03</v>
      </c>
      <c r="H2138" s="55" t="n">
        <v>1079.54</v>
      </c>
      <c r="I2138" s="53" t="n">
        <v>56</v>
      </c>
      <c r="J2138" s="53" t="n">
        <v>7</v>
      </c>
      <c r="K2138" s="53" t="n">
        <v>110</v>
      </c>
      <c r="L2138" s="53" t="n">
        <v>95</v>
      </c>
      <c r="M2138" s="33">
        <f>F2138-E2138</f>
        <v/>
      </c>
      <c r="N2138" s="33">
        <f>L2138-K2138</f>
        <v/>
      </c>
    </row>
    <row r="2139">
      <c r="A2139" s="58" t="inlineStr">
        <is>
          <t>191104 Chapala Grill - Lake Hopatcong</t>
        </is>
      </c>
      <c r="B2139" s="58" t="inlineStr">
        <is>
          <t>Morris</t>
        </is>
      </c>
      <c r="C2139" s="58" t="inlineStr">
        <is>
          <t>Brian Sengebush</t>
        </is>
      </c>
      <c r="D2139" s="58" t="inlineStr">
        <is>
          <t>On-premise</t>
        </is>
      </c>
      <c r="E2139" s="53" t="n">
        <v>137</v>
      </c>
      <c r="F2139" s="53" t="n">
        <v>77</v>
      </c>
      <c r="G2139" s="55" t="n">
        <v>1123.39</v>
      </c>
      <c r="H2139" s="55" t="n">
        <v>713.3000000000001</v>
      </c>
      <c r="I2139" s="53" t="n">
        <v>32</v>
      </c>
      <c r="J2139" s="53" t="n">
        <v>32</v>
      </c>
      <c r="K2139" s="53" t="n">
        <v>26</v>
      </c>
      <c r="L2139" s="53" t="n">
        <v>11</v>
      </c>
      <c r="M2139" s="33">
        <f>F2139-E2139</f>
        <v/>
      </c>
      <c r="N2139" s="33">
        <f>L2139-K2139</f>
        <v/>
      </c>
    </row>
    <row r="2140">
      <c r="A2140" s="58" t="inlineStr">
        <is>
          <t>46027 Grand Wine Bar/Karaoke(Z)</t>
        </is>
      </c>
      <c r="B2140" s="58" t="inlineStr">
        <is>
          <t>Bergen</t>
        </is>
      </c>
      <c r="C2140" s="58" t="inlineStr">
        <is>
          <t>Dan Lagala</t>
        </is>
      </c>
      <c r="D2140" s="58" t="inlineStr">
        <is>
          <t>On-premise</t>
        </is>
      </c>
      <c r="E2140" s="53" t="n">
        <v>117</v>
      </c>
      <c r="F2140" s="53" t="n">
        <v>164</v>
      </c>
      <c r="G2140" s="55" t="n">
        <v>926.49</v>
      </c>
      <c r="H2140" s="55" t="n">
        <v>781.23</v>
      </c>
      <c r="I2140" s="53" t="n">
        <v>19</v>
      </c>
      <c r="J2140" s="53" t="n">
        <v>0</v>
      </c>
      <c r="K2140" s="53" t="n">
        <v>15</v>
      </c>
      <c r="L2140" s="53" t="n">
        <v>0</v>
      </c>
      <c r="M2140" s="33">
        <f>F2140-E2140</f>
        <v/>
      </c>
      <c r="N2140" s="33">
        <f>L2140-K2140</f>
        <v/>
      </c>
    </row>
    <row r="2141">
      <c r="A2141" s="58" t="inlineStr">
        <is>
          <t>171402 Liberty Wine (P) &amp; Deli</t>
        </is>
      </c>
      <c r="B2141" s="58" t="inlineStr">
        <is>
          <t>Hudson</t>
        </is>
      </c>
      <c r="C2141" s="58" t="inlineStr">
        <is>
          <t>Dylan Rubino</t>
        </is>
      </c>
      <c r="D2141" s="58" t="inlineStr">
        <is>
          <t>Off-premise</t>
        </is>
      </c>
      <c r="E2141" s="53" t="n">
        <v>78</v>
      </c>
      <c r="F2141" s="53" t="n">
        <v>63</v>
      </c>
      <c r="G2141" s="55" t="n">
        <v>578.72</v>
      </c>
      <c r="H2141" s="55" t="n">
        <v>458.45</v>
      </c>
      <c r="I2141" s="53" t="n">
        <v>232</v>
      </c>
      <c r="J2141" s="53" t="n">
        <v>184</v>
      </c>
      <c r="K2141" s="53" t="n">
        <v>78</v>
      </c>
      <c r="L2141" s="53" t="n">
        <v>63</v>
      </c>
      <c r="M2141" s="33">
        <f>F2141-E2141</f>
        <v/>
      </c>
      <c r="N2141" s="33">
        <f>L2141-K2141</f>
        <v/>
      </c>
    </row>
    <row r="2142">
      <c r="A2142" s="58" t="inlineStr">
        <is>
          <t>150615 Home Liquors(1277 Irvington)</t>
        </is>
      </c>
      <c r="B2142" s="58" t="inlineStr">
        <is>
          <t>Essex</t>
        </is>
      </c>
      <c r="C2142" s="58" t="inlineStr">
        <is>
          <t>Hakan Sadik</t>
        </is>
      </c>
      <c r="D2142" s="58" t="inlineStr">
        <is>
          <t>Off-premise</t>
        </is>
      </c>
      <c r="E2142" s="53" t="n">
        <v>34</v>
      </c>
      <c r="F2142" s="53" t="n">
        <v>19</v>
      </c>
      <c r="G2142" s="55" t="n">
        <v>233.09</v>
      </c>
      <c r="H2142" s="55" t="n">
        <v>150.2</v>
      </c>
      <c r="I2142" s="53" t="n">
        <v>723</v>
      </c>
      <c r="J2142" s="53" t="n">
        <v>665</v>
      </c>
      <c r="K2142" s="53" t="n">
        <v>34</v>
      </c>
      <c r="L2142" s="53" t="n">
        <v>19</v>
      </c>
      <c r="M2142" s="33">
        <f>F2142-E2142</f>
        <v/>
      </c>
      <c r="N2142" s="33">
        <f>L2142-K2142</f>
        <v/>
      </c>
    </row>
    <row r="2143">
      <c r="A2143" s="58" t="inlineStr">
        <is>
          <t>150654 Joe Canals</t>
        </is>
      </c>
      <c r="B2143" s="58" t="inlineStr">
        <is>
          <t>Essex</t>
        </is>
      </c>
      <c r="C2143" s="58" t="inlineStr">
        <is>
          <t>Hakan Sadik</t>
        </is>
      </c>
      <c r="D2143" s="58" t="inlineStr">
        <is>
          <t>Off-premise</t>
        </is>
      </c>
      <c r="E2143" s="53" t="n">
        <v>25</v>
      </c>
      <c r="F2143" s="53" t="n">
        <v>10</v>
      </c>
      <c r="G2143" s="55" t="n">
        <v>135.5</v>
      </c>
      <c r="H2143" s="55" t="n">
        <v>67.90000000000001</v>
      </c>
      <c r="I2143" s="53" t="n">
        <v>165</v>
      </c>
      <c r="J2143" s="53" t="n">
        <v>192</v>
      </c>
      <c r="K2143" s="53" t="n">
        <v>25</v>
      </c>
      <c r="L2143" s="53" t="n">
        <v>10</v>
      </c>
      <c r="M2143" s="33">
        <f>F2143-E2143</f>
        <v/>
      </c>
      <c r="N2143" s="33">
        <f>L2143-K2143</f>
        <v/>
      </c>
    </row>
    <row r="2144">
      <c r="A2144" s="58" t="inlineStr">
        <is>
          <t>190030 Florham Park Liquors</t>
        </is>
      </c>
      <c r="B2144" s="58" t="inlineStr">
        <is>
          <t>Morris</t>
        </is>
      </c>
      <c r="C2144" s="58" t="inlineStr">
        <is>
          <t>John O'Donoghue</t>
        </is>
      </c>
      <c r="D2144" s="58" t="inlineStr">
        <is>
          <t>Unmatched</t>
        </is>
      </c>
      <c r="E2144" s="53" t="n">
        <v>34</v>
      </c>
      <c r="F2144" s="53" t="n">
        <v>19</v>
      </c>
      <c r="G2144" s="55" t="n">
        <v>233.09</v>
      </c>
      <c r="H2144" s="55" t="n">
        <v>143.15</v>
      </c>
      <c r="I2144" s="53" t="n">
        <v>197</v>
      </c>
      <c r="J2144" s="53" t="n">
        <v>222</v>
      </c>
      <c r="K2144" s="53" t="n">
        <v>34</v>
      </c>
      <c r="L2144" s="53" t="n">
        <v>19</v>
      </c>
      <c r="M2144" s="33">
        <f>F2144-E2144</f>
        <v/>
      </c>
      <c r="N2144" s="33">
        <f>L2144-K2144</f>
        <v/>
      </c>
    </row>
    <row r="2145">
      <c r="A2145" s="58" t="inlineStr">
        <is>
          <t>191213 Island Of Spirits (P)</t>
        </is>
      </c>
      <c r="B2145" s="58" t="inlineStr">
        <is>
          <t>Passaic</t>
        </is>
      </c>
      <c r="C2145" s="58" t="inlineStr">
        <is>
          <t>Klejdi Lamo</t>
        </is>
      </c>
      <c r="D2145" s="58" t="inlineStr">
        <is>
          <t>Off-premise</t>
        </is>
      </c>
      <c r="E2145" s="53" t="n">
        <v>2585</v>
      </c>
      <c r="F2145" s="53" t="n">
        <v>2090</v>
      </c>
      <c r="G2145" s="55" t="n">
        <v>17091.27</v>
      </c>
      <c r="H2145" s="55" t="n">
        <v>13893.95</v>
      </c>
      <c r="I2145" s="53" t="n">
        <v>706</v>
      </c>
      <c r="J2145" s="53" t="n">
        <v>795</v>
      </c>
      <c r="K2145" s="53" t="n">
        <v>298</v>
      </c>
      <c r="L2145" s="53" t="n">
        <v>283</v>
      </c>
      <c r="M2145" s="33">
        <f>F2145-E2145</f>
        <v/>
      </c>
      <c r="N2145" s="33">
        <f>L2145-K2145</f>
        <v/>
      </c>
    </row>
    <row r="2146">
      <c r="A2146" s="58" t="inlineStr">
        <is>
          <t>150081 Lucky 7 Wine &amp; Liq (A)</t>
        </is>
      </c>
      <c r="B2146" s="58" t="inlineStr">
        <is>
          <t>Essex</t>
        </is>
      </c>
      <c r="C2146" s="58" t="inlineStr">
        <is>
          <t>Michael Harboy</t>
        </is>
      </c>
      <c r="D2146" s="58" t="inlineStr">
        <is>
          <t>Off-premise</t>
        </is>
      </c>
      <c r="E2146" s="53" t="n">
        <v>35</v>
      </c>
      <c r="F2146" s="53" t="n">
        <v>20</v>
      </c>
      <c r="G2146" s="55" t="n">
        <v>252.82</v>
      </c>
      <c r="H2146" s="55" t="n">
        <v>140.8</v>
      </c>
      <c r="I2146" s="53" t="n">
        <v>197</v>
      </c>
      <c r="J2146" s="53" t="n">
        <v>191</v>
      </c>
      <c r="K2146" s="53" t="n">
        <v>35</v>
      </c>
      <c r="L2146" s="53" t="n">
        <v>20</v>
      </c>
      <c r="M2146" s="33">
        <f>F2146-E2146</f>
        <v/>
      </c>
      <c r="N2146" s="33">
        <f>L2146-K2146</f>
        <v/>
      </c>
    </row>
    <row r="2147">
      <c r="A2147" s="58" t="inlineStr">
        <is>
          <t>92005 Kinchley's</t>
        </is>
      </c>
      <c r="B2147" s="58" t="inlineStr">
        <is>
          <t>Bergen</t>
        </is>
      </c>
      <c r="C2147" s="58" t="inlineStr">
        <is>
          <t>Nick Melissari</t>
        </is>
      </c>
      <c r="D2147" s="58" t="inlineStr">
        <is>
          <t>On-premise</t>
        </is>
      </c>
      <c r="E2147" s="53" t="n">
        <v>365</v>
      </c>
      <c r="F2147" s="53" t="n">
        <v>369</v>
      </c>
      <c r="G2147" s="55" t="n">
        <v>2501.54</v>
      </c>
      <c r="H2147" s="55" t="n">
        <v>2788.370000000001</v>
      </c>
      <c r="I2147" s="53" t="n">
        <v>101</v>
      </c>
      <c r="J2147" s="53" t="n">
        <v>107</v>
      </c>
      <c r="K2147" s="53" t="n">
        <v>200</v>
      </c>
      <c r="L2147" s="53" t="n">
        <v>185</v>
      </c>
      <c r="M2147" s="33">
        <f>F2147-E2147</f>
        <v/>
      </c>
      <c r="N2147" s="33">
        <f>L2147-K2147</f>
        <v/>
      </c>
    </row>
    <row r="2148">
      <c r="A2148" s="58" t="inlineStr">
        <is>
          <t>120147 Port Imperial HOQ LLC</t>
        </is>
      </c>
      <c r="B2148" s="58" t="inlineStr">
        <is>
          <t>Bergen</t>
        </is>
      </c>
      <c r="C2148" s="58" t="inlineStr">
        <is>
          <t>Nick Melissari</t>
        </is>
      </c>
      <c r="D2148" s="58" t="inlineStr">
        <is>
          <t>Off-premise</t>
        </is>
      </c>
      <c r="E2148" s="53" t="n">
        <v>202</v>
      </c>
      <c r="F2148" s="53" t="n">
        <v>118</v>
      </c>
      <c r="G2148" s="55" t="n">
        <v>1788.8</v>
      </c>
      <c r="H2148" s="55" t="n">
        <v>869.23</v>
      </c>
      <c r="I2148" s="53" t="n">
        <v>30</v>
      </c>
      <c r="J2148" s="53" t="n">
        <v>30</v>
      </c>
      <c r="K2148" s="53" t="n">
        <v>35</v>
      </c>
      <c r="L2148" s="53" t="n">
        <v>20</v>
      </c>
      <c r="M2148" s="33">
        <f>F2148-E2148</f>
        <v/>
      </c>
      <c r="N2148" s="33">
        <f>L2148-K2148</f>
        <v/>
      </c>
    </row>
    <row r="2149">
      <c r="A2149" s="58" t="inlineStr">
        <is>
          <t>69005 Let's Meat Steakhouse</t>
        </is>
      </c>
      <c r="B2149" s="58" t="inlineStr">
        <is>
          <t>Bergen</t>
        </is>
      </c>
      <c r="C2149" s="58" t="inlineStr">
        <is>
          <t>Paul Mclaughlin</t>
        </is>
      </c>
      <c r="D2149" s="58" t="inlineStr">
        <is>
          <t>On-premise</t>
        </is>
      </c>
      <c r="E2149" s="53" t="n">
        <v>64</v>
      </c>
      <c r="F2149" s="53" t="n">
        <v>30</v>
      </c>
      <c r="G2149" s="55" t="n">
        <v>677.6799999999999</v>
      </c>
      <c r="H2149" s="55" t="n">
        <v>329.45</v>
      </c>
      <c r="I2149" s="53" t="n">
        <v>4</v>
      </c>
      <c r="J2149" s="53" t="n">
        <v>1</v>
      </c>
      <c r="K2149" s="53" t="n">
        <v>32</v>
      </c>
      <c r="L2149" s="53" t="n">
        <v>17</v>
      </c>
      <c r="M2149" s="33">
        <f>F2149-E2149</f>
        <v/>
      </c>
      <c r="N2149" s="33">
        <f>L2149-K2149</f>
        <v/>
      </c>
    </row>
    <row r="2150">
      <c r="A2150" s="58" t="inlineStr">
        <is>
          <t>50009 Riverview Liq (P)</t>
        </is>
      </c>
      <c r="B2150" s="58" t="inlineStr">
        <is>
          <t>Bergen</t>
        </is>
      </c>
      <c r="C2150" s="58" t="inlineStr">
        <is>
          <t>Phil Ernst</t>
        </is>
      </c>
      <c r="D2150" s="58" t="inlineStr">
        <is>
          <t>Off-premise</t>
        </is>
      </c>
      <c r="E2150" s="53" t="n">
        <v>1345</v>
      </c>
      <c r="F2150" s="53" t="n">
        <v>1063</v>
      </c>
      <c r="G2150" s="55" t="n">
        <v>9065.49</v>
      </c>
      <c r="H2150" s="55" t="n">
        <v>7630.93</v>
      </c>
      <c r="I2150" s="53" t="n">
        <v>222</v>
      </c>
      <c r="J2150" s="53" t="n">
        <v>140</v>
      </c>
      <c r="K2150" s="53" t="n">
        <v>206</v>
      </c>
      <c r="L2150" s="53" t="n">
        <v>191</v>
      </c>
      <c r="M2150" s="33">
        <f>F2150-E2150</f>
        <v/>
      </c>
      <c r="N2150" s="33">
        <f>L2150-K2150</f>
        <v/>
      </c>
    </row>
    <row r="2151">
      <c r="A2151" s="58" t="inlineStr">
        <is>
          <t>49082 Beverage Depot</t>
        </is>
      </c>
      <c r="B2151" s="58" t="inlineStr">
        <is>
          <t>Bergen</t>
        </is>
      </c>
      <c r="C2151" s="58" t="inlineStr">
        <is>
          <t>Phil Ernst</t>
        </is>
      </c>
      <c r="D2151" s="58" t="inlineStr">
        <is>
          <t>Off-premise</t>
        </is>
      </c>
      <c r="E2151" s="53" t="n">
        <v>546</v>
      </c>
      <c r="F2151" s="53" t="n">
        <v>0</v>
      </c>
      <c r="G2151" s="55" t="n">
        <v>3827.48</v>
      </c>
      <c r="H2151" s="55" t="n">
        <v>0</v>
      </c>
      <c r="I2151" s="53" t="n">
        <v>53</v>
      </c>
      <c r="J2151" s="53" t="n">
        <v>0</v>
      </c>
      <c r="K2151" s="53" t="n">
        <v>15</v>
      </c>
      <c r="L2151" s="53" t="n">
        <v>0</v>
      </c>
      <c r="M2151" s="33">
        <f>F2151-E2151</f>
        <v/>
      </c>
      <c r="N2151" s="33">
        <f>L2151-K2151</f>
        <v/>
      </c>
    </row>
    <row r="2152">
      <c r="A2152" s="58" t="inlineStr">
        <is>
          <t>93013 Elks Post 1941 (Z)</t>
        </is>
      </c>
      <c r="B2152" s="58" t="inlineStr">
        <is>
          <t>Bergen</t>
        </is>
      </c>
      <c r="C2152" s="58" t="inlineStr">
        <is>
          <t>Robin Feldman</t>
        </is>
      </c>
      <c r="D2152" s="58" t="inlineStr">
        <is>
          <t>On-premise</t>
        </is>
      </c>
      <c r="E2152" s="53" t="n">
        <v>126</v>
      </c>
      <c r="F2152" s="53" t="n">
        <v>203</v>
      </c>
      <c r="G2152" s="55" t="n">
        <v>879.3599999999999</v>
      </c>
      <c r="H2152" s="55" t="n">
        <v>1466.6</v>
      </c>
      <c r="I2152" s="53" t="n">
        <v>9</v>
      </c>
      <c r="J2152" s="53" t="n">
        <v>27</v>
      </c>
      <c r="K2152" s="53" t="n">
        <v>15</v>
      </c>
      <c r="L2152" s="53" t="n">
        <v>0</v>
      </c>
      <c r="M2152" s="33">
        <f>F2152-E2152</f>
        <v/>
      </c>
      <c r="N2152" s="33">
        <f>L2152-K2152</f>
        <v/>
      </c>
    </row>
    <row r="2153">
      <c r="A2153" s="58" t="inlineStr">
        <is>
          <t>17009 Jimmy Geez (P)</t>
        </is>
      </c>
      <c r="B2153" s="58" t="inlineStr">
        <is>
          <t>Passaic</t>
        </is>
      </c>
      <c r="C2153" s="58" t="inlineStr">
        <is>
          <t>Allison Scott</t>
        </is>
      </c>
      <c r="D2153" s="58" t="inlineStr">
        <is>
          <t>On-premise</t>
        </is>
      </c>
      <c r="E2153" s="53" t="n">
        <v>539</v>
      </c>
      <c r="F2153" s="53" t="n">
        <v>478</v>
      </c>
      <c r="G2153" s="55" t="n">
        <v>3237.52</v>
      </c>
      <c r="H2153" s="55" t="n">
        <v>3120.17</v>
      </c>
      <c r="I2153" s="53" t="n">
        <v>94</v>
      </c>
      <c r="J2153" s="53" t="n">
        <v>87</v>
      </c>
      <c r="K2153" s="53" t="n">
        <v>57</v>
      </c>
      <c r="L2153" s="53" t="n">
        <v>41</v>
      </c>
      <c r="M2153" s="33">
        <f>F2153-E2153</f>
        <v/>
      </c>
      <c r="N2153" s="33">
        <f>L2153-K2153</f>
        <v/>
      </c>
    </row>
    <row r="2154">
      <c r="A2154" s="58" t="inlineStr">
        <is>
          <t>24045 Red Robin Gourmet Burger (Clifton)</t>
        </is>
      </c>
      <c r="B2154" s="58" t="inlineStr">
        <is>
          <t>Passaic</t>
        </is>
      </c>
      <c r="C2154" s="58" t="inlineStr">
        <is>
          <t>Allison Scott</t>
        </is>
      </c>
      <c r="D2154" s="58" t="inlineStr">
        <is>
          <t>On-premise</t>
        </is>
      </c>
      <c r="E2154" s="53" t="n">
        <v>107</v>
      </c>
      <c r="F2154" s="53" t="n">
        <v>0</v>
      </c>
      <c r="G2154" s="55" t="n">
        <v>910.2300000000001</v>
      </c>
      <c r="H2154" s="55" t="n">
        <v>0</v>
      </c>
      <c r="I2154" s="53" t="n">
        <v>40</v>
      </c>
      <c r="J2154" s="53" t="n">
        <v>0</v>
      </c>
      <c r="K2154" s="53" t="n">
        <v>16</v>
      </c>
      <c r="L2154" s="53" t="n">
        <v>0</v>
      </c>
      <c r="M2154" s="33">
        <f>F2154-E2154</f>
        <v/>
      </c>
      <c r="N2154" s="33">
        <f>L2154-K2154</f>
        <v/>
      </c>
    </row>
    <row r="2155">
      <c r="A2155" s="58" t="inlineStr">
        <is>
          <t>190206 Ombra</t>
        </is>
      </c>
      <c r="B2155" s="58" t="inlineStr">
        <is>
          <t>Morris</t>
        </is>
      </c>
      <c r="C2155" s="58" t="inlineStr">
        <is>
          <t>Brian Sengebush</t>
        </is>
      </c>
      <c r="D2155" s="58" t="inlineStr">
        <is>
          <t>On-premise</t>
        </is>
      </c>
      <c r="E2155" s="53" t="n">
        <v>16</v>
      </c>
      <c r="F2155" s="53" t="n">
        <v>0</v>
      </c>
      <c r="G2155" s="55" t="n">
        <v>127.13</v>
      </c>
      <c r="H2155" s="55" t="n">
        <v>0</v>
      </c>
      <c r="I2155" s="53" t="n">
        <v>3</v>
      </c>
      <c r="J2155" s="53" t="n">
        <v>0</v>
      </c>
      <c r="K2155" s="53" t="n">
        <v>16</v>
      </c>
      <c r="L2155" s="53" t="n">
        <v>0</v>
      </c>
      <c r="M2155" s="33">
        <f>F2155-E2155</f>
        <v/>
      </c>
      <c r="N2155" s="33">
        <f>L2155-K2155</f>
        <v/>
      </c>
    </row>
    <row r="2156">
      <c r="A2156" s="58" t="inlineStr">
        <is>
          <t>79004 Coronet Variety</t>
        </is>
      </c>
      <c r="B2156" s="58" t="inlineStr">
        <is>
          <t>Bergen</t>
        </is>
      </c>
      <c r="C2156" s="58" t="inlineStr">
        <is>
          <t>Chris Payton</t>
        </is>
      </c>
      <c r="D2156" s="58" t="inlineStr">
        <is>
          <t>Off-premise</t>
        </is>
      </c>
      <c r="E2156" s="53" t="n">
        <v>909</v>
      </c>
      <c r="F2156" s="53" t="n">
        <v>842</v>
      </c>
      <c r="G2156" s="55" t="n">
        <v>6529.639999999999</v>
      </c>
      <c r="H2156" s="55" t="n">
        <v>5856</v>
      </c>
      <c r="I2156" s="53" t="n">
        <v>90</v>
      </c>
      <c r="J2156" s="53" t="n">
        <v>102</v>
      </c>
      <c r="K2156" s="53" t="n">
        <v>110</v>
      </c>
      <c r="L2156" s="53" t="n">
        <v>94</v>
      </c>
      <c r="M2156" s="33">
        <f>F2156-E2156</f>
        <v/>
      </c>
      <c r="N2156" s="33">
        <f>L2156-K2156</f>
        <v/>
      </c>
    </row>
    <row r="2157">
      <c r="A2157" s="58" t="inlineStr">
        <is>
          <t>20104 Roses Bar &amp; Liquors</t>
        </is>
      </c>
      <c r="B2157" s="58" t="inlineStr">
        <is>
          <t>Passaic</t>
        </is>
      </c>
      <c r="C2157" s="58" t="inlineStr">
        <is>
          <t>Javier Melo</t>
        </is>
      </c>
      <c r="D2157" s="58" t="inlineStr">
        <is>
          <t>On-premise</t>
        </is>
      </c>
      <c r="E2157" s="53" t="n">
        <v>357</v>
      </c>
      <c r="F2157" s="53" t="n">
        <v>536</v>
      </c>
      <c r="G2157" s="55" t="n">
        <v>2869.59</v>
      </c>
      <c r="H2157" s="55" t="n">
        <v>4479.339999999999</v>
      </c>
      <c r="I2157" s="53" t="n">
        <v>47</v>
      </c>
      <c r="J2157" s="53" t="n">
        <v>50</v>
      </c>
      <c r="K2157" s="53" t="n">
        <v>31</v>
      </c>
      <c r="L2157" s="53" t="n">
        <v>15</v>
      </c>
      <c r="M2157" s="33">
        <f>F2157-E2157</f>
        <v/>
      </c>
      <c r="N2157" s="33">
        <f>L2157-K2157</f>
        <v/>
      </c>
    </row>
    <row r="2158">
      <c r="A2158" s="58" t="inlineStr">
        <is>
          <t>408 Fredon Liquor (Fredon Deli)</t>
        </is>
      </c>
      <c r="B2158" s="58" t="inlineStr">
        <is>
          <t>Sussex</t>
        </is>
      </c>
      <c r="C2158" s="58" t="inlineStr">
        <is>
          <t>Jayson Romine</t>
        </is>
      </c>
      <c r="D2158" s="58" t="inlineStr">
        <is>
          <t>Off-premise</t>
        </is>
      </c>
      <c r="E2158" s="53" t="n">
        <v>1143</v>
      </c>
      <c r="F2158" s="53" t="n">
        <v>1083</v>
      </c>
      <c r="G2158" s="55" t="n">
        <v>7955.899999999999</v>
      </c>
      <c r="H2158" s="55" t="n">
        <v>7518.35</v>
      </c>
      <c r="I2158" s="53" t="n">
        <v>299</v>
      </c>
      <c r="J2158" s="53" t="n">
        <v>330</v>
      </c>
      <c r="K2158" s="53" t="n">
        <v>173</v>
      </c>
      <c r="L2158" s="53" t="n">
        <v>157</v>
      </c>
      <c r="M2158" s="33">
        <f>F2158-E2158</f>
        <v/>
      </c>
      <c r="N2158" s="33">
        <f>L2158-K2158</f>
        <v/>
      </c>
    </row>
    <row r="2159">
      <c r="A2159" s="58" t="inlineStr">
        <is>
          <t>190313 Convenience Liquors</t>
        </is>
      </c>
      <c r="B2159" s="58" t="inlineStr">
        <is>
          <t>Morris</t>
        </is>
      </c>
      <c r="C2159" s="58" t="inlineStr">
        <is>
          <t>John O'Donoghue</t>
        </is>
      </c>
      <c r="D2159" s="58" t="inlineStr">
        <is>
          <t>Unmatched</t>
        </is>
      </c>
      <c r="E2159" s="53" t="n">
        <v>16</v>
      </c>
      <c r="F2159" s="53" t="n">
        <v>0</v>
      </c>
      <c r="G2159" s="55" t="n">
        <v>120.52</v>
      </c>
      <c r="H2159" s="55" t="n">
        <v>0</v>
      </c>
      <c r="I2159" s="53" t="n">
        <v>14</v>
      </c>
      <c r="J2159" s="53" t="n">
        <v>17</v>
      </c>
      <c r="K2159" s="53" t="n">
        <v>16</v>
      </c>
      <c r="L2159" s="53" t="n">
        <v>0</v>
      </c>
      <c r="M2159" s="33">
        <f>F2159-E2159</f>
        <v/>
      </c>
      <c r="N2159" s="33">
        <f>L2159-K2159</f>
        <v/>
      </c>
    </row>
    <row r="2160">
      <c r="A2160" s="58" t="inlineStr">
        <is>
          <t>77012 Payless Liquor &amp; Dell</t>
        </is>
      </c>
      <c r="B2160" s="58" t="inlineStr">
        <is>
          <t>Bergen</t>
        </is>
      </c>
      <c r="C2160" s="58" t="inlineStr">
        <is>
          <t>Matt Powierski</t>
        </is>
      </c>
      <c r="D2160" s="58" t="inlineStr">
        <is>
          <t>Off-premise</t>
        </is>
      </c>
      <c r="E2160" s="53" t="n">
        <v>1137</v>
      </c>
      <c r="F2160" s="53" t="n">
        <v>1144</v>
      </c>
      <c r="G2160" s="55" t="n">
        <v>7906.21</v>
      </c>
      <c r="H2160" s="55" t="n">
        <v>7949.890000000001</v>
      </c>
      <c r="I2160" s="53" t="n">
        <v>104</v>
      </c>
      <c r="J2160" s="53" t="n">
        <v>97</v>
      </c>
      <c r="K2160" s="53" t="n">
        <v>173</v>
      </c>
      <c r="L2160" s="53" t="n">
        <v>157</v>
      </c>
      <c r="M2160" s="33">
        <f>F2160-E2160</f>
        <v/>
      </c>
      <c r="N2160" s="33">
        <f>L2160-K2160</f>
        <v/>
      </c>
    </row>
    <row r="2161">
      <c r="A2161" s="58" t="inlineStr">
        <is>
          <t>83010 Bottle King (A) Glen Rock</t>
        </is>
      </c>
      <c r="B2161" s="58" t="inlineStr">
        <is>
          <t>Bergen</t>
        </is>
      </c>
      <c r="C2161" s="58" t="inlineStr">
        <is>
          <t>Phil Ernst</t>
        </is>
      </c>
      <c r="D2161" s="58" t="inlineStr">
        <is>
          <t>Off-premise</t>
        </is>
      </c>
      <c r="E2161" s="53" t="n">
        <v>12765</v>
      </c>
      <c r="F2161" s="53" t="n">
        <v>11142</v>
      </c>
      <c r="G2161" s="55" t="n">
        <v>80178.25999999999</v>
      </c>
      <c r="H2161" s="55" t="n">
        <v>71744.16</v>
      </c>
      <c r="I2161" s="53" t="n">
        <v>6548</v>
      </c>
      <c r="J2161" s="53" t="n">
        <v>5976</v>
      </c>
      <c r="K2161" s="53" t="n">
        <v>2324</v>
      </c>
      <c r="L2161" s="53" t="n">
        <v>2308</v>
      </c>
      <c r="M2161" s="33">
        <f>F2161-E2161</f>
        <v/>
      </c>
      <c r="N2161" s="33">
        <f>L2161-K2161</f>
        <v/>
      </c>
    </row>
    <row r="2162">
      <c r="A2162" s="58" t="inlineStr">
        <is>
          <t>10002 American Lgn Pequannock 450</t>
        </is>
      </c>
      <c r="B2162" s="58" t="inlineStr">
        <is>
          <t>Morris</t>
        </is>
      </c>
      <c r="C2162" s="58" t="inlineStr">
        <is>
          <t>Robin Feldman</t>
        </is>
      </c>
      <c r="D2162" s="58" t="inlineStr">
        <is>
          <t>On-premise</t>
        </is>
      </c>
      <c r="E2162" s="53" t="n">
        <v>80</v>
      </c>
      <c r="F2162" s="53" t="n">
        <v>25</v>
      </c>
      <c r="G2162" s="55" t="n">
        <v>750.1999999999998</v>
      </c>
      <c r="H2162" s="55" t="n">
        <v>274</v>
      </c>
      <c r="I2162" s="53" t="n">
        <v>7</v>
      </c>
      <c r="J2162" s="53" t="n">
        <v>14</v>
      </c>
      <c r="K2162" s="53" t="n">
        <v>18</v>
      </c>
      <c r="L2162" s="53" t="n">
        <v>2</v>
      </c>
      <c r="M2162" s="33">
        <f>F2162-E2162</f>
        <v/>
      </c>
      <c r="N2162" s="33">
        <f>L2162-K2162</f>
        <v/>
      </c>
    </row>
    <row r="2163">
      <c r="A2163" s="58" t="inlineStr">
        <is>
          <t>73007 Bensi (P)</t>
        </is>
      </c>
      <c r="B2163" s="58" t="inlineStr">
        <is>
          <t>Bergen</t>
        </is>
      </c>
      <c r="C2163" s="58" t="inlineStr">
        <is>
          <t>Robin Feldman</t>
        </is>
      </c>
      <c r="D2163" s="58" t="inlineStr">
        <is>
          <t>On-premise</t>
        </is>
      </c>
      <c r="E2163" s="53" t="n">
        <v>192</v>
      </c>
      <c r="F2163" s="53" t="n">
        <v>146</v>
      </c>
      <c r="G2163" s="55" t="n">
        <v>1785.84</v>
      </c>
      <c r="H2163" s="55" t="n">
        <v>1357.47</v>
      </c>
      <c r="I2163" s="53" t="n">
        <v>53</v>
      </c>
      <c r="J2163" s="53" t="n">
        <v>36</v>
      </c>
      <c r="K2163" s="53" t="n">
        <v>73</v>
      </c>
      <c r="L2163" s="53" t="n">
        <v>57</v>
      </c>
      <c r="M2163" s="33">
        <f>F2163-E2163</f>
        <v/>
      </c>
      <c r="N2163" s="33">
        <f>L2163-K2163</f>
        <v/>
      </c>
    </row>
    <row r="2164">
      <c r="A2164" s="58" t="inlineStr">
        <is>
          <t>62001 Garden State Deli (A)</t>
        </is>
      </c>
      <c r="B2164" s="58" t="inlineStr">
        <is>
          <t>Bergen</t>
        </is>
      </c>
      <c r="C2164" s="58" t="inlineStr">
        <is>
          <t>Shane Barreca</t>
        </is>
      </c>
      <c r="D2164" s="58" t="inlineStr">
        <is>
          <t>Off-premise</t>
        </is>
      </c>
      <c r="E2164" s="53" t="n">
        <v>3281</v>
      </c>
      <c r="F2164" s="53" t="n">
        <v>3055</v>
      </c>
      <c r="G2164" s="55" t="n">
        <v>22167.42</v>
      </c>
      <c r="H2164" s="55" t="n">
        <v>21188.29</v>
      </c>
      <c r="I2164" s="53" t="n">
        <v>271</v>
      </c>
      <c r="J2164" s="53" t="n">
        <v>208</v>
      </c>
      <c r="K2164" s="53" t="n">
        <v>599</v>
      </c>
      <c r="L2164" s="53" t="n">
        <v>583</v>
      </c>
      <c r="M2164" s="33">
        <f>F2164-E2164</f>
        <v/>
      </c>
      <c r="N2164" s="33">
        <f>L2164-K2164</f>
        <v/>
      </c>
    </row>
    <row r="2165">
      <c r="A2165" s="58" t="inlineStr">
        <is>
          <t>150021 Town House Liq (A)&amp; Wine</t>
        </is>
      </c>
      <c r="B2165" s="58" t="inlineStr">
        <is>
          <t>Essex</t>
        </is>
      </c>
      <c r="C2165" s="58" t="inlineStr">
        <is>
          <t>Alisa Acciardi</t>
        </is>
      </c>
      <c r="D2165" s="58" t="inlineStr">
        <is>
          <t>Off-premise</t>
        </is>
      </c>
      <c r="E2165" s="53" t="n">
        <v>29</v>
      </c>
      <c r="F2165" s="53" t="n">
        <v>12</v>
      </c>
      <c r="G2165" s="55" t="n">
        <v>213.29</v>
      </c>
      <c r="H2165" s="55" t="n">
        <v>99.04000000000001</v>
      </c>
      <c r="I2165" s="53" t="n">
        <v>234</v>
      </c>
      <c r="J2165" s="53" t="n">
        <v>163</v>
      </c>
      <c r="K2165" s="53" t="n">
        <v>29</v>
      </c>
      <c r="L2165" s="53" t="n">
        <v>12</v>
      </c>
      <c r="M2165" s="33">
        <f>F2165-E2165</f>
        <v/>
      </c>
      <c r="N2165" s="33">
        <f>L2165-K2165</f>
        <v/>
      </c>
    </row>
    <row r="2166">
      <c r="A2166" s="58" t="inlineStr">
        <is>
          <t>25077 Chevy's Fresh Mex (A)Clif</t>
        </is>
      </c>
      <c r="B2166" s="58" t="inlineStr">
        <is>
          <t>Passaic</t>
        </is>
      </c>
      <c r="C2166" s="58" t="inlineStr">
        <is>
          <t>Allison Scott</t>
        </is>
      </c>
      <c r="D2166" s="58" t="inlineStr">
        <is>
          <t>On-premise</t>
        </is>
      </c>
      <c r="E2166" s="53" t="n">
        <v>244</v>
      </c>
      <c r="F2166" s="53" t="n">
        <v>254</v>
      </c>
      <c r="G2166" s="55" t="n">
        <v>1738.64</v>
      </c>
      <c r="H2166" s="55" t="n">
        <v>1880.04</v>
      </c>
      <c r="I2166" s="53" t="n">
        <v>39</v>
      </c>
      <c r="J2166" s="53" t="n">
        <v>49</v>
      </c>
      <c r="K2166" s="53" t="n">
        <v>33</v>
      </c>
      <c r="L2166" s="53" t="n">
        <v>16</v>
      </c>
      <c r="M2166" s="33">
        <f>F2166-E2166</f>
        <v/>
      </c>
      <c r="N2166" s="33">
        <f>L2166-K2166</f>
        <v/>
      </c>
    </row>
    <row r="2167">
      <c r="A2167" s="58" t="inlineStr">
        <is>
          <t>15070 Brownstone House</t>
        </is>
      </c>
      <c r="B2167" s="58" t="inlineStr">
        <is>
          <t>Passaic</t>
        </is>
      </c>
      <c r="C2167" s="58" t="inlineStr">
        <is>
          <t>Allison Scott</t>
        </is>
      </c>
      <c r="D2167" s="58" t="inlineStr">
        <is>
          <t>On-premise</t>
        </is>
      </c>
      <c r="E2167" s="53" t="n">
        <v>102</v>
      </c>
      <c r="F2167" s="53" t="n">
        <v>149</v>
      </c>
      <c r="G2167" s="55" t="n">
        <v>763.83</v>
      </c>
      <c r="H2167" s="55" t="n">
        <v>1166.57</v>
      </c>
      <c r="I2167" s="53" t="n">
        <v>236</v>
      </c>
      <c r="J2167" s="53" t="n">
        <v>250</v>
      </c>
      <c r="K2167" s="53" t="n">
        <v>23</v>
      </c>
      <c r="L2167" s="53" t="n">
        <v>6</v>
      </c>
      <c r="M2167" s="33">
        <f>F2167-E2167</f>
        <v/>
      </c>
      <c r="N2167" s="33">
        <f>L2167-K2167</f>
        <v/>
      </c>
    </row>
    <row r="2168">
      <c r="A2168" s="58" t="inlineStr">
        <is>
          <t>250143 Jersey Fine Wines</t>
        </is>
      </c>
      <c r="B2168" s="58" t="inlineStr">
        <is>
          <t>Union</t>
        </is>
      </c>
      <c r="C2168" s="58" t="inlineStr">
        <is>
          <t>Andrew Lundy</t>
        </is>
      </c>
      <c r="D2168" s="58" t="inlineStr">
        <is>
          <t>Off-premise</t>
        </is>
      </c>
      <c r="E2168" s="53" t="n">
        <v>24</v>
      </c>
      <c r="F2168" s="53" t="n">
        <v>7</v>
      </c>
      <c r="G2168" s="55" t="n">
        <v>192.8</v>
      </c>
      <c r="H2168" s="55" t="n">
        <v>60.63</v>
      </c>
      <c r="I2168" s="53" t="n">
        <v>169</v>
      </c>
      <c r="J2168" s="53" t="n">
        <v>139</v>
      </c>
      <c r="K2168" s="53" t="n">
        <v>24</v>
      </c>
      <c r="L2168" s="53" t="n">
        <v>7</v>
      </c>
      <c r="M2168" s="33">
        <f>F2168-E2168</f>
        <v/>
      </c>
      <c r="N2168" s="33">
        <f>L2168-K2168</f>
        <v/>
      </c>
    </row>
    <row r="2169">
      <c r="A2169" s="58" t="inlineStr">
        <is>
          <t>38017 Quick Stop Food &amp; Liq</t>
        </is>
      </c>
      <c r="B2169" s="58" t="inlineStr">
        <is>
          <t>Bergen</t>
        </is>
      </c>
      <c r="C2169" s="58" t="inlineStr">
        <is>
          <t>Chris Payton</t>
        </is>
      </c>
      <c r="D2169" s="58" t="inlineStr">
        <is>
          <t>Off-premise</t>
        </is>
      </c>
      <c r="E2169" s="53" t="n">
        <v>1450</v>
      </c>
      <c r="F2169" s="53" t="n">
        <v>1340</v>
      </c>
      <c r="G2169" s="55" t="n">
        <v>10689.8</v>
      </c>
      <c r="H2169" s="55" t="n">
        <v>9923.24</v>
      </c>
      <c r="I2169" s="53" t="n">
        <v>219</v>
      </c>
      <c r="J2169" s="53" t="n">
        <v>175</v>
      </c>
      <c r="K2169" s="53" t="n">
        <v>168</v>
      </c>
      <c r="L2169" s="53" t="n">
        <v>151</v>
      </c>
      <c r="M2169" s="33">
        <f>F2169-E2169</f>
        <v/>
      </c>
      <c r="N2169" s="33">
        <f>L2169-K2169</f>
        <v/>
      </c>
    </row>
    <row r="2170">
      <c r="A2170" s="58" t="inlineStr">
        <is>
          <t>17002 Hillcrest Liqrs (A)</t>
        </is>
      </c>
      <c r="B2170" s="58" t="inlineStr">
        <is>
          <t>Passaic</t>
        </is>
      </c>
      <c r="C2170" s="58" t="inlineStr">
        <is>
          <t>Derrick Laws</t>
        </is>
      </c>
      <c r="D2170" s="58" t="inlineStr">
        <is>
          <t>Off-premise</t>
        </is>
      </c>
      <c r="E2170" s="53" t="n">
        <v>2355</v>
      </c>
      <c r="F2170" s="53" t="n">
        <v>2088</v>
      </c>
      <c r="G2170" s="55" t="n">
        <v>15965.49</v>
      </c>
      <c r="H2170" s="55" t="n">
        <v>14999.46</v>
      </c>
      <c r="I2170" s="53" t="n">
        <v>386</v>
      </c>
      <c r="J2170" s="53" t="n">
        <v>286</v>
      </c>
      <c r="K2170" s="53" t="n">
        <v>236</v>
      </c>
      <c r="L2170" s="53" t="n">
        <v>219</v>
      </c>
      <c r="M2170" s="33">
        <f>F2170-E2170</f>
        <v/>
      </c>
      <c r="N2170" s="33">
        <f>L2170-K2170</f>
        <v/>
      </c>
    </row>
    <row r="2171">
      <c r="A2171" s="58" t="inlineStr">
        <is>
          <t>29017 Meadow Fine Liquors</t>
        </is>
      </c>
      <c r="B2171" s="58" t="inlineStr">
        <is>
          <t>Bergen</t>
        </is>
      </c>
      <c r="C2171" s="58" t="inlineStr">
        <is>
          <t>Jim Heaney</t>
        </is>
      </c>
      <c r="D2171" s="58" t="inlineStr">
        <is>
          <t>Off-premise</t>
        </is>
      </c>
      <c r="E2171" s="53" t="n">
        <v>1309</v>
      </c>
      <c r="F2171" s="53" t="n">
        <v>1145</v>
      </c>
      <c r="G2171" s="55" t="n">
        <v>9671.040000000001</v>
      </c>
      <c r="H2171" s="55" t="n">
        <v>8423.230000000001</v>
      </c>
      <c r="I2171" s="53" t="n">
        <v>450</v>
      </c>
      <c r="J2171" s="53" t="n">
        <v>345</v>
      </c>
      <c r="K2171" s="53" t="n">
        <v>252</v>
      </c>
      <c r="L2171" s="53" t="n">
        <v>235</v>
      </c>
      <c r="M2171" s="33">
        <f>F2171-E2171</f>
        <v/>
      </c>
      <c r="N2171" s="33">
        <f>L2171-K2171</f>
        <v/>
      </c>
    </row>
    <row r="2172">
      <c r="A2172" s="58" t="inlineStr">
        <is>
          <t>29012 Riverside Liquors</t>
        </is>
      </c>
      <c r="B2172" s="58" t="inlineStr">
        <is>
          <t>Bergen</t>
        </is>
      </c>
      <c r="C2172" s="58" t="inlineStr">
        <is>
          <t>Jim Heaney</t>
        </is>
      </c>
      <c r="D2172" s="58" t="inlineStr">
        <is>
          <t>Off-premise</t>
        </is>
      </c>
      <c r="E2172" s="53" t="n">
        <v>1538</v>
      </c>
      <c r="F2172" s="53" t="n">
        <v>1383</v>
      </c>
      <c r="G2172" s="55" t="n">
        <v>11261.45</v>
      </c>
      <c r="H2172" s="55" t="n">
        <v>10346.16</v>
      </c>
      <c r="I2172" s="53" t="n">
        <v>262</v>
      </c>
      <c r="J2172" s="53" t="n">
        <v>287</v>
      </c>
      <c r="K2172" s="53" t="n">
        <v>235</v>
      </c>
      <c r="L2172" s="53" t="n">
        <v>218</v>
      </c>
      <c r="M2172" s="33">
        <f>F2172-E2172</f>
        <v/>
      </c>
      <c r="N2172" s="33">
        <f>L2172-K2172</f>
        <v/>
      </c>
    </row>
    <row r="2173">
      <c r="A2173" s="58" t="inlineStr">
        <is>
          <t>191511 Nova Liquors</t>
        </is>
      </c>
      <c r="B2173" s="58" t="inlineStr">
        <is>
          <t>Sussex</t>
        </is>
      </c>
      <c r="C2173" s="58" t="inlineStr">
        <is>
          <t>Klejdi Lamo</t>
        </is>
      </c>
      <c r="D2173" s="58" t="inlineStr">
        <is>
          <t>Off-premise</t>
        </is>
      </c>
      <c r="E2173" s="53" t="n">
        <v>615</v>
      </c>
      <c r="F2173" s="53" t="n">
        <v>499</v>
      </c>
      <c r="G2173" s="55" t="n">
        <v>4973.25</v>
      </c>
      <c r="H2173" s="55" t="n">
        <v>4212.870000000001</v>
      </c>
      <c r="I2173" s="53" t="n">
        <v>91</v>
      </c>
      <c r="J2173" s="53" t="n">
        <v>86</v>
      </c>
      <c r="K2173" s="53" t="n">
        <v>85</v>
      </c>
      <c r="L2173" s="53" t="n">
        <v>68</v>
      </c>
      <c r="M2173" s="33">
        <f>F2173-E2173</f>
        <v/>
      </c>
      <c r="N2173" s="33">
        <f>L2173-K2173</f>
        <v/>
      </c>
    </row>
    <row r="2174">
      <c r="A2174" s="58" t="inlineStr">
        <is>
          <t>12017 Shays Liquors</t>
        </is>
      </c>
      <c r="B2174" s="58" t="inlineStr">
        <is>
          <t>Passaic</t>
        </is>
      </c>
      <c r="C2174" s="58" t="inlineStr">
        <is>
          <t>Michael Harboy</t>
        </is>
      </c>
      <c r="D2174" s="58" t="inlineStr">
        <is>
          <t>Off-premise</t>
        </is>
      </c>
      <c r="E2174" s="53" t="n">
        <v>3505</v>
      </c>
      <c r="F2174" s="53" t="n">
        <v>3613</v>
      </c>
      <c r="G2174" s="55" t="n">
        <v>22521.26</v>
      </c>
      <c r="H2174" s="55" t="n">
        <v>23568.41</v>
      </c>
      <c r="I2174" s="53" t="n">
        <v>954</v>
      </c>
      <c r="J2174" s="53" t="n">
        <v>1077</v>
      </c>
      <c r="K2174" s="53" t="n">
        <v>533</v>
      </c>
      <c r="L2174" s="53" t="n">
        <v>516</v>
      </c>
      <c r="M2174" s="33">
        <f>F2174-E2174</f>
        <v/>
      </c>
      <c r="N2174" s="33">
        <f>L2174-K2174</f>
        <v/>
      </c>
    </row>
    <row r="2175">
      <c r="A2175" s="58" t="inlineStr">
        <is>
          <t>89007 Acme Markets (Allendale)</t>
        </is>
      </c>
      <c r="B2175" s="58" t="inlineStr">
        <is>
          <t>Bergen</t>
        </is>
      </c>
      <c r="C2175" s="58" t="inlineStr">
        <is>
          <t>Phil Ernst</t>
        </is>
      </c>
      <c r="D2175" s="58" t="inlineStr">
        <is>
          <t>Off-premise</t>
        </is>
      </c>
      <c r="E2175" s="53" t="n">
        <v>1070</v>
      </c>
      <c r="F2175" s="53" t="n">
        <v>914</v>
      </c>
      <c r="G2175" s="55" t="n">
        <v>9572.599999999997</v>
      </c>
      <c r="H2175" s="55" t="n">
        <v>8190.64</v>
      </c>
      <c r="I2175" s="53" t="n">
        <v>475</v>
      </c>
      <c r="J2175" s="53" t="n">
        <v>429</v>
      </c>
      <c r="K2175" s="53" t="n">
        <v>244</v>
      </c>
      <c r="L2175" s="53" t="n">
        <v>227</v>
      </c>
      <c r="M2175" s="33">
        <f>F2175-E2175</f>
        <v/>
      </c>
      <c r="N2175" s="33">
        <f>L2175-K2175</f>
        <v/>
      </c>
    </row>
    <row r="2176">
      <c r="A2176" s="58" t="inlineStr">
        <is>
          <t>171341 Irv's Wines &amp; Liquors(P)</t>
        </is>
      </c>
      <c r="B2176" s="58" t="inlineStr">
        <is>
          <t>Hudson</t>
        </is>
      </c>
      <c r="C2176" s="58" t="inlineStr">
        <is>
          <t>Alisa Acciardi</t>
        </is>
      </c>
      <c r="D2176" s="58" t="inlineStr">
        <is>
          <t>Off-premise</t>
        </is>
      </c>
      <c r="E2176" s="53" t="n">
        <v>23</v>
      </c>
      <c r="F2176" s="53" t="n">
        <v>5</v>
      </c>
      <c r="G2176" s="55" t="n">
        <v>185.06</v>
      </c>
      <c r="H2176" s="55" t="n">
        <v>42.01</v>
      </c>
      <c r="I2176" s="53" t="n">
        <v>36</v>
      </c>
      <c r="J2176" s="53" t="n">
        <v>10</v>
      </c>
      <c r="K2176" s="53" t="n">
        <v>23</v>
      </c>
      <c r="L2176" s="53" t="n">
        <v>5</v>
      </c>
      <c r="M2176" s="33">
        <f>F2176-E2176</f>
        <v/>
      </c>
      <c r="N2176" s="33">
        <f>L2176-K2176</f>
        <v/>
      </c>
    </row>
    <row r="2177">
      <c r="A2177" s="58" t="inlineStr">
        <is>
          <t>12032 Casa Don Manuel</t>
        </is>
      </c>
      <c r="B2177" s="58" t="inlineStr">
        <is>
          <t>Passaic</t>
        </is>
      </c>
      <c r="C2177" s="58" t="inlineStr">
        <is>
          <t>Allison Scott</t>
        </is>
      </c>
      <c r="D2177" s="58" t="inlineStr">
        <is>
          <t>On-premise</t>
        </is>
      </c>
      <c r="E2177" s="53" t="n">
        <v>203</v>
      </c>
      <c r="F2177" s="53" t="n">
        <v>177</v>
      </c>
      <c r="G2177" s="55" t="n">
        <v>1625.71</v>
      </c>
      <c r="H2177" s="55" t="n">
        <v>1463.25</v>
      </c>
      <c r="I2177" s="53" t="n">
        <v>20</v>
      </c>
      <c r="J2177" s="53" t="n">
        <v>18</v>
      </c>
      <c r="K2177" s="53" t="n">
        <v>60</v>
      </c>
      <c r="L2177" s="53" t="n">
        <v>42</v>
      </c>
      <c r="M2177" s="33">
        <f>F2177-E2177</f>
        <v/>
      </c>
      <c r="N2177" s="33">
        <f>L2177-K2177</f>
        <v/>
      </c>
    </row>
    <row r="2178">
      <c r="A2178" s="58" t="inlineStr">
        <is>
          <t>250035 Wine Zone (P)</t>
        </is>
      </c>
      <c r="B2178" s="58" t="inlineStr">
        <is>
          <t>Union</t>
        </is>
      </c>
      <c r="C2178" s="58" t="inlineStr">
        <is>
          <t>Andrew Lundy</t>
        </is>
      </c>
      <c r="D2178" s="58" t="inlineStr">
        <is>
          <t>Off-premise</t>
        </is>
      </c>
      <c r="E2178" s="53" t="n">
        <v>18</v>
      </c>
      <c r="F2178" s="53" t="n">
        <v>0</v>
      </c>
      <c r="G2178" s="55" t="n">
        <v>143.05</v>
      </c>
      <c r="H2178" s="55" t="n">
        <v>0</v>
      </c>
      <c r="I2178" s="53" t="n">
        <v>27</v>
      </c>
      <c r="J2178" s="53" t="n">
        <v>0</v>
      </c>
      <c r="K2178" s="53" t="n">
        <v>18</v>
      </c>
      <c r="L2178" s="53" t="n">
        <v>0</v>
      </c>
      <c r="M2178" s="33">
        <f>F2178-E2178</f>
        <v/>
      </c>
      <c r="N2178" s="33">
        <f>L2178-K2178</f>
        <v/>
      </c>
    </row>
    <row r="2179">
      <c r="A2179" s="58" t="inlineStr">
        <is>
          <t>150082 Liquorland (South Orange)</t>
        </is>
      </c>
      <c r="B2179" s="58" t="inlineStr">
        <is>
          <t>Essex</t>
        </is>
      </c>
      <c r="C2179" s="58" t="inlineStr">
        <is>
          <t>Hakan Sadik</t>
        </is>
      </c>
      <c r="D2179" s="58" t="inlineStr">
        <is>
          <t>Off-premise</t>
        </is>
      </c>
      <c r="E2179" s="53" t="n">
        <v>19</v>
      </c>
      <c r="F2179" s="53" t="n">
        <v>0</v>
      </c>
      <c r="G2179" s="55" t="n">
        <v>273.15</v>
      </c>
      <c r="H2179" s="55" t="n">
        <v>0</v>
      </c>
      <c r="I2179" s="53" t="n">
        <v>102</v>
      </c>
      <c r="J2179" s="53" t="n">
        <v>0</v>
      </c>
      <c r="K2179" s="53" t="n">
        <v>18</v>
      </c>
      <c r="L2179" s="53" t="n">
        <v>0</v>
      </c>
      <c r="M2179" s="33">
        <f>F2179-E2179</f>
        <v/>
      </c>
      <c r="N2179" s="33">
        <f>L2179-K2179</f>
        <v/>
      </c>
    </row>
    <row r="2180">
      <c r="A2180" s="58" t="inlineStr">
        <is>
          <t>150184 Newark Discount Wine and Spirits</t>
        </is>
      </c>
      <c r="B2180" s="58" t="inlineStr">
        <is>
          <t>Essex</t>
        </is>
      </c>
      <c r="C2180" s="58" t="inlineStr">
        <is>
          <t>Hakan Sadik</t>
        </is>
      </c>
      <c r="D2180" s="58" t="inlineStr">
        <is>
          <t>Off-premise</t>
        </is>
      </c>
      <c r="E2180" s="53" t="n">
        <v>18</v>
      </c>
      <c r="F2180" s="53" t="n">
        <v>0</v>
      </c>
      <c r="G2180" s="55" t="n">
        <v>143.05</v>
      </c>
      <c r="H2180" s="55" t="n">
        <v>0</v>
      </c>
      <c r="I2180" s="53" t="n">
        <v>93</v>
      </c>
      <c r="J2180" s="53" t="n">
        <v>59</v>
      </c>
      <c r="K2180" s="53" t="n">
        <v>18</v>
      </c>
      <c r="L2180" s="53" t="n">
        <v>0</v>
      </c>
      <c r="M2180" s="33">
        <f>F2180-E2180</f>
        <v/>
      </c>
      <c r="N2180" s="33">
        <f>L2180-K2180</f>
        <v/>
      </c>
    </row>
    <row r="2181">
      <c r="A2181" s="58" t="inlineStr">
        <is>
          <t>20021 Diamond Liquors (P)</t>
        </is>
      </c>
      <c r="B2181" s="58" t="inlineStr">
        <is>
          <t>Passaic</t>
        </is>
      </c>
      <c r="C2181" s="58" t="inlineStr">
        <is>
          <t>Javier Melo</t>
        </is>
      </c>
      <c r="D2181" s="58" t="inlineStr">
        <is>
          <t>Off-premise</t>
        </is>
      </c>
      <c r="E2181" s="53" t="n">
        <v>4864</v>
      </c>
      <c r="F2181" s="53" t="n">
        <v>4179</v>
      </c>
      <c r="G2181" s="55" t="n">
        <v>34769.93</v>
      </c>
      <c r="H2181" s="55" t="n">
        <v>31051.63</v>
      </c>
      <c r="I2181" s="53" t="n">
        <v>413</v>
      </c>
      <c r="J2181" s="53" t="n">
        <v>247</v>
      </c>
      <c r="K2181" s="53" t="n">
        <v>292</v>
      </c>
      <c r="L2181" s="53" t="n">
        <v>274</v>
      </c>
      <c r="M2181" s="33">
        <f>F2181-E2181</f>
        <v/>
      </c>
      <c r="N2181" s="33">
        <f>L2181-K2181</f>
        <v/>
      </c>
    </row>
    <row r="2182">
      <c r="A2182" s="58" t="inlineStr">
        <is>
          <t>11014 Wayne Liquor Locker</t>
        </is>
      </c>
      <c r="B2182" s="58" t="inlineStr">
        <is>
          <t>Passaic</t>
        </is>
      </c>
      <c r="C2182" s="58" t="inlineStr">
        <is>
          <t>Michael Harboy</t>
        </is>
      </c>
      <c r="D2182" s="58" t="inlineStr">
        <is>
          <t>Off-premise</t>
        </is>
      </c>
      <c r="E2182" s="53" t="n">
        <v>2276</v>
      </c>
      <c r="F2182" s="53" t="n">
        <v>2019</v>
      </c>
      <c r="G2182" s="55" t="n">
        <v>16233.87</v>
      </c>
      <c r="H2182" s="55" t="n">
        <v>14299.88</v>
      </c>
      <c r="I2182" s="53" t="n">
        <v>612</v>
      </c>
      <c r="J2182" s="53" t="n">
        <v>751</v>
      </c>
      <c r="K2182" s="53" t="n">
        <v>368</v>
      </c>
      <c r="L2182" s="53" t="n">
        <v>350</v>
      </c>
      <c r="M2182" s="33">
        <f>F2182-E2182</f>
        <v/>
      </c>
      <c r="N2182" s="33">
        <f>L2182-K2182</f>
        <v/>
      </c>
    </row>
    <row r="2183">
      <c r="A2183" s="58" t="inlineStr">
        <is>
          <t>12011 Bottle King (A) Wayne</t>
        </is>
      </c>
      <c r="B2183" s="58" t="inlineStr">
        <is>
          <t>Passaic</t>
        </is>
      </c>
      <c r="C2183" s="58" t="inlineStr">
        <is>
          <t>Mike Ast</t>
        </is>
      </c>
      <c r="D2183" s="58" t="inlineStr">
        <is>
          <t>Off-premise</t>
        </is>
      </c>
      <c r="E2183" s="53" t="n">
        <v>14018</v>
      </c>
      <c r="F2183" s="53" t="n">
        <v>13144</v>
      </c>
      <c r="G2183" s="55" t="n">
        <v>86178.98000000001</v>
      </c>
      <c r="H2183" s="55" t="n">
        <v>82698.23000000003</v>
      </c>
      <c r="I2183" s="53" t="n">
        <v>6216</v>
      </c>
      <c r="J2183" s="53" t="n">
        <v>6360</v>
      </c>
      <c r="K2183" s="53" t="n">
        <v>2320</v>
      </c>
      <c r="L2183" s="53" t="n">
        <v>2302</v>
      </c>
      <c r="M2183" s="33">
        <f>F2183-E2183</f>
        <v/>
      </c>
      <c r="N2183" s="33">
        <f>L2183-K2183</f>
        <v/>
      </c>
    </row>
    <row r="2184">
      <c r="A2184" s="58" t="inlineStr">
        <is>
          <t>40038 Forte Ristorante</t>
        </is>
      </c>
      <c r="B2184" s="58" t="inlineStr">
        <is>
          <t>Bergen</t>
        </is>
      </c>
      <c r="C2184" s="58" t="inlineStr">
        <is>
          <t>Paul Mclaughlin</t>
        </is>
      </c>
      <c r="D2184" s="58" t="inlineStr">
        <is>
          <t>On-premise</t>
        </is>
      </c>
      <c r="E2184" s="53" t="n">
        <v>140</v>
      </c>
      <c r="F2184" s="53" t="n">
        <v>83</v>
      </c>
      <c r="G2184" s="55" t="n">
        <v>1454.99</v>
      </c>
      <c r="H2184" s="55" t="n">
        <v>854.5099999999999</v>
      </c>
      <c r="I2184" s="53" t="n">
        <v>9</v>
      </c>
      <c r="J2184" s="53" t="n">
        <v>6</v>
      </c>
      <c r="K2184" s="53" t="n">
        <v>36</v>
      </c>
      <c r="L2184" s="53" t="n">
        <v>18</v>
      </c>
      <c r="M2184" s="33">
        <f>F2184-E2184</f>
        <v/>
      </c>
      <c r="N2184" s="33">
        <f>L2184-K2184</f>
        <v/>
      </c>
    </row>
    <row r="2185">
      <c r="A2185" s="58" t="inlineStr">
        <is>
          <t>150080 Berkeley Liquors</t>
        </is>
      </c>
      <c r="B2185" s="58" t="inlineStr">
        <is>
          <t>Essex</t>
        </is>
      </c>
      <c r="C2185" s="58" t="inlineStr">
        <is>
          <t>Alisa Acciardi</t>
        </is>
      </c>
      <c r="D2185" s="58" t="inlineStr">
        <is>
          <t>Off-premise</t>
        </is>
      </c>
      <c r="E2185" s="53" t="n">
        <v>19</v>
      </c>
      <c r="F2185" s="53" t="n">
        <v>0</v>
      </c>
      <c r="G2185" s="55" t="n">
        <v>100.74</v>
      </c>
      <c r="H2185" s="55" t="n">
        <v>0</v>
      </c>
      <c r="I2185" s="53" t="n">
        <v>136</v>
      </c>
      <c r="J2185" s="53" t="n">
        <v>113</v>
      </c>
      <c r="K2185" s="53" t="n">
        <v>19</v>
      </c>
      <c r="L2185" s="53" t="n">
        <v>0</v>
      </c>
      <c r="M2185" s="33">
        <f>F2185-E2185</f>
        <v/>
      </c>
      <c r="N2185" s="33">
        <f>L2185-K2185</f>
        <v/>
      </c>
    </row>
    <row r="2186">
      <c r="A2186" s="58" t="inlineStr">
        <is>
          <t>250102 Hillside Liquors</t>
        </is>
      </c>
      <c r="B2186" s="58" t="inlineStr">
        <is>
          <t>Union</t>
        </is>
      </c>
      <c r="C2186" s="58" t="inlineStr">
        <is>
          <t>Andrew Lundy</t>
        </is>
      </c>
      <c r="D2186" s="58" t="inlineStr">
        <is>
          <t>Off-premise</t>
        </is>
      </c>
      <c r="E2186" s="53" t="n">
        <v>29</v>
      </c>
      <c r="F2186" s="53" t="n">
        <v>10</v>
      </c>
      <c r="G2186" s="55" t="n">
        <v>214.73</v>
      </c>
      <c r="H2186" s="55" t="n">
        <v>71.56</v>
      </c>
      <c r="I2186" s="53" t="n">
        <v>134</v>
      </c>
      <c r="J2186" s="53" t="n">
        <v>74</v>
      </c>
      <c r="K2186" s="53" t="n">
        <v>29</v>
      </c>
      <c r="L2186" s="53" t="n">
        <v>10</v>
      </c>
      <c r="M2186" s="33">
        <f>F2186-E2186</f>
        <v/>
      </c>
      <c r="N2186" s="33">
        <f>L2186-K2186</f>
        <v/>
      </c>
    </row>
    <row r="2187">
      <c r="A2187" s="58" t="inlineStr">
        <is>
          <t>35001 Westmont Liquors 64</t>
        </is>
      </c>
      <c r="B2187" s="58" t="inlineStr">
        <is>
          <t>Bergen</t>
        </is>
      </c>
      <c r="C2187" s="58" t="inlineStr">
        <is>
          <t>Chris Payton</t>
        </is>
      </c>
      <c r="D2187" s="58" t="inlineStr">
        <is>
          <t>Off-premise</t>
        </is>
      </c>
      <c r="E2187" s="53" t="n">
        <v>947</v>
      </c>
      <c r="F2187" s="53" t="n">
        <v>891</v>
      </c>
      <c r="G2187" s="55" t="n">
        <v>7029.08</v>
      </c>
      <c r="H2187" s="55" t="n">
        <v>7088.73</v>
      </c>
      <c r="I2187" s="53" t="n">
        <v>296</v>
      </c>
      <c r="J2187" s="53" t="n">
        <v>326</v>
      </c>
      <c r="K2187" s="53" t="n">
        <v>165</v>
      </c>
      <c r="L2187" s="53" t="n">
        <v>146</v>
      </c>
      <c r="M2187" s="33">
        <f>F2187-E2187</f>
        <v/>
      </c>
      <c r="N2187" s="33">
        <f>L2187-K2187</f>
        <v/>
      </c>
    </row>
    <row r="2188">
      <c r="A2188" s="58" t="inlineStr">
        <is>
          <t>45018 Duri Pocha</t>
        </is>
      </c>
      <c r="B2188" s="58" t="inlineStr">
        <is>
          <t>Bergen</t>
        </is>
      </c>
      <c r="C2188" s="58" t="inlineStr">
        <is>
          <t>Dan Lagala</t>
        </is>
      </c>
      <c r="D2188" s="58" t="inlineStr">
        <is>
          <t>On-premise</t>
        </is>
      </c>
      <c r="E2188" s="53" t="n">
        <v>41</v>
      </c>
      <c r="F2188" s="53" t="n">
        <v>19</v>
      </c>
      <c r="G2188" s="55" t="n">
        <v>385.2</v>
      </c>
      <c r="H2188" s="55" t="n">
        <v>200.01</v>
      </c>
      <c r="I2188" s="53" t="n">
        <v>0</v>
      </c>
      <c r="J2188" s="53" t="n">
        <v>0</v>
      </c>
      <c r="K2188" s="53" t="n">
        <v>26</v>
      </c>
      <c r="L2188" s="53" t="n">
        <v>7</v>
      </c>
      <c r="M2188" s="33">
        <f>F2188-E2188</f>
        <v/>
      </c>
      <c r="N2188" s="33">
        <f>L2188-K2188</f>
        <v/>
      </c>
    </row>
    <row r="2189">
      <c r="A2189" s="58" t="inlineStr">
        <is>
          <t>179018 Te-Amo</t>
        </is>
      </c>
      <c r="B2189" s="58" t="inlineStr">
        <is>
          <t>Hudson</t>
        </is>
      </c>
      <c r="C2189" s="58" t="inlineStr">
        <is>
          <t>Dylan Rubino</t>
        </is>
      </c>
      <c r="D2189" s="58" t="inlineStr">
        <is>
          <t>On-premise</t>
        </is>
      </c>
      <c r="E2189" s="53" t="n">
        <v>19</v>
      </c>
      <c r="F2189" s="53" t="n">
        <v>0</v>
      </c>
      <c r="G2189" s="55" t="n">
        <v>142.6</v>
      </c>
      <c r="H2189" s="55" t="n">
        <v>0</v>
      </c>
      <c r="I2189" s="53" t="n">
        <v>0</v>
      </c>
      <c r="J2189" s="53" t="n">
        <v>0</v>
      </c>
      <c r="K2189" s="53" t="n">
        <v>19</v>
      </c>
      <c r="L2189" s="53" t="n">
        <v>0</v>
      </c>
      <c r="M2189" s="33">
        <f>F2189-E2189</f>
        <v/>
      </c>
      <c r="N2189" s="33">
        <f>L2189-K2189</f>
        <v/>
      </c>
    </row>
    <row r="2190">
      <c r="A2190" s="58" t="inlineStr">
        <is>
          <t>150225 Park Ave Wine &amp; Liquors</t>
        </is>
      </c>
      <c r="B2190" s="58" t="inlineStr">
        <is>
          <t>Essex</t>
        </is>
      </c>
      <c r="C2190" s="58" t="inlineStr">
        <is>
          <t>Hakan Sadik</t>
        </is>
      </c>
      <c r="D2190" s="58" t="inlineStr">
        <is>
          <t>Off-premise</t>
        </is>
      </c>
      <c r="E2190" s="53" t="n">
        <v>19</v>
      </c>
      <c r="F2190" s="53" t="n">
        <v>0</v>
      </c>
      <c r="G2190" s="55" t="n">
        <v>143.07</v>
      </c>
      <c r="H2190" s="55" t="n">
        <v>0</v>
      </c>
      <c r="I2190" s="53" t="n">
        <v>170</v>
      </c>
      <c r="J2190" s="53" t="n">
        <v>144</v>
      </c>
      <c r="K2190" s="53" t="n">
        <v>19</v>
      </c>
      <c r="L2190" s="53" t="n">
        <v>0</v>
      </c>
      <c r="M2190" s="33">
        <f>F2190-E2190</f>
        <v/>
      </c>
      <c r="N2190" s="33">
        <f>L2190-K2190</f>
        <v/>
      </c>
    </row>
    <row r="2191">
      <c r="A2191" s="58" t="inlineStr">
        <is>
          <t>171117 Delite Market</t>
        </is>
      </c>
      <c r="B2191" s="58" t="inlineStr">
        <is>
          <t>Hudson</t>
        </is>
      </c>
      <c r="C2191" s="58" t="inlineStr">
        <is>
          <t>Jaime Colonna</t>
        </is>
      </c>
      <c r="D2191" s="58" t="inlineStr">
        <is>
          <t>Off-premise</t>
        </is>
      </c>
      <c r="E2191" s="53" t="n">
        <v>68</v>
      </c>
      <c r="F2191" s="53" t="n">
        <v>49</v>
      </c>
      <c r="G2191" s="55" t="n">
        <v>504.3</v>
      </c>
      <c r="H2191" s="55" t="n">
        <v>319.63</v>
      </c>
      <c r="I2191" s="53" t="n">
        <v>93</v>
      </c>
      <c r="J2191" s="53" t="n">
        <v>67</v>
      </c>
      <c r="K2191" s="53" t="n">
        <v>68</v>
      </c>
      <c r="L2191" s="53" t="n">
        <v>49</v>
      </c>
      <c r="M2191" s="33">
        <f>F2191-E2191</f>
        <v/>
      </c>
      <c r="N2191" s="33">
        <f>L2191-K2191</f>
        <v/>
      </c>
    </row>
    <row r="2192">
      <c r="A2192" s="58" t="inlineStr">
        <is>
          <t>28019 Turf and Barrel</t>
        </is>
      </c>
      <c r="B2192" s="58" t="inlineStr">
        <is>
          <t>Bergen</t>
        </is>
      </c>
      <c r="C2192" s="58" t="inlineStr">
        <is>
          <t>Nick Melissari</t>
        </is>
      </c>
      <c r="D2192" s="58" t="inlineStr">
        <is>
          <t>On-premise</t>
        </is>
      </c>
      <c r="E2192" s="53" t="n">
        <v>350</v>
      </c>
      <c r="F2192" s="53" t="n">
        <v>0</v>
      </c>
      <c r="G2192" s="55" t="n">
        <v>2926.79</v>
      </c>
      <c r="H2192" s="55" t="n">
        <v>0</v>
      </c>
      <c r="I2192" s="53" t="n">
        <v>35</v>
      </c>
      <c r="J2192" s="53" t="n">
        <v>0</v>
      </c>
      <c r="K2192" s="53" t="n">
        <v>19</v>
      </c>
      <c r="L2192" s="53" t="n">
        <v>0</v>
      </c>
      <c r="M2192" s="33">
        <f>F2192-E2192</f>
        <v/>
      </c>
      <c r="N2192" s="33">
        <f>L2192-K2192</f>
        <v/>
      </c>
    </row>
    <row r="2193">
      <c r="A2193" s="58" t="inlineStr">
        <is>
          <t>40024 Maggiano's Little(A)Italy</t>
        </is>
      </c>
      <c r="B2193" s="58" t="inlineStr">
        <is>
          <t>Bergen</t>
        </is>
      </c>
      <c r="C2193" s="58" t="inlineStr">
        <is>
          <t>Nick Melissari</t>
        </is>
      </c>
      <c r="D2193" s="58" t="inlineStr">
        <is>
          <t>On-premise</t>
        </is>
      </c>
      <c r="E2193" s="53" t="n">
        <v>68</v>
      </c>
      <c r="F2193" s="53" t="n">
        <v>42</v>
      </c>
      <c r="G2193" s="55" t="n">
        <v>729.0699999999999</v>
      </c>
      <c r="H2193" s="55" t="n">
        <v>416.1799999999999</v>
      </c>
      <c r="I2193" s="53" t="n">
        <v>2</v>
      </c>
      <c r="J2193" s="53" t="n">
        <v>0</v>
      </c>
      <c r="K2193" s="53" t="n">
        <v>34</v>
      </c>
      <c r="L2193" s="53" t="n">
        <v>15</v>
      </c>
      <c r="M2193" s="33">
        <f>F2193-E2193</f>
        <v/>
      </c>
      <c r="N2193" s="33">
        <f>L2193-K2193</f>
        <v/>
      </c>
    </row>
    <row r="2194">
      <c r="A2194" s="58" t="inlineStr">
        <is>
          <t>43035 S &amp; A Society (Z)</t>
        </is>
      </c>
      <c r="B2194" s="58" t="inlineStr">
        <is>
          <t>Bergen</t>
        </is>
      </c>
      <c r="C2194" s="58" t="inlineStr">
        <is>
          <t>Robin Feldman</t>
        </is>
      </c>
      <c r="D2194" s="58" t="inlineStr">
        <is>
          <t>On-premise</t>
        </is>
      </c>
      <c r="E2194" s="53" t="n">
        <v>28</v>
      </c>
      <c r="F2194" s="53" t="n">
        <v>49</v>
      </c>
      <c r="G2194" s="55" t="n">
        <v>216.88</v>
      </c>
      <c r="H2194" s="55" t="n">
        <v>417.2</v>
      </c>
      <c r="I2194" s="53" t="n">
        <v>15</v>
      </c>
      <c r="J2194" s="53" t="n">
        <v>10</v>
      </c>
      <c r="K2194" s="53" t="n">
        <v>28</v>
      </c>
      <c r="L2194" s="53" t="n">
        <v>9</v>
      </c>
      <c r="M2194" s="33">
        <f>F2194-E2194</f>
        <v/>
      </c>
      <c r="N2194" s="33">
        <f>L2194-K2194</f>
        <v/>
      </c>
    </row>
    <row r="2195">
      <c r="A2195" s="58" t="inlineStr">
        <is>
          <t>80019 Kiku Restaurant</t>
        </is>
      </c>
      <c r="B2195" s="58" t="inlineStr">
        <is>
          <t>Bergen</t>
        </is>
      </c>
      <c r="C2195" s="58" t="inlineStr">
        <is>
          <t>Robin Feldman</t>
        </is>
      </c>
      <c r="D2195" s="58" t="inlineStr">
        <is>
          <t>On-premise</t>
        </is>
      </c>
      <c r="E2195" s="53" t="n">
        <v>115</v>
      </c>
      <c r="F2195" s="53" t="n">
        <v>91</v>
      </c>
      <c r="G2195" s="55" t="n">
        <v>953.3300000000002</v>
      </c>
      <c r="H2195" s="55" t="n">
        <v>750.4800000000001</v>
      </c>
      <c r="I2195" s="53" t="n">
        <v>8</v>
      </c>
      <c r="J2195" s="53" t="n">
        <v>24</v>
      </c>
      <c r="K2195" s="53" t="n">
        <v>84</v>
      </c>
      <c r="L2195" s="53" t="n">
        <v>65</v>
      </c>
      <c r="M2195" s="33">
        <f>F2195-E2195</f>
        <v/>
      </c>
      <c r="N2195" s="33">
        <f>L2195-K2195</f>
        <v/>
      </c>
    </row>
    <row r="2196">
      <c r="A2196" s="58" t="inlineStr">
        <is>
          <t>14004 Sushi Lounge</t>
        </is>
      </c>
      <c r="B2196" s="58" t="inlineStr">
        <is>
          <t>Passaic</t>
        </is>
      </c>
      <c r="C2196" s="58" t="inlineStr">
        <is>
          <t>Allison Scott</t>
        </is>
      </c>
      <c r="D2196" s="58" t="inlineStr">
        <is>
          <t>On-premise</t>
        </is>
      </c>
      <c r="E2196" s="53" t="n">
        <v>152</v>
      </c>
      <c r="F2196" s="53" t="n">
        <v>118</v>
      </c>
      <c r="G2196" s="55" t="n">
        <v>1311.86</v>
      </c>
      <c r="H2196" s="55" t="n">
        <v>1066.81</v>
      </c>
      <c r="I2196" s="53" t="n">
        <v>23</v>
      </c>
      <c r="J2196" s="53" t="n">
        <v>28</v>
      </c>
      <c r="K2196" s="53" t="n">
        <v>66</v>
      </c>
      <c r="L2196" s="53" t="n">
        <v>46</v>
      </c>
      <c r="M2196" s="33">
        <f>F2196-E2196</f>
        <v/>
      </c>
      <c r="N2196" s="33">
        <f>L2196-K2196</f>
        <v/>
      </c>
    </row>
    <row r="2197">
      <c r="A2197" s="58" t="inlineStr">
        <is>
          <t>49055 Edgewater Liquor (A)</t>
        </is>
      </c>
      <c r="B2197" s="58" t="inlineStr">
        <is>
          <t>Bergen</t>
        </is>
      </c>
      <c r="C2197" s="58" t="inlineStr">
        <is>
          <t>Dan Lagala</t>
        </is>
      </c>
      <c r="D2197" s="58" t="inlineStr">
        <is>
          <t>Off-premise</t>
        </is>
      </c>
      <c r="E2197" s="53" t="n">
        <v>2383</v>
      </c>
      <c r="F2197" s="53" t="n">
        <v>2390</v>
      </c>
      <c r="G2197" s="55" t="n">
        <v>17186.41</v>
      </c>
      <c r="H2197" s="55" t="n">
        <v>18583.9</v>
      </c>
      <c r="I2197" s="53" t="n">
        <v>804</v>
      </c>
      <c r="J2197" s="53" t="n">
        <v>765</v>
      </c>
      <c r="K2197" s="53" t="n">
        <v>429</v>
      </c>
      <c r="L2197" s="53" t="n">
        <v>409</v>
      </c>
      <c r="M2197" s="33">
        <f>F2197-E2197</f>
        <v/>
      </c>
      <c r="N2197" s="33">
        <f>L2197-K2197</f>
        <v/>
      </c>
    </row>
    <row r="2198">
      <c r="A2198" s="58" t="inlineStr">
        <is>
          <t>49036 Junction Liquors</t>
        </is>
      </c>
      <c r="B2198" s="58" t="inlineStr">
        <is>
          <t>Bergen</t>
        </is>
      </c>
      <c r="C2198" s="58" t="inlineStr">
        <is>
          <t>Dan Lagala</t>
        </is>
      </c>
      <c r="D2198" s="58" t="inlineStr">
        <is>
          <t>Off-premise</t>
        </is>
      </c>
      <c r="E2198" s="53" t="n">
        <v>234</v>
      </c>
      <c r="F2198" s="53" t="n">
        <v>202</v>
      </c>
      <c r="G2198" s="55" t="n">
        <v>2037.76</v>
      </c>
      <c r="H2198" s="55" t="n">
        <v>1722.6</v>
      </c>
      <c r="I2198" s="53" t="n">
        <v>27</v>
      </c>
      <c r="J2198" s="53" t="n">
        <v>10</v>
      </c>
      <c r="K2198" s="53" t="n">
        <v>45</v>
      </c>
      <c r="L2198" s="53" t="n">
        <v>25</v>
      </c>
      <c r="M2198" s="33">
        <f>F2198-E2198</f>
        <v/>
      </c>
      <c r="N2198" s="33">
        <f>L2198-K2198</f>
        <v/>
      </c>
    </row>
    <row r="2199">
      <c r="A2199" s="58" t="inlineStr">
        <is>
          <t>27085 Cazadores Bar (Z) LLC</t>
        </is>
      </c>
      <c r="B2199" s="58" t="inlineStr">
        <is>
          <t>Passaic</t>
        </is>
      </c>
      <c r="C2199" s="58" t="inlineStr">
        <is>
          <t>Javier Melo</t>
        </is>
      </c>
      <c r="D2199" s="58" t="inlineStr">
        <is>
          <t>On-premise</t>
        </is>
      </c>
      <c r="E2199" s="53" t="n">
        <v>484</v>
      </c>
      <c r="F2199" s="53" t="n">
        <v>445</v>
      </c>
      <c r="G2199" s="55" t="n">
        <v>3474.18</v>
      </c>
      <c r="H2199" s="55" t="n">
        <v>3356.96</v>
      </c>
      <c r="I2199" s="53" t="n">
        <v>6</v>
      </c>
      <c r="J2199" s="53" t="n">
        <v>9</v>
      </c>
      <c r="K2199" s="53" t="n">
        <v>40</v>
      </c>
      <c r="L2199" s="53" t="n">
        <v>20</v>
      </c>
      <c r="M2199" s="33">
        <f>F2199-E2199</f>
        <v/>
      </c>
      <c r="N2199" s="33">
        <f>L2199-K2199</f>
        <v/>
      </c>
    </row>
    <row r="2200">
      <c r="A2200" s="58" t="inlineStr">
        <is>
          <t>190657 Shay's Liquors_2</t>
        </is>
      </c>
      <c r="B2200" s="58" t="inlineStr">
        <is>
          <t>Morris</t>
        </is>
      </c>
      <c r="C2200" s="58" t="inlineStr">
        <is>
          <t>John O'Donoghue</t>
        </is>
      </c>
      <c r="D2200" s="58" t="inlineStr">
        <is>
          <t>Unmatched</t>
        </is>
      </c>
      <c r="E2200" s="53" t="n">
        <v>20</v>
      </c>
      <c r="F2200" s="53" t="n">
        <v>0</v>
      </c>
      <c r="G2200" s="55" t="n">
        <v>141.01</v>
      </c>
      <c r="H2200" s="55" t="n">
        <v>0</v>
      </c>
      <c r="I2200" s="53" t="n">
        <v>62</v>
      </c>
      <c r="J2200" s="53" t="n">
        <v>96</v>
      </c>
      <c r="K2200" s="53" t="n">
        <v>20</v>
      </c>
      <c r="L2200" s="53" t="n">
        <v>0</v>
      </c>
      <c r="M2200" s="33">
        <f>F2200-E2200</f>
        <v/>
      </c>
      <c r="N2200" s="33">
        <f>L2200-K2200</f>
        <v/>
      </c>
    </row>
    <row r="2201">
      <c r="A2201" s="58" t="inlineStr">
        <is>
          <t>84003 Stop &amp; Shop (A)Ridgewood</t>
        </is>
      </c>
      <c r="B2201" s="58" t="inlineStr">
        <is>
          <t>Bergen</t>
        </is>
      </c>
      <c r="C2201" s="58" t="inlineStr">
        <is>
          <t>Mike Ast</t>
        </is>
      </c>
      <c r="D2201" s="58" t="inlineStr">
        <is>
          <t>Off-premise</t>
        </is>
      </c>
      <c r="E2201" s="53" t="n">
        <v>797</v>
      </c>
      <c r="F2201" s="53" t="n">
        <v>646</v>
      </c>
      <c r="G2201" s="55" t="n">
        <v>6494.349999999999</v>
      </c>
      <c r="H2201" s="55" t="n">
        <v>5350.7</v>
      </c>
      <c r="I2201" s="53" t="n">
        <v>240</v>
      </c>
      <c r="J2201" s="53" t="n">
        <v>262</v>
      </c>
      <c r="K2201" s="53" t="n">
        <v>118</v>
      </c>
      <c r="L2201" s="53" t="n">
        <v>98</v>
      </c>
      <c r="M2201" s="33">
        <f>F2201-E2201</f>
        <v/>
      </c>
      <c r="N2201" s="33">
        <f>L2201-K2201</f>
        <v/>
      </c>
    </row>
    <row r="2202">
      <c r="A2202" s="58" t="inlineStr">
        <is>
          <t>150130 Seabra Liquors</t>
        </is>
      </c>
      <c r="B2202" s="58" t="inlineStr">
        <is>
          <t>Essex</t>
        </is>
      </c>
      <c r="C2202" s="58" t="inlineStr">
        <is>
          <t>Alisa Acciardi</t>
        </is>
      </c>
      <c r="D2202" s="58" t="inlineStr">
        <is>
          <t>Off-premise</t>
        </is>
      </c>
      <c r="E2202" s="53" t="n">
        <v>87</v>
      </c>
      <c r="F2202" s="53" t="n">
        <v>66</v>
      </c>
      <c r="G2202" s="55" t="n">
        <v>579.09</v>
      </c>
      <c r="H2202" s="55" t="n">
        <v>470.23</v>
      </c>
      <c r="I2202" s="53" t="n">
        <v>95</v>
      </c>
      <c r="J2202" s="53" t="n">
        <v>269</v>
      </c>
      <c r="K2202" s="53" t="n">
        <v>87</v>
      </c>
      <c r="L2202" s="53" t="n">
        <v>66</v>
      </c>
      <c r="M2202" s="33">
        <f>F2202-E2202</f>
        <v/>
      </c>
      <c r="N2202" s="33">
        <f>L2202-K2202</f>
        <v/>
      </c>
    </row>
    <row r="2203">
      <c r="A2203" s="58" t="inlineStr">
        <is>
          <t>10007 Bardis (P)</t>
        </is>
      </c>
      <c r="B2203" s="58" t="inlineStr">
        <is>
          <t>Morris</t>
        </is>
      </c>
      <c r="C2203" s="58" t="inlineStr">
        <is>
          <t>Allison Scott</t>
        </is>
      </c>
      <c r="D2203" s="58" t="inlineStr">
        <is>
          <t>On-premise</t>
        </is>
      </c>
      <c r="E2203" s="53" t="n">
        <v>297</v>
      </c>
      <c r="F2203" s="53" t="n">
        <v>249</v>
      </c>
      <c r="G2203" s="55" t="n">
        <v>2346.36</v>
      </c>
      <c r="H2203" s="55" t="n">
        <v>2049.63</v>
      </c>
      <c r="I2203" s="53" t="n">
        <v>203</v>
      </c>
      <c r="J2203" s="53" t="n">
        <v>186</v>
      </c>
      <c r="K2203" s="53" t="n">
        <v>23</v>
      </c>
      <c r="L2203" s="53" t="n">
        <v>2</v>
      </c>
      <c r="M2203" s="33">
        <f>F2203-E2203</f>
        <v/>
      </c>
      <c r="N2203" s="33">
        <f>L2203-K2203</f>
        <v/>
      </c>
    </row>
    <row r="2204">
      <c r="A2204" s="58" t="inlineStr">
        <is>
          <t>34007 Liquor Masters (P)</t>
        </is>
      </c>
      <c r="B2204" s="58" t="inlineStr">
        <is>
          <t>Bergen</t>
        </is>
      </c>
      <c r="C2204" s="58" t="inlineStr">
        <is>
          <t>Chris Payton</t>
        </is>
      </c>
      <c r="D2204" s="58" t="inlineStr">
        <is>
          <t>Off-premise</t>
        </is>
      </c>
      <c r="E2204" s="53" t="n">
        <v>1314</v>
      </c>
      <c r="F2204" s="53" t="n">
        <v>977</v>
      </c>
      <c r="G2204" s="55" t="n">
        <v>8464.790000000001</v>
      </c>
      <c r="H2204" s="55" t="n">
        <v>6362.56</v>
      </c>
      <c r="I2204" s="53" t="n">
        <v>166</v>
      </c>
      <c r="J2204" s="53" t="n">
        <v>175</v>
      </c>
      <c r="K2204" s="53" t="n">
        <v>133</v>
      </c>
      <c r="L2204" s="53" t="n">
        <v>112</v>
      </c>
      <c r="M2204" s="33">
        <f>F2204-E2204</f>
        <v/>
      </c>
      <c r="N2204" s="33">
        <f>L2204-K2204</f>
        <v/>
      </c>
    </row>
    <row r="2205">
      <c r="A2205" s="58" t="inlineStr">
        <is>
          <t>150624 Wine Barrel (P)</t>
        </is>
      </c>
      <c r="B2205" s="58" t="inlineStr">
        <is>
          <t>Essex</t>
        </is>
      </c>
      <c r="C2205" s="58" t="inlineStr">
        <is>
          <t>Hakan Sadik</t>
        </is>
      </c>
      <c r="D2205" s="58" t="inlineStr">
        <is>
          <t>Off-premise</t>
        </is>
      </c>
      <c r="E2205" s="53" t="n">
        <v>50</v>
      </c>
      <c r="F2205" s="53" t="n">
        <v>29</v>
      </c>
      <c r="G2205" s="55" t="n">
        <v>291.7</v>
      </c>
      <c r="H2205" s="55" t="n">
        <v>169.36</v>
      </c>
      <c r="I2205" s="53" t="n">
        <v>512</v>
      </c>
      <c r="J2205" s="53" t="n">
        <v>489</v>
      </c>
      <c r="K2205" s="53" t="n">
        <v>50</v>
      </c>
      <c r="L2205" s="53" t="n">
        <v>29</v>
      </c>
      <c r="M2205" s="33">
        <f>F2205-E2205</f>
        <v/>
      </c>
      <c r="N2205" s="33">
        <f>L2205-K2205</f>
        <v/>
      </c>
    </row>
    <row r="2206">
      <c r="A2206" s="58" t="inlineStr">
        <is>
          <t>170037 Willow Grocery Liq.</t>
        </is>
      </c>
      <c r="B2206" s="58" t="inlineStr">
        <is>
          <t>Hudson</t>
        </is>
      </c>
      <c r="C2206" s="58" t="inlineStr">
        <is>
          <t>Jaime Colonna</t>
        </is>
      </c>
      <c r="D2206" s="58" t="inlineStr">
        <is>
          <t>Off-premise</t>
        </is>
      </c>
      <c r="E2206" s="53" t="n">
        <v>21</v>
      </c>
      <c r="F2206" s="53" t="n">
        <v>0</v>
      </c>
      <c r="G2206" s="55" t="n">
        <v>157.44</v>
      </c>
      <c r="H2206" s="55" t="n">
        <v>0</v>
      </c>
      <c r="I2206" s="53" t="n">
        <v>124</v>
      </c>
      <c r="J2206" s="53" t="n">
        <v>52</v>
      </c>
      <c r="K2206" s="53" t="n">
        <v>21</v>
      </c>
      <c r="L2206" s="53" t="n">
        <v>0</v>
      </c>
      <c r="M2206" s="33">
        <f>F2206-E2206</f>
        <v/>
      </c>
      <c r="N2206" s="33">
        <f>L2206-K2206</f>
        <v/>
      </c>
    </row>
    <row r="2207">
      <c r="A2207" s="58" t="inlineStr">
        <is>
          <t>27071 Mariana's Liquors</t>
        </is>
      </c>
      <c r="B2207" s="58" t="inlineStr">
        <is>
          <t>Passaic</t>
        </is>
      </c>
      <c r="C2207" s="58" t="inlineStr">
        <is>
          <t>Javier Melo</t>
        </is>
      </c>
      <c r="D2207" s="58" t="inlineStr">
        <is>
          <t>Off-premise</t>
        </is>
      </c>
      <c r="E2207" s="53" t="n">
        <v>1442</v>
      </c>
      <c r="F2207" s="53" t="n">
        <v>1568</v>
      </c>
      <c r="G2207" s="55" t="n">
        <v>9922.139999999999</v>
      </c>
      <c r="H2207" s="55" t="n">
        <v>11129.52</v>
      </c>
      <c r="I2207" s="53" t="n">
        <v>234</v>
      </c>
      <c r="J2207" s="53" t="n">
        <v>211</v>
      </c>
      <c r="K2207" s="53" t="n">
        <v>227</v>
      </c>
      <c r="L2207" s="53" t="n">
        <v>206</v>
      </c>
      <c r="M2207" s="33">
        <f>F2207-E2207</f>
        <v/>
      </c>
      <c r="N2207" s="33">
        <f>L2207-K2207</f>
        <v/>
      </c>
    </row>
    <row r="2208">
      <c r="A2208" s="58" t="inlineStr">
        <is>
          <t>80028 El Cid</t>
        </is>
      </c>
      <c r="B2208" s="58" t="inlineStr">
        <is>
          <t>Bergen</t>
        </is>
      </c>
      <c r="C2208" s="58" t="inlineStr">
        <is>
          <t>Chris Payton</t>
        </is>
      </c>
      <c r="D2208" s="58" t="inlineStr">
        <is>
          <t>On-premise</t>
        </is>
      </c>
      <c r="E2208" s="53" t="n">
        <v>64</v>
      </c>
      <c r="F2208" s="53" t="n">
        <v>30</v>
      </c>
      <c r="G2208" s="55" t="n">
        <v>672.03</v>
      </c>
      <c r="H2208" s="55" t="n">
        <v>293.97</v>
      </c>
      <c r="I2208" s="53" t="n">
        <v>5</v>
      </c>
      <c r="J2208" s="53" t="n">
        <v>65</v>
      </c>
      <c r="K2208" s="53" t="n">
        <v>25</v>
      </c>
      <c r="L2208" s="53" t="n">
        <v>3</v>
      </c>
      <c r="M2208" s="33">
        <f>F2208-E2208</f>
        <v/>
      </c>
      <c r="N2208" s="33">
        <f>L2208-K2208</f>
        <v/>
      </c>
    </row>
    <row r="2209">
      <c r="A2209" s="58" t="inlineStr">
        <is>
          <t>81018 B R C Catering (P)</t>
        </is>
      </c>
      <c r="B2209" s="58" t="inlineStr">
        <is>
          <t>Bergen</t>
        </is>
      </c>
      <c r="C2209" s="58" t="inlineStr">
        <is>
          <t>Chris Payton</t>
        </is>
      </c>
      <c r="D2209" s="58" t="inlineStr">
        <is>
          <t>On-premise</t>
        </is>
      </c>
      <c r="E2209" s="53" t="n">
        <v>131</v>
      </c>
      <c r="F2209" s="53" t="n">
        <v>89</v>
      </c>
      <c r="G2209" s="55" t="n">
        <v>1116.51</v>
      </c>
      <c r="H2209" s="55" t="n">
        <v>677.2900000000001</v>
      </c>
      <c r="I2209" s="53" t="n">
        <v>57</v>
      </c>
      <c r="J2209" s="53" t="n">
        <v>30</v>
      </c>
      <c r="K2209" s="53" t="n">
        <v>106</v>
      </c>
      <c r="L2209" s="53" t="n">
        <v>84</v>
      </c>
      <c r="M2209" s="33">
        <f>F2209-E2209</f>
        <v/>
      </c>
      <c r="N2209" s="33">
        <f>L2209-K2209</f>
        <v/>
      </c>
    </row>
    <row r="2210">
      <c r="A2210" s="58" t="inlineStr">
        <is>
          <t>170202 Golden Liquors (P)</t>
        </is>
      </c>
      <c r="B2210" s="58" t="inlineStr">
        <is>
          <t>Hudson</t>
        </is>
      </c>
      <c r="C2210" s="58" t="inlineStr">
        <is>
          <t>Dylan Rubino</t>
        </is>
      </c>
      <c r="D2210" s="58" t="inlineStr">
        <is>
          <t>Off-premise</t>
        </is>
      </c>
      <c r="E2210" s="53" t="n">
        <v>56</v>
      </c>
      <c r="F2210" s="53" t="n">
        <v>34</v>
      </c>
      <c r="G2210" s="55" t="n">
        <v>403.16</v>
      </c>
      <c r="H2210" s="55" t="n">
        <v>257.57</v>
      </c>
      <c r="I2210" s="53" t="n">
        <v>236</v>
      </c>
      <c r="J2210" s="53" t="n">
        <v>246</v>
      </c>
      <c r="K2210" s="53" t="n">
        <v>56</v>
      </c>
      <c r="L2210" s="53" t="n">
        <v>34</v>
      </c>
      <c r="M2210" s="33">
        <f>F2210-E2210</f>
        <v/>
      </c>
      <c r="N2210" s="33">
        <f>L2210-K2210</f>
        <v/>
      </c>
    </row>
    <row r="2211">
      <c r="A2211" s="58" t="inlineStr">
        <is>
          <t>15023 Santana's Sport(P)Bella</t>
        </is>
      </c>
      <c r="B2211" s="58" t="inlineStr">
        <is>
          <t>Passaic</t>
        </is>
      </c>
      <c r="C2211" s="58" t="inlineStr">
        <is>
          <t>Derrick Laws</t>
        </is>
      </c>
      <c r="D2211" s="58" t="inlineStr">
        <is>
          <t>Off-premise</t>
        </is>
      </c>
      <c r="E2211" s="53" t="n">
        <v>2317</v>
      </c>
      <c r="F2211" s="53" t="n">
        <v>1859</v>
      </c>
      <c r="G2211" s="55" t="n">
        <v>15896.29</v>
      </c>
      <c r="H2211" s="55" t="n">
        <v>11774.56</v>
      </c>
      <c r="I2211" s="53" t="n">
        <v>650</v>
      </c>
      <c r="J2211" s="53" t="n">
        <v>632</v>
      </c>
      <c r="K2211" s="53" t="n">
        <v>186</v>
      </c>
      <c r="L2211" s="53" t="n">
        <v>163</v>
      </c>
      <c r="M2211" s="33">
        <f>F2211-E2211</f>
        <v/>
      </c>
      <c r="N2211" s="33">
        <f>L2211-K2211</f>
        <v/>
      </c>
    </row>
    <row r="2212">
      <c r="A2212" s="58" t="inlineStr">
        <is>
          <t>31004 Metro Liquors (East Rutherford)</t>
        </is>
      </c>
      <c r="B2212" s="58" t="inlineStr">
        <is>
          <t>Bergen</t>
        </is>
      </c>
      <c r="C2212" s="58" t="inlineStr">
        <is>
          <t>Matt Powierski</t>
        </is>
      </c>
      <c r="D2212" s="58" t="inlineStr">
        <is>
          <t>Off-premise</t>
        </is>
      </c>
      <c r="E2212" s="53" t="n">
        <v>3335</v>
      </c>
      <c r="F2212" s="53" t="n">
        <v>3042</v>
      </c>
      <c r="G2212" s="55" t="n">
        <v>19957.27</v>
      </c>
      <c r="H2212" s="55" t="n">
        <v>19014.94</v>
      </c>
      <c r="I2212" s="53" t="n">
        <v>1018</v>
      </c>
      <c r="J2212" s="53" t="n">
        <v>1076</v>
      </c>
      <c r="K2212" s="53" t="n">
        <v>564</v>
      </c>
      <c r="L2212" s="53" t="n">
        <v>541</v>
      </c>
      <c r="M2212" s="33">
        <f>F2212-E2212</f>
        <v/>
      </c>
      <c r="N2212" s="33">
        <f>L2212-K2212</f>
        <v/>
      </c>
    </row>
    <row r="2213">
      <c r="A2213" s="58" t="inlineStr">
        <is>
          <t>80002 Whole Foods Market (Paramus)</t>
        </is>
      </c>
      <c r="B2213" s="58" t="inlineStr">
        <is>
          <t>Bergen</t>
        </is>
      </c>
      <c r="C2213" s="58" t="inlineStr">
        <is>
          <t>Phil Ernst</t>
        </is>
      </c>
      <c r="D2213" s="58" t="inlineStr">
        <is>
          <t>Off-premise</t>
        </is>
      </c>
      <c r="E2213" s="53" t="n">
        <v>809</v>
      </c>
      <c r="F2213" s="53" t="n">
        <v>753</v>
      </c>
      <c r="G2213" s="55" t="n">
        <v>7248.85</v>
      </c>
      <c r="H2213" s="55" t="n">
        <v>7057.13</v>
      </c>
      <c r="I2213" s="53" t="n">
        <v>612</v>
      </c>
      <c r="J2213" s="53" t="n">
        <v>624</v>
      </c>
      <c r="K2213" s="53" t="n">
        <v>250</v>
      </c>
      <c r="L2213" s="53" t="n">
        <v>227</v>
      </c>
      <c r="M2213" s="33">
        <f>F2213-E2213</f>
        <v/>
      </c>
      <c r="N2213" s="33">
        <f>L2213-K2213</f>
        <v/>
      </c>
    </row>
    <row r="2214">
      <c r="A2214" s="58" t="inlineStr">
        <is>
          <t>250042 Pied Piper Liquor</t>
        </is>
      </c>
      <c r="B2214" s="58" t="inlineStr">
        <is>
          <t>Union</t>
        </is>
      </c>
      <c r="C2214" s="58" t="inlineStr">
        <is>
          <t>Andrew Lundy</t>
        </is>
      </c>
      <c r="D2214" s="58" t="inlineStr">
        <is>
          <t>Off-premise</t>
        </is>
      </c>
      <c r="E2214" s="53" t="n">
        <v>34</v>
      </c>
      <c r="F2214" s="53" t="n">
        <v>10</v>
      </c>
      <c r="G2214" s="55" t="n">
        <v>230.98</v>
      </c>
      <c r="H2214" s="55" t="n">
        <v>69.92</v>
      </c>
      <c r="I2214" s="53" t="n">
        <v>261</v>
      </c>
      <c r="J2214" s="53" t="n">
        <v>130</v>
      </c>
      <c r="K2214" s="53" t="n">
        <v>34</v>
      </c>
      <c r="L2214" s="53" t="n">
        <v>10</v>
      </c>
      <c r="M2214" s="33">
        <f>F2214-E2214</f>
        <v/>
      </c>
      <c r="N2214" s="33">
        <f>L2214-K2214</f>
        <v/>
      </c>
    </row>
    <row r="2215">
      <c r="A2215" s="58" t="inlineStr">
        <is>
          <t>46033 Discount Lqr(A) Outlet</t>
        </is>
      </c>
      <c r="B2215" s="58" t="inlineStr">
        <is>
          <t>Bergen</t>
        </is>
      </c>
      <c r="C2215" s="58" t="inlineStr">
        <is>
          <t>Chris Payton</t>
        </is>
      </c>
      <c r="D2215" s="58" t="inlineStr">
        <is>
          <t>Off-premise</t>
        </is>
      </c>
      <c r="E2215" s="53" t="n">
        <v>4174</v>
      </c>
      <c r="F2215" s="53" t="n">
        <v>3617</v>
      </c>
      <c r="G2215" s="55" t="n">
        <v>27231.85</v>
      </c>
      <c r="H2215" s="55" t="n">
        <v>25128.74</v>
      </c>
      <c r="I2215" s="53" t="n">
        <v>322</v>
      </c>
      <c r="J2215" s="53" t="n">
        <v>332</v>
      </c>
      <c r="K2215" s="53" t="n">
        <v>450</v>
      </c>
      <c r="L2215" s="53" t="n">
        <v>426</v>
      </c>
      <c r="M2215" s="33">
        <f>F2215-E2215</f>
        <v/>
      </c>
      <c r="N2215" s="33">
        <f>L2215-K2215</f>
        <v/>
      </c>
    </row>
    <row r="2216">
      <c r="A2216" s="58" t="inlineStr">
        <is>
          <t>46003 Palisades Park Liq(P)</t>
        </is>
      </c>
      <c r="B2216" s="58" t="inlineStr">
        <is>
          <t>Bergen</t>
        </is>
      </c>
      <c r="C2216" s="58" t="inlineStr">
        <is>
          <t>Dan Lagala</t>
        </is>
      </c>
      <c r="D2216" s="58" t="inlineStr">
        <is>
          <t>Off-premise</t>
        </is>
      </c>
      <c r="E2216" s="53" t="n">
        <v>1377</v>
      </c>
      <c r="F2216" s="53" t="n">
        <v>1517</v>
      </c>
      <c r="G2216" s="55" t="n">
        <v>9111.139999999999</v>
      </c>
      <c r="H2216" s="55" t="n">
        <v>9767.849999999999</v>
      </c>
      <c r="I2216" s="53" t="n">
        <v>145</v>
      </c>
      <c r="J2216" s="53" t="n">
        <v>116</v>
      </c>
      <c r="K2216" s="53" t="n">
        <v>93</v>
      </c>
      <c r="L2216" s="53" t="n">
        <v>69</v>
      </c>
      <c r="M2216" s="33">
        <f>F2216-E2216</f>
        <v/>
      </c>
      <c r="N2216" s="33">
        <f>L2216-K2216</f>
        <v/>
      </c>
    </row>
    <row r="2217">
      <c r="A2217" s="58" t="inlineStr">
        <is>
          <t>230920 Hamburg Liquor</t>
        </is>
      </c>
      <c r="B2217" s="58" t="inlineStr">
        <is>
          <t>Morris</t>
        </is>
      </c>
      <c r="C2217" s="58" t="inlineStr">
        <is>
          <t>Jayson Romine</t>
        </is>
      </c>
      <c r="D2217" s="58" t="inlineStr">
        <is>
          <t>Off-premise</t>
        </is>
      </c>
      <c r="E2217" s="53" t="n">
        <v>1417</v>
      </c>
      <c r="F2217" s="53" t="n">
        <v>1284</v>
      </c>
      <c r="G2217" s="55" t="n">
        <v>10117.35</v>
      </c>
      <c r="H2217" s="55" t="n">
        <v>9338.469999999999</v>
      </c>
      <c r="I2217" s="53" t="n">
        <v>430</v>
      </c>
      <c r="J2217" s="53" t="n">
        <v>425</v>
      </c>
      <c r="K2217" s="53" t="n">
        <v>208</v>
      </c>
      <c r="L2217" s="53" t="n">
        <v>184</v>
      </c>
      <c r="M2217" s="33">
        <f>F2217-E2217</f>
        <v/>
      </c>
      <c r="N2217" s="33">
        <f>L2217-K2217</f>
        <v/>
      </c>
    </row>
    <row r="2218">
      <c r="A2218" s="58" t="inlineStr">
        <is>
          <t>191210 Milton Inn</t>
        </is>
      </c>
      <c r="B2218" s="58" t="inlineStr">
        <is>
          <t>Morris</t>
        </is>
      </c>
      <c r="C2218" s="58" t="inlineStr">
        <is>
          <t>Klejdi Lamo</t>
        </is>
      </c>
      <c r="D2218" s="58" t="inlineStr">
        <is>
          <t>Off-premise</t>
        </is>
      </c>
      <c r="E2218" s="53" t="n">
        <v>7304</v>
      </c>
      <c r="F2218" s="53" t="n">
        <v>6610</v>
      </c>
      <c r="G2218" s="55" t="n">
        <v>44453.99</v>
      </c>
      <c r="H2218" s="55" t="n">
        <v>41933.35</v>
      </c>
      <c r="I2218" s="53" t="n">
        <v>2722</v>
      </c>
      <c r="J2218" s="53" t="n">
        <v>2579</v>
      </c>
      <c r="K2218" s="53" t="n">
        <v>1296</v>
      </c>
      <c r="L2218" s="53" t="n">
        <v>1272</v>
      </c>
      <c r="M2218" s="33">
        <f>F2218-E2218</f>
        <v/>
      </c>
      <c r="N2218" s="33">
        <f>L2218-K2218</f>
        <v/>
      </c>
    </row>
    <row r="2219">
      <c r="A2219" s="58" t="inlineStr">
        <is>
          <t>171002 Spirits Of Kearny</t>
        </is>
      </c>
      <c r="B2219" s="58" t="inlineStr">
        <is>
          <t>Hudson</t>
        </is>
      </c>
      <c r="C2219" s="58" t="inlineStr">
        <is>
          <t>Alisa Acciardi</t>
        </is>
      </c>
      <c r="D2219" s="58" t="inlineStr">
        <is>
          <t>Off-premise</t>
        </is>
      </c>
      <c r="E2219" s="53" t="n">
        <v>25</v>
      </c>
      <c r="F2219" s="53" t="n">
        <v>0</v>
      </c>
      <c r="G2219" s="55" t="n">
        <v>149.38</v>
      </c>
      <c r="H2219" s="55" t="n">
        <v>0</v>
      </c>
      <c r="I2219" s="53" t="n">
        <v>25</v>
      </c>
      <c r="J2219" s="53" t="n">
        <v>-5</v>
      </c>
      <c r="K2219" s="53" t="n">
        <v>25</v>
      </c>
      <c r="L2219" s="53" t="n">
        <v>0</v>
      </c>
      <c r="M2219" s="33">
        <f>F2219-E2219</f>
        <v/>
      </c>
      <c r="N2219" s="33">
        <f>L2219-K2219</f>
        <v/>
      </c>
    </row>
    <row r="2220">
      <c r="A2220" s="58" t="inlineStr">
        <is>
          <t>15074 Bask 46</t>
        </is>
      </c>
      <c r="B2220" s="58" t="inlineStr">
        <is>
          <t>Passaic</t>
        </is>
      </c>
      <c r="C2220" s="58" t="inlineStr">
        <is>
          <t>Allison Scott</t>
        </is>
      </c>
      <c r="D2220" s="58" t="inlineStr">
        <is>
          <t>On-premise</t>
        </is>
      </c>
      <c r="E2220" s="53" t="n">
        <v>416</v>
      </c>
      <c r="F2220" s="53" t="n">
        <v>351</v>
      </c>
      <c r="G2220" s="55" t="n">
        <v>3340.15</v>
      </c>
      <c r="H2220" s="55" t="n">
        <v>2727.869999999999</v>
      </c>
      <c r="I2220" s="53" t="n">
        <v>182</v>
      </c>
      <c r="J2220" s="53" t="n">
        <v>118</v>
      </c>
      <c r="K2220" s="53" t="n">
        <v>69</v>
      </c>
      <c r="L2220" s="53" t="n">
        <v>44</v>
      </c>
      <c r="M2220" s="33">
        <f>F2220-E2220</f>
        <v/>
      </c>
      <c r="N2220" s="33">
        <f>L2220-K2220</f>
        <v/>
      </c>
    </row>
    <row r="2221">
      <c r="A2221" s="58" t="inlineStr">
        <is>
          <t>250086 Linden Discount Liquors</t>
        </is>
      </c>
      <c r="B2221" s="58" t="inlineStr">
        <is>
          <t>Union</t>
        </is>
      </c>
      <c r="C2221" s="58" t="inlineStr">
        <is>
          <t>Andrew Lundy</t>
        </is>
      </c>
      <c r="D2221" s="58" t="inlineStr">
        <is>
          <t>Off-premise</t>
        </is>
      </c>
      <c r="E2221" s="53" t="n">
        <v>25</v>
      </c>
      <c r="F2221" s="53" t="n">
        <v>0</v>
      </c>
      <c r="G2221" s="55" t="n">
        <v>144.18</v>
      </c>
      <c r="H2221" s="55" t="n">
        <v>0</v>
      </c>
      <c r="I2221" s="53" t="n">
        <v>258</v>
      </c>
      <c r="J2221" s="53" t="n">
        <v>269</v>
      </c>
      <c r="K2221" s="53" t="n">
        <v>25</v>
      </c>
      <c r="L2221" s="53" t="n">
        <v>0</v>
      </c>
      <c r="M2221" s="33">
        <f>F2221-E2221</f>
        <v/>
      </c>
      <c r="N2221" s="33">
        <f>L2221-K2221</f>
        <v/>
      </c>
    </row>
    <row r="2222">
      <c r="A2222" s="58" t="inlineStr">
        <is>
          <t>170068 Central Ave Liquors</t>
        </is>
      </c>
      <c r="B2222" s="58" t="inlineStr">
        <is>
          <t>Hudson</t>
        </is>
      </c>
      <c r="C2222" s="58" t="inlineStr">
        <is>
          <t>Jaime Colonna</t>
        </is>
      </c>
      <c r="D2222" s="58" t="inlineStr">
        <is>
          <t>Off-premise</t>
        </is>
      </c>
      <c r="E2222" s="53" t="n">
        <v>74</v>
      </c>
      <c r="F2222" s="53" t="n">
        <v>49</v>
      </c>
      <c r="G2222" s="55" t="n">
        <v>462.05</v>
      </c>
      <c r="H2222" s="55" t="n">
        <v>305.73</v>
      </c>
      <c r="I2222" s="53" t="n">
        <v>346</v>
      </c>
      <c r="J2222" s="53" t="n">
        <v>288</v>
      </c>
      <c r="K2222" s="53" t="n">
        <v>74</v>
      </c>
      <c r="L2222" s="53" t="n">
        <v>49</v>
      </c>
      <c r="M2222" s="33">
        <f>F2222-E2222</f>
        <v/>
      </c>
      <c r="N2222" s="33">
        <f>L2222-K2222</f>
        <v/>
      </c>
    </row>
    <row r="2223">
      <c r="A2223" s="58" t="inlineStr">
        <is>
          <t>27094 El Anochecer</t>
        </is>
      </c>
      <c r="B2223" s="58" t="inlineStr">
        <is>
          <t>Passaic</t>
        </is>
      </c>
      <c r="C2223" s="58" t="inlineStr">
        <is>
          <t>Javier Melo</t>
        </is>
      </c>
      <c r="D2223" s="58" t="inlineStr">
        <is>
          <t>On-premise</t>
        </is>
      </c>
      <c r="E2223" s="53" t="n">
        <v>1633</v>
      </c>
      <c r="F2223" s="53" t="n">
        <v>1194</v>
      </c>
      <c r="G2223" s="55" t="n">
        <v>11224.96</v>
      </c>
      <c r="H2223" s="55" t="n">
        <v>9134.059999999999</v>
      </c>
      <c r="I2223" s="53" t="n">
        <v>4</v>
      </c>
      <c r="J2223" s="53" t="n">
        <v>5</v>
      </c>
      <c r="K2223" s="53" t="n">
        <v>43</v>
      </c>
      <c r="L2223" s="53" t="n">
        <v>18</v>
      </c>
      <c r="M2223" s="33">
        <f>F2223-E2223</f>
        <v/>
      </c>
      <c r="N2223" s="33">
        <f>L2223-K2223</f>
        <v/>
      </c>
    </row>
    <row r="2224">
      <c r="A2224" s="58" t="inlineStr">
        <is>
          <t>27102 Fragancia Sports Bar</t>
        </is>
      </c>
      <c r="B2224" s="58" t="inlineStr">
        <is>
          <t>Passaic</t>
        </is>
      </c>
      <c r="C2224" s="58" t="inlineStr">
        <is>
          <t>Javier Melo</t>
        </is>
      </c>
      <c r="D2224" s="58" t="inlineStr">
        <is>
          <t>On-premise</t>
        </is>
      </c>
      <c r="E2224" s="53" t="n">
        <v>347</v>
      </c>
      <c r="F2224" s="53" t="n">
        <v>184</v>
      </c>
      <c r="G2224" s="55" t="n">
        <v>2552.2</v>
      </c>
      <c r="H2224" s="55" t="n">
        <v>1438.02</v>
      </c>
      <c r="I2224" s="53" t="n">
        <v>7</v>
      </c>
      <c r="J2224" s="53" t="n">
        <v>7</v>
      </c>
      <c r="K2224" s="53" t="n">
        <v>25</v>
      </c>
      <c r="L2224" s="53" t="n">
        <v>0</v>
      </c>
      <c r="M2224" s="33">
        <f>F2224-E2224</f>
        <v/>
      </c>
      <c r="N2224" s="33">
        <f>L2224-K2224</f>
        <v/>
      </c>
    </row>
    <row r="2225">
      <c r="A2225" s="58" t="inlineStr">
        <is>
          <t>37023 Worldwide Liquors</t>
        </is>
      </c>
      <c r="B2225" s="58" t="inlineStr">
        <is>
          <t>Bergen</t>
        </is>
      </c>
      <c r="C2225" s="58" t="inlineStr">
        <is>
          <t>Matt Powierski</t>
        </is>
      </c>
      <c r="D2225" s="58" t="inlineStr">
        <is>
          <t>Off-premise</t>
        </is>
      </c>
      <c r="E2225" s="53" t="n">
        <v>959</v>
      </c>
      <c r="F2225" s="53" t="n">
        <v>594</v>
      </c>
      <c r="G2225" s="55" t="n">
        <v>5972.190000000001</v>
      </c>
      <c r="H2225" s="55" t="n">
        <v>3948.13</v>
      </c>
      <c r="I2225" s="53" t="n">
        <v>106</v>
      </c>
      <c r="J2225" s="53" t="n">
        <v>106</v>
      </c>
      <c r="K2225" s="53" t="n">
        <v>116</v>
      </c>
      <c r="L2225" s="53" t="n">
        <v>91</v>
      </c>
      <c r="M2225" s="33">
        <f>F2225-E2225</f>
        <v/>
      </c>
      <c r="N2225" s="33">
        <f>L2225-K2225</f>
        <v/>
      </c>
    </row>
    <row r="2226">
      <c r="A2226" s="58" t="inlineStr">
        <is>
          <t>150126 Valley Liquors</t>
        </is>
      </c>
      <c r="B2226" s="58" t="inlineStr">
        <is>
          <t>Essex</t>
        </is>
      </c>
      <c r="C2226" s="58" t="inlineStr">
        <is>
          <t>Michael Harboy</t>
        </is>
      </c>
      <c r="D2226" s="58" t="inlineStr">
        <is>
          <t>Off-premise</t>
        </is>
      </c>
      <c r="E2226" s="53" t="n">
        <v>25</v>
      </c>
      <c r="F2226" s="53" t="n">
        <v>0</v>
      </c>
      <c r="G2226" s="55" t="n">
        <v>144.19</v>
      </c>
      <c r="H2226" s="55" t="n">
        <v>0</v>
      </c>
      <c r="I2226" s="53" t="n">
        <v>50</v>
      </c>
      <c r="J2226" s="53" t="n">
        <v>28</v>
      </c>
      <c r="K2226" s="53" t="n">
        <v>25</v>
      </c>
      <c r="L2226" s="53" t="n">
        <v>0</v>
      </c>
      <c r="M2226" s="33">
        <f>F2226-E2226</f>
        <v/>
      </c>
      <c r="N2226" s="33">
        <f>L2226-K2226</f>
        <v/>
      </c>
    </row>
    <row r="2227">
      <c r="A2227" s="58" t="inlineStr">
        <is>
          <t>52033 Blue Akai</t>
        </is>
      </c>
      <c r="B2227" s="58" t="inlineStr">
        <is>
          <t>Bergen</t>
        </is>
      </c>
      <c r="C2227" s="58" t="inlineStr">
        <is>
          <t>Paul Mclaughlin</t>
        </is>
      </c>
      <c r="D2227" s="58" t="inlineStr">
        <is>
          <t>On-premise</t>
        </is>
      </c>
      <c r="E2227" s="53" t="n">
        <v>184</v>
      </c>
      <c r="F2227" s="53" t="n">
        <v>183</v>
      </c>
      <c r="G2227" s="55" t="n">
        <v>1564.15</v>
      </c>
      <c r="H2227" s="55" t="n">
        <v>1525.48</v>
      </c>
      <c r="I2227" s="53" t="n">
        <v>38</v>
      </c>
      <c r="J2227" s="53" t="n">
        <v>53</v>
      </c>
      <c r="K2227" s="53" t="n">
        <v>66</v>
      </c>
      <c r="L2227" s="53" t="n">
        <v>41</v>
      </c>
      <c r="M2227" s="33">
        <f>F2227-E2227</f>
        <v/>
      </c>
      <c r="N2227" s="33">
        <f>L2227-K2227</f>
        <v/>
      </c>
    </row>
    <row r="2228">
      <c r="A2228" s="58" t="inlineStr">
        <is>
          <t>46002 Best Choice Liqrs (P)</t>
        </is>
      </c>
      <c r="B2228" s="58" t="inlineStr">
        <is>
          <t>Bergen</t>
        </is>
      </c>
      <c r="C2228" s="58" t="inlineStr">
        <is>
          <t>Dan Lagala</t>
        </is>
      </c>
      <c r="D2228" s="58" t="inlineStr">
        <is>
          <t>Off-premise</t>
        </is>
      </c>
      <c r="E2228" s="53" t="n">
        <v>906</v>
      </c>
      <c r="F2228" s="53" t="n">
        <v>1025</v>
      </c>
      <c r="G2228" s="55" t="n">
        <v>5861.070000000001</v>
      </c>
      <c r="H2228" s="55" t="n">
        <v>6920.190000000001</v>
      </c>
      <c r="I2228" s="53" t="n">
        <v>84</v>
      </c>
      <c r="J2228" s="53" t="n">
        <v>89</v>
      </c>
      <c r="K2228" s="53" t="n">
        <v>101</v>
      </c>
      <c r="L2228" s="53" t="n">
        <v>75</v>
      </c>
      <c r="M2228" s="33">
        <f>F2228-E2228</f>
        <v/>
      </c>
      <c r="N2228" s="33">
        <f>L2228-K2228</f>
        <v/>
      </c>
    </row>
    <row r="2229">
      <c r="A2229" s="58" t="inlineStr">
        <is>
          <t>49031 Top Shelf Liquors</t>
        </is>
      </c>
      <c r="B2229" s="58" t="inlineStr">
        <is>
          <t>Bergen</t>
        </is>
      </c>
      <c r="C2229" s="58" t="inlineStr">
        <is>
          <t>Dan Lagala</t>
        </is>
      </c>
      <c r="D2229" s="58" t="inlineStr">
        <is>
          <t>Off-premise</t>
        </is>
      </c>
      <c r="E2229" s="53" t="n">
        <v>790</v>
      </c>
      <c r="F2229" s="53" t="n">
        <v>756</v>
      </c>
      <c r="G2229" s="55" t="n">
        <v>6043.27</v>
      </c>
      <c r="H2229" s="55" t="n">
        <v>6173.430000000001</v>
      </c>
      <c r="I2229" s="53" t="n">
        <v>96</v>
      </c>
      <c r="J2229" s="53" t="n">
        <v>85</v>
      </c>
      <c r="K2229" s="53" t="n">
        <v>167</v>
      </c>
      <c r="L2229" s="53" t="n">
        <v>140</v>
      </c>
      <c r="M2229" s="33">
        <f>F2229-E2229</f>
        <v/>
      </c>
      <c r="N2229" s="33">
        <f>L2229-K2229</f>
        <v/>
      </c>
    </row>
    <row r="2230">
      <c r="A2230" s="58" t="inlineStr">
        <is>
          <t>53004 Lefkes Restaurant</t>
        </is>
      </c>
      <c r="B2230" s="58" t="inlineStr">
        <is>
          <t>Bergen</t>
        </is>
      </c>
      <c r="C2230" s="58" t="inlineStr">
        <is>
          <t>Dan Lagala</t>
        </is>
      </c>
      <c r="D2230" s="58" t="inlineStr">
        <is>
          <t>On-premise</t>
        </is>
      </c>
      <c r="E2230" s="53" t="n">
        <v>136</v>
      </c>
      <c r="F2230" s="53" t="n">
        <v>26</v>
      </c>
      <c r="G2230" s="55" t="n">
        <v>1493.49</v>
      </c>
      <c r="H2230" s="55" t="n">
        <v>291.43</v>
      </c>
      <c r="I2230" s="53" t="n">
        <v>69</v>
      </c>
      <c r="J2230" s="53" t="n">
        <v>13</v>
      </c>
      <c r="K2230" s="53" t="n">
        <v>32</v>
      </c>
      <c r="L2230" s="53" t="n">
        <v>5</v>
      </c>
      <c r="M2230" s="33">
        <f>F2230-E2230</f>
        <v/>
      </c>
      <c r="N2230" s="33">
        <f>L2230-K2230</f>
        <v/>
      </c>
    </row>
    <row r="2231">
      <c r="A2231" s="58" t="inlineStr">
        <is>
          <t>24037 Vasel's (A)</t>
        </is>
      </c>
      <c r="B2231" s="58" t="inlineStr">
        <is>
          <t>Passaic</t>
        </is>
      </c>
      <c r="C2231" s="58" t="inlineStr">
        <is>
          <t>Jim Heaney</t>
        </is>
      </c>
      <c r="D2231" s="58" t="inlineStr">
        <is>
          <t>Off-premise</t>
        </is>
      </c>
      <c r="E2231" s="53" t="n">
        <v>1112</v>
      </c>
      <c r="F2231" s="53" t="n">
        <v>1002</v>
      </c>
      <c r="G2231" s="55" t="n">
        <v>6822.709999999999</v>
      </c>
      <c r="H2231" s="55" t="n">
        <v>6317.610000000001</v>
      </c>
      <c r="I2231" s="53" t="n">
        <v>45</v>
      </c>
      <c r="J2231" s="53" t="n">
        <v>79</v>
      </c>
      <c r="K2231" s="53" t="n">
        <v>141</v>
      </c>
      <c r="L2231" s="53" t="n">
        <v>114</v>
      </c>
      <c r="M2231" s="33">
        <f>F2231-E2231</f>
        <v/>
      </c>
      <c r="N2231" s="33">
        <f>L2231-K2231</f>
        <v/>
      </c>
    </row>
    <row r="2232">
      <c r="A2232" s="58" t="inlineStr">
        <is>
          <t>27069 Broadway W&amp;L</t>
        </is>
      </c>
      <c r="B2232" s="58" t="inlineStr">
        <is>
          <t>Passaic</t>
        </is>
      </c>
      <c r="C2232" s="58" t="inlineStr">
        <is>
          <t>Pablo Lopez</t>
        </is>
      </c>
      <c r="D2232" s="58" t="inlineStr">
        <is>
          <t>Off-premise</t>
        </is>
      </c>
      <c r="E2232" s="53" t="n">
        <v>4639</v>
      </c>
      <c r="F2232" s="53" t="n">
        <v>4506</v>
      </c>
      <c r="G2232" s="55" t="n">
        <v>30889.19</v>
      </c>
      <c r="H2232" s="55" t="n">
        <v>31026.54</v>
      </c>
      <c r="I2232" s="53" t="n">
        <v>811</v>
      </c>
      <c r="J2232" s="53" t="n">
        <v>510</v>
      </c>
      <c r="K2232" s="53" t="n">
        <v>639</v>
      </c>
      <c r="L2232" s="53" t="n">
        <v>612</v>
      </c>
      <c r="M2232" s="33">
        <f>F2232-E2232</f>
        <v/>
      </c>
      <c r="N2232" s="33">
        <f>L2232-K2232</f>
        <v/>
      </c>
    </row>
    <row r="2233">
      <c r="A2233" s="58" t="inlineStr">
        <is>
          <t>230406 Bearbrook Valley</t>
        </is>
      </c>
      <c r="B2233" s="58" t="inlineStr">
        <is>
          <t>Sussex</t>
        </is>
      </c>
      <c r="C2233" s="58" t="inlineStr">
        <is>
          <t>Brian Sengebush</t>
        </is>
      </c>
      <c r="D2233" s="58" t="inlineStr">
        <is>
          <t>On-premise</t>
        </is>
      </c>
      <c r="E2233" s="53" t="n">
        <v>77</v>
      </c>
      <c r="F2233" s="53" t="n">
        <v>117</v>
      </c>
      <c r="G2233" s="55" t="n">
        <v>628.2</v>
      </c>
      <c r="H2233" s="55" t="n">
        <v>781.1999999999999</v>
      </c>
      <c r="I2233" s="53" t="n">
        <v>56</v>
      </c>
      <c r="J2233" s="53" t="n">
        <v>35</v>
      </c>
      <c r="K2233" s="53" t="n">
        <v>35</v>
      </c>
      <c r="L2233" s="53" t="n">
        <v>7</v>
      </c>
      <c r="M2233" s="33">
        <f>F2233-E2233</f>
        <v/>
      </c>
      <c r="N2233" s="33">
        <f>L2233-K2233</f>
        <v/>
      </c>
    </row>
    <row r="2234">
      <c r="A2234" s="58" t="inlineStr">
        <is>
          <t>49026 J D Steak Pit</t>
        </is>
      </c>
      <c r="B2234" s="58" t="inlineStr">
        <is>
          <t>Bergen</t>
        </is>
      </c>
      <c r="C2234" s="58" t="inlineStr">
        <is>
          <t>Dan Lagala</t>
        </is>
      </c>
      <c r="D2234" s="58" t="inlineStr">
        <is>
          <t>Unmatched</t>
        </is>
      </c>
      <c r="E2234" s="53" t="n">
        <v>86</v>
      </c>
      <c r="F2234" s="53" t="n">
        <v>0</v>
      </c>
      <c r="G2234" s="55" t="n">
        <v>728.49</v>
      </c>
      <c r="H2234" s="55" t="n">
        <v>0</v>
      </c>
      <c r="I2234" s="53" t="n">
        <v>32</v>
      </c>
      <c r="J2234" s="53" t="n">
        <v>0</v>
      </c>
      <c r="K2234" s="53" t="n">
        <v>28</v>
      </c>
      <c r="L2234" s="53" t="n">
        <v>0</v>
      </c>
      <c r="M2234" s="33">
        <f>F2234-E2234</f>
        <v/>
      </c>
      <c r="N2234" s="33">
        <f>L2234-K2234</f>
        <v/>
      </c>
    </row>
    <row r="2235">
      <c r="A2235" s="58" t="inlineStr">
        <is>
          <t>46017 Mariachi (Roku) (Z)</t>
        </is>
      </c>
      <c r="B2235" s="58" t="inlineStr">
        <is>
          <t>Bergen</t>
        </is>
      </c>
      <c r="C2235" s="58" t="inlineStr">
        <is>
          <t>Dan Lagala</t>
        </is>
      </c>
      <c r="D2235" s="58" t="inlineStr">
        <is>
          <t>On-premise</t>
        </is>
      </c>
      <c r="E2235" s="53" t="n">
        <v>254</v>
      </c>
      <c r="F2235" s="53" t="n">
        <v>25</v>
      </c>
      <c r="G2235" s="55" t="n">
        <v>1731.66</v>
      </c>
      <c r="H2235" s="55" t="n">
        <v>162.53</v>
      </c>
      <c r="I2235" s="53" t="n">
        <v>34</v>
      </c>
      <c r="J2235" s="53" t="n">
        <v>0</v>
      </c>
      <c r="K2235" s="53" t="n">
        <v>28</v>
      </c>
      <c r="L2235" s="53" t="n">
        <v>0</v>
      </c>
      <c r="M2235" s="33">
        <f>F2235-E2235</f>
        <v/>
      </c>
      <c r="N2235" s="33">
        <f>L2235-K2235</f>
        <v/>
      </c>
    </row>
    <row r="2236">
      <c r="A2236" s="58" t="inlineStr">
        <is>
          <t>170121 Lee's Liquor &amp; Grocery Store</t>
        </is>
      </c>
      <c r="B2236" s="58" t="inlineStr">
        <is>
          <t>Hudson</t>
        </is>
      </c>
      <c r="C2236" s="58" t="inlineStr">
        <is>
          <t>Dylan Rubino</t>
        </is>
      </c>
      <c r="D2236" s="58" t="inlineStr">
        <is>
          <t>Off-premise</t>
        </is>
      </c>
      <c r="E2236" s="53" t="n">
        <v>37</v>
      </c>
      <c r="F2236" s="53" t="n">
        <v>9</v>
      </c>
      <c r="G2236" s="55" t="n">
        <v>286.14</v>
      </c>
      <c r="H2236" s="55" t="n">
        <v>71.53</v>
      </c>
      <c r="I2236" s="53" t="n">
        <v>56</v>
      </c>
      <c r="J2236" s="53" t="n">
        <v>23</v>
      </c>
      <c r="K2236" s="53" t="n">
        <v>37</v>
      </c>
      <c r="L2236" s="53" t="n">
        <v>9</v>
      </c>
      <c r="M2236" s="33">
        <f>F2236-E2236</f>
        <v/>
      </c>
      <c r="N2236" s="33">
        <f>L2236-K2236</f>
        <v/>
      </c>
    </row>
    <row r="2237">
      <c r="A2237" s="58" t="inlineStr">
        <is>
          <t>150169 Pueblo Liquor</t>
        </is>
      </c>
      <c r="B2237" s="58" t="inlineStr">
        <is>
          <t>Essex</t>
        </is>
      </c>
      <c r="C2237" s="58" t="inlineStr">
        <is>
          <t>Hakan Sadik</t>
        </is>
      </c>
      <c r="D2237" s="58" t="inlineStr">
        <is>
          <t>Off-premise</t>
        </is>
      </c>
      <c r="E2237" s="53" t="n">
        <v>42</v>
      </c>
      <c r="F2237" s="53" t="n">
        <v>14</v>
      </c>
      <c r="G2237" s="55" t="n">
        <v>320.49</v>
      </c>
      <c r="H2237" s="55" t="n">
        <v>102.29</v>
      </c>
      <c r="I2237" s="53" t="n">
        <v>76</v>
      </c>
      <c r="J2237" s="53" t="n">
        <v>44</v>
      </c>
      <c r="K2237" s="53" t="n">
        <v>42</v>
      </c>
      <c r="L2237" s="53" t="n">
        <v>14</v>
      </c>
      <c r="M2237" s="33">
        <f>F2237-E2237</f>
        <v/>
      </c>
      <c r="N2237" s="33">
        <f>L2237-K2237</f>
        <v/>
      </c>
    </row>
    <row r="2238">
      <c r="A2238" s="58" t="inlineStr">
        <is>
          <t>190309 Shop Rite Liq Parsippany</t>
        </is>
      </c>
      <c r="B2238" s="58" t="inlineStr">
        <is>
          <t>Morris</t>
        </is>
      </c>
      <c r="C2238" s="58" t="inlineStr">
        <is>
          <t>John O'Donoghue</t>
        </is>
      </c>
      <c r="D2238" s="58" t="inlineStr">
        <is>
          <t>Unmatched</t>
        </is>
      </c>
      <c r="E2238" s="53" t="n">
        <v>69</v>
      </c>
      <c r="F2238" s="53" t="n">
        <v>41</v>
      </c>
      <c r="G2238" s="55" t="n">
        <v>487.42</v>
      </c>
      <c r="H2238" s="55" t="n">
        <v>293.11</v>
      </c>
      <c r="I2238" s="53" t="n">
        <v>439</v>
      </c>
      <c r="J2238" s="53" t="n">
        <v>331</v>
      </c>
      <c r="K2238" s="53" t="n">
        <v>69</v>
      </c>
      <c r="L2238" s="53" t="n">
        <v>41</v>
      </c>
      <c r="M2238" s="33">
        <f>F2238-E2238</f>
        <v/>
      </c>
      <c r="N2238" s="33">
        <f>L2238-K2238</f>
        <v/>
      </c>
    </row>
    <row r="2239">
      <c r="A2239" s="58" t="inlineStr">
        <is>
          <t>19009 Diamond Liquor</t>
        </is>
      </c>
      <c r="B2239" s="58" t="inlineStr">
        <is>
          <t>Passaic</t>
        </is>
      </c>
      <c r="C2239" s="58" t="inlineStr">
        <is>
          <t>Mike Ast</t>
        </is>
      </c>
      <c r="D2239" s="58" t="inlineStr">
        <is>
          <t>Off-premise</t>
        </is>
      </c>
      <c r="E2239" s="53" t="n">
        <v>2696</v>
      </c>
      <c r="F2239" s="53" t="n">
        <v>2430</v>
      </c>
      <c r="G2239" s="55" t="n">
        <v>18703.68</v>
      </c>
      <c r="H2239" s="55" t="n">
        <v>17431.83</v>
      </c>
      <c r="I2239" s="53" t="n">
        <v>505</v>
      </c>
      <c r="J2239" s="53" t="n">
        <v>630</v>
      </c>
      <c r="K2239" s="53" t="n">
        <v>305</v>
      </c>
      <c r="L2239" s="53" t="n">
        <v>276</v>
      </c>
      <c r="M2239" s="33">
        <f>F2239-E2239</f>
        <v/>
      </c>
      <c r="N2239" s="33">
        <f>L2239-K2239</f>
        <v/>
      </c>
    </row>
    <row r="2240">
      <c r="A2240" s="58" t="inlineStr">
        <is>
          <t>12022 Grasshopper Too (A)</t>
        </is>
      </c>
      <c r="B2240" s="58" t="inlineStr">
        <is>
          <t>Passaic</t>
        </is>
      </c>
      <c r="C2240" s="58" t="inlineStr">
        <is>
          <t>Allison Scott</t>
        </is>
      </c>
      <c r="D2240" s="58" t="inlineStr">
        <is>
          <t>On-premise</t>
        </is>
      </c>
      <c r="E2240" s="53" t="n">
        <v>665</v>
      </c>
      <c r="F2240" s="53" t="n">
        <v>676</v>
      </c>
      <c r="G2240" s="55" t="n">
        <v>3999.04</v>
      </c>
      <c r="H2240" s="55" t="n">
        <v>4177.07</v>
      </c>
      <c r="I2240" s="53" t="n">
        <v>212</v>
      </c>
      <c r="J2240" s="53" t="n">
        <v>197</v>
      </c>
      <c r="K2240" s="53" t="n">
        <v>50</v>
      </c>
      <c r="L2240" s="53" t="n">
        <v>20</v>
      </c>
      <c r="M2240" s="33">
        <f>F2240-E2240</f>
        <v/>
      </c>
      <c r="N2240" s="33">
        <f>L2240-K2240</f>
        <v/>
      </c>
    </row>
    <row r="2241">
      <c r="A2241" s="58" t="inlineStr">
        <is>
          <t>15045 Bacchus Sport Bar &amp; Grill</t>
        </is>
      </c>
      <c r="B2241" s="58" t="inlineStr">
        <is>
          <t>Passaic</t>
        </is>
      </c>
      <c r="C2241" s="58" t="inlineStr">
        <is>
          <t>Pablo Lopez</t>
        </is>
      </c>
      <c r="D2241" s="58" t="inlineStr">
        <is>
          <t>On-premise</t>
        </is>
      </c>
      <c r="E2241" s="53" t="n">
        <v>403</v>
      </c>
      <c r="F2241" s="53" t="n">
        <v>171</v>
      </c>
      <c r="G2241" s="55" t="n">
        <v>2054.22</v>
      </c>
      <c r="H2241" s="55" t="n">
        <v>961.88</v>
      </c>
      <c r="I2241" s="53" t="n">
        <v>0</v>
      </c>
      <c r="J2241" s="53" t="n">
        <v>0</v>
      </c>
      <c r="K2241" s="53" t="n">
        <v>30</v>
      </c>
      <c r="L2241" s="53" t="n">
        <v>0</v>
      </c>
      <c r="M2241" s="33">
        <f>F2241-E2241</f>
        <v/>
      </c>
      <c r="N2241" s="33">
        <f>L2241-K2241</f>
        <v/>
      </c>
    </row>
    <row r="2242">
      <c r="A2242" s="58" t="inlineStr">
        <is>
          <t>250071 Total Wine &amp; More (Union)</t>
        </is>
      </c>
      <c r="B2242" s="58" t="inlineStr">
        <is>
          <t>Union</t>
        </is>
      </c>
      <c r="C2242" s="58" t="inlineStr">
        <is>
          <t>Andrew Lundy</t>
        </is>
      </c>
      <c r="D2242" s="58" t="inlineStr">
        <is>
          <t>Off-premise</t>
        </is>
      </c>
      <c r="E2242" s="53" t="n">
        <v>136</v>
      </c>
      <c r="F2242" s="53" t="n">
        <v>105</v>
      </c>
      <c r="G2242" s="55" t="n">
        <v>861.9</v>
      </c>
      <c r="H2242" s="55" t="n">
        <v>633.1799999999999</v>
      </c>
      <c r="I2242" s="53" t="n">
        <v>1679</v>
      </c>
      <c r="J2242" s="53" t="n">
        <v>1562</v>
      </c>
      <c r="K2242" s="53" t="n">
        <v>136</v>
      </c>
      <c r="L2242" s="53" t="n">
        <v>105</v>
      </c>
      <c r="M2242" s="33">
        <f>F2242-E2242</f>
        <v/>
      </c>
      <c r="N2242" s="33">
        <f>L2242-K2242</f>
        <v/>
      </c>
    </row>
    <row r="2243">
      <c r="A2243" s="58" t="inlineStr">
        <is>
          <t>231207 Great Gorge Golf (A) Club</t>
        </is>
      </c>
      <c r="B2243" s="58" t="inlineStr">
        <is>
          <t>Sussex</t>
        </is>
      </c>
      <c r="C2243" s="58" t="inlineStr">
        <is>
          <t>Anthony Palmisano</t>
        </is>
      </c>
      <c r="D2243" s="58" t="inlineStr">
        <is>
          <t>On-premise</t>
        </is>
      </c>
      <c r="E2243" s="53" t="n">
        <v>458</v>
      </c>
      <c r="F2243" s="53" t="n">
        <v>356</v>
      </c>
      <c r="G2243" s="55" t="n">
        <v>2276.8</v>
      </c>
      <c r="H2243" s="55" t="n">
        <v>1436.58</v>
      </c>
      <c r="I2243" s="53" t="n">
        <v>50</v>
      </c>
      <c r="J2243" s="53" t="n">
        <v>123</v>
      </c>
      <c r="K2243" s="53" t="n">
        <v>72</v>
      </c>
      <c r="L2243" s="53" t="n">
        <v>41</v>
      </c>
      <c r="M2243" s="33">
        <f>F2243-E2243</f>
        <v/>
      </c>
      <c r="N2243" s="33">
        <f>L2243-K2243</f>
        <v/>
      </c>
    </row>
    <row r="2244">
      <c r="A2244" s="58" t="inlineStr">
        <is>
          <t>190809 Picatinny Main Exch</t>
        </is>
      </c>
      <c r="B2244" s="58" t="inlineStr">
        <is>
          <t>Morris</t>
        </is>
      </c>
      <c r="C2244" s="58" t="inlineStr">
        <is>
          <t>Brian Sengebush</t>
        </is>
      </c>
      <c r="D2244" s="58" t="inlineStr">
        <is>
          <t>Off-premise</t>
        </is>
      </c>
      <c r="E2244" s="53" t="n">
        <v>300</v>
      </c>
      <c r="F2244" s="53" t="n">
        <v>284</v>
      </c>
      <c r="G2244" s="55" t="n">
        <v>2528.81</v>
      </c>
      <c r="H2244" s="55" t="n">
        <v>2409.96</v>
      </c>
      <c r="I2244" s="53" t="n">
        <v>101</v>
      </c>
      <c r="J2244" s="53" t="n">
        <v>92</v>
      </c>
      <c r="K2244" s="53" t="n">
        <v>85</v>
      </c>
      <c r="L2244" s="53" t="n">
        <v>54</v>
      </c>
      <c r="M2244" s="33">
        <f>F2244-E2244</f>
        <v/>
      </c>
      <c r="N2244" s="33">
        <f>L2244-K2244</f>
        <v/>
      </c>
    </row>
    <row r="2245">
      <c r="A2245" s="58" t="inlineStr">
        <is>
          <t>230924 Sussex Co.Discount Liq(P)</t>
        </is>
      </c>
      <c r="B2245" s="58" t="inlineStr">
        <is>
          <t>Sussex</t>
        </is>
      </c>
      <c r="C2245" s="58" t="inlineStr">
        <is>
          <t>Jayson Romine</t>
        </is>
      </c>
      <c r="D2245" s="58" t="inlineStr">
        <is>
          <t>Off-premise</t>
        </is>
      </c>
      <c r="E2245" s="53" t="n">
        <v>2078</v>
      </c>
      <c r="F2245" s="53" t="n">
        <v>1858</v>
      </c>
      <c r="G2245" s="55" t="n">
        <v>12848.05</v>
      </c>
      <c r="H2245" s="55" t="n">
        <v>11741.43</v>
      </c>
      <c r="I2245" s="53" t="n">
        <v>460</v>
      </c>
      <c r="J2245" s="53" t="n">
        <v>591</v>
      </c>
      <c r="K2245" s="53" t="n">
        <v>319</v>
      </c>
      <c r="L2245" s="53" t="n">
        <v>288</v>
      </c>
      <c r="M2245" s="33">
        <f>F2245-E2245</f>
        <v/>
      </c>
      <c r="N2245" s="33">
        <f>L2245-K2245</f>
        <v/>
      </c>
    </row>
    <row r="2246">
      <c r="A2246" s="58" t="inlineStr">
        <is>
          <t>231701 George's Wine &amp; Spirits</t>
        </is>
      </c>
      <c r="B2246" s="58" t="inlineStr">
        <is>
          <t>Sussex</t>
        </is>
      </c>
      <c r="C2246" s="58" t="inlineStr">
        <is>
          <t>Jayson Romine</t>
        </is>
      </c>
      <c r="D2246" s="58" t="inlineStr">
        <is>
          <t>Off-premise</t>
        </is>
      </c>
      <c r="E2246" s="53" t="n">
        <v>1602</v>
      </c>
      <c r="F2246" s="53" t="n">
        <v>1448</v>
      </c>
      <c r="G2246" s="55" t="n">
        <v>11750.48</v>
      </c>
      <c r="H2246" s="55" t="n">
        <v>10563.16</v>
      </c>
      <c r="I2246" s="53" t="n">
        <v>516</v>
      </c>
      <c r="J2246" s="53" t="n">
        <v>534</v>
      </c>
      <c r="K2246" s="53" t="n">
        <v>254</v>
      </c>
      <c r="L2246" s="53" t="n">
        <v>223</v>
      </c>
      <c r="M2246" s="33">
        <f>F2246-E2246</f>
        <v/>
      </c>
      <c r="N2246" s="33">
        <f>L2246-K2246</f>
        <v/>
      </c>
    </row>
    <row r="2247">
      <c r="A2247" s="58" t="inlineStr">
        <is>
          <t>25008 Clifton Commons S &amp; W</t>
        </is>
      </c>
      <c r="B2247" s="58" t="inlineStr">
        <is>
          <t>Passaic</t>
        </is>
      </c>
      <c r="C2247" s="58" t="inlineStr">
        <is>
          <t>Jim Heaney</t>
        </is>
      </c>
      <c r="D2247" s="58" t="inlineStr">
        <is>
          <t>Off-premise</t>
        </is>
      </c>
      <c r="E2247" s="53" t="n">
        <v>4809</v>
      </c>
      <c r="F2247" s="53" t="n">
        <v>4882</v>
      </c>
      <c r="G2247" s="55" t="n">
        <v>32322.05</v>
      </c>
      <c r="H2247" s="55" t="n">
        <v>33880.09</v>
      </c>
      <c r="I2247" s="53" t="n">
        <v>2052</v>
      </c>
      <c r="J2247" s="53" t="n">
        <v>2236</v>
      </c>
      <c r="K2247" s="53" t="n">
        <v>976</v>
      </c>
      <c r="L2247" s="53" t="n">
        <v>945</v>
      </c>
      <c r="M2247" s="33">
        <f>F2247-E2247</f>
        <v/>
      </c>
      <c r="N2247" s="33">
        <f>L2247-K2247</f>
        <v/>
      </c>
    </row>
    <row r="2248">
      <c r="A2248" s="58" t="inlineStr">
        <is>
          <t>81006 Fair Lawn Wine &amp; Spirits</t>
        </is>
      </c>
      <c r="B2248" s="58" t="inlineStr">
        <is>
          <t>Bergen</t>
        </is>
      </c>
      <c r="C2248" s="58" t="inlineStr">
        <is>
          <t>Mike Ast</t>
        </is>
      </c>
      <c r="D2248" s="58" t="inlineStr">
        <is>
          <t>Off-premise</t>
        </is>
      </c>
      <c r="E2248" s="53" t="n">
        <v>2449</v>
      </c>
      <c r="F2248" s="53" t="n">
        <v>2078</v>
      </c>
      <c r="G2248" s="55" t="n">
        <v>14950.59</v>
      </c>
      <c r="H2248" s="55" t="n">
        <v>13329.85</v>
      </c>
      <c r="I2248" s="53" t="n">
        <v>788</v>
      </c>
      <c r="J2248" s="53" t="n">
        <v>387</v>
      </c>
      <c r="K2248" s="53" t="n">
        <v>386</v>
      </c>
      <c r="L2248" s="53" t="n">
        <v>355</v>
      </c>
      <c r="M2248" s="33">
        <f>F2248-E2248</f>
        <v/>
      </c>
      <c r="N2248" s="33">
        <f>L2248-K2248</f>
        <v/>
      </c>
    </row>
    <row r="2249">
      <c r="A2249" s="58" t="inlineStr">
        <is>
          <t>96002 Wine &amp; Spirit World(W)</t>
        </is>
      </c>
      <c r="B2249" s="58" t="inlineStr">
        <is>
          <t>Bergen</t>
        </is>
      </c>
      <c r="C2249" s="58" t="inlineStr">
        <is>
          <t>Mike Ast</t>
        </is>
      </c>
      <c r="D2249" s="58" t="inlineStr">
        <is>
          <t>Off-premise</t>
        </is>
      </c>
      <c r="E2249" s="53" t="n">
        <v>4654</v>
      </c>
      <c r="F2249" s="53" t="n">
        <v>4704</v>
      </c>
      <c r="G2249" s="55" t="n">
        <v>30768.41</v>
      </c>
      <c r="H2249" s="55" t="n">
        <v>31468.54</v>
      </c>
      <c r="I2249" s="53" t="n">
        <v>2113</v>
      </c>
      <c r="J2249" s="53" t="n">
        <v>2313</v>
      </c>
      <c r="K2249" s="53" t="n">
        <v>1005</v>
      </c>
      <c r="L2249" s="53" t="n">
        <v>974</v>
      </c>
      <c r="M2249" s="33">
        <f>F2249-E2249</f>
        <v/>
      </c>
      <c r="N2249" s="33">
        <f>L2249-K2249</f>
        <v/>
      </c>
    </row>
    <row r="2250">
      <c r="A2250" s="58" t="inlineStr">
        <is>
          <t>19012 Bottagra Rest (P)</t>
        </is>
      </c>
      <c r="B2250" s="58" t="inlineStr">
        <is>
          <t>Passaic</t>
        </is>
      </c>
      <c r="C2250" s="58" t="inlineStr">
        <is>
          <t>Allison Scott</t>
        </is>
      </c>
      <c r="D2250" s="58" t="inlineStr">
        <is>
          <t>On-premise</t>
        </is>
      </c>
      <c r="E2250" s="53" t="n">
        <v>166</v>
      </c>
      <c r="F2250" s="53" t="n">
        <v>62</v>
      </c>
      <c r="G2250" s="55" t="n">
        <v>1460.21</v>
      </c>
      <c r="H2250" s="55" t="n">
        <v>613.8</v>
      </c>
      <c r="I2250" s="53" t="n">
        <v>13</v>
      </c>
      <c r="J2250" s="53" t="n">
        <v>15</v>
      </c>
      <c r="K2250" s="53" t="n">
        <v>67</v>
      </c>
      <c r="L2250" s="53" t="n">
        <v>35</v>
      </c>
      <c r="M2250" s="33">
        <f>F2250-E2250</f>
        <v/>
      </c>
      <c r="N2250" s="33">
        <f>L2250-K2250</f>
        <v/>
      </c>
    </row>
    <row r="2251">
      <c r="A2251" s="58" t="inlineStr">
        <is>
          <t>1029 Vault Liquors</t>
        </is>
      </c>
      <c r="B2251" s="58" t="inlineStr">
        <is>
          <t>Passaic</t>
        </is>
      </c>
      <c r="C2251" s="58" t="inlineStr">
        <is>
          <t>Anthony Palmisano</t>
        </is>
      </c>
      <c r="D2251" s="58" t="inlineStr">
        <is>
          <t>Off-premise</t>
        </is>
      </c>
      <c r="E2251" s="53" t="n">
        <v>402</v>
      </c>
      <c r="F2251" s="53" t="n">
        <v>280</v>
      </c>
      <c r="G2251" s="55" t="n">
        <v>3496.55</v>
      </c>
      <c r="H2251" s="55" t="n">
        <v>2381.2</v>
      </c>
      <c r="I2251" s="53" t="n">
        <v>102</v>
      </c>
      <c r="J2251" s="53" t="n">
        <v>115</v>
      </c>
      <c r="K2251" s="53" t="n">
        <v>59</v>
      </c>
      <c r="L2251" s="53" t="n">
        <v>27</v>
      </c>
      <c r="M2251" s="33">
        <f>F2251-E2251</f>
        <v/>
      </c>
      <c r="N2251" s="33">
        <f>L2251-K2251</f>
        <v/>
      </c>
    </row>
    <row r="2252">
      <c r="A2252" s="58" t="inlineStr">
        <is>
          <t>190205 Sharky's West (P)</t>
        </is>
      </c>
      <c r="B2252" s="58" t="inlineStr">
        <is>
          <t>Morris</t>
        </is>
      </c>
      <c r="C2252" s="58" t="inlineStr">
        <is>
          <t>Brian Sengebush</t>
        </is>
      </c>
      <c r="D2252" s="58" t="inlineStr">
        <is>
          <t>On-premise</t>
        </is>
      </c>
      <c r="E2252" s="53" t="n">
        <v>456</v>
      </c>
      <c r="F2252" s="53" t="n">
        <v>337</v>
      </c>
      <c r="G2252" s="55" t="n">
        <v>3343.7</v>
      </c>
      <c r="H2252" s="55" t="n">
        <v>2391.5</v>
      </c>
      <c r="I2252" s="53" t="n">
        <v>148</v>
      </c>
      <c r="J2252" s="53" t="n">
        <v>90</v>
      </c>
      <c r="K2252" s="53" t="n">
        <v>58</v>
      </c>
      <c r="L2252" s="53" t="n">
        <v>26</v>
      </c>
      <c r="M2252" s="33">
        <f>F2252-E2252</f>
        <v/>
      </c>
      <c r="N2252" s="33">
        <f>L2252-K2252</f>
        <v/>
      </c>
    </row>
    <row r="2253">
      <c r="A2253" s="58" t="inlineStr">
        <is>
          <t>170020 Hoboken Beer &amp; Soda</t>
        </is>
      </c>
      <c r="B2253" s="58" t="inlineStr">
        <is>
          <t>Hudson</t>
        </is>
      </c>
      <c r="C2253" s="58" t="inlineStr">
        <is>
          <t>Jaime Colonna</t>
        </is>
      </c>
      <c r="D2253" s="58" t="inlineStr">
        <is>
          <t>Off-premise</t>
        </is>
      </c>
      <c r="E2253" s="53" t="n">
        <v>77</v>
      </c>
      <c r="F2253" s="53" t="n">
        <v>45</v>
      </c>
      <c r="G2253" s="55" t="n">
        <v>587.6799999999999</v>
      </c>
      <c r="H2253" s="55" t="n">
        <v>343.4</v>
      </c>
      <c r="I2253" s="53" t="n">
        <v>1027</v>
      </c>
      <c r="J2253" s="53" t="n">
        <v>965</v>
      </c>
      <c r="K2253" s="53" t="n">
        <v>77</v>
      </c>
      <c r="L2253" s="53" t="n">
        <v>45</v>
      </c>
      <c r="M2253" s="33">
        <f>F2253-E2253</f>
        <v/>
      </c>
      <c r="N2253" s="33">
        <f>L2253-K2253</f>
        <v/>
      </c>
    </row>
    <row r="2254">
      <c r="A2254" s="58" t="inlineStr">
        <is>
          <t>230420 Spring Street Liquors</t>
        </is>
      </c>
      <c r="B2254" s="58" t="inlineStr">
        <is>
          <t>Sussex</t>
        </is>
      </c>
      <c r="C2254" s="58" t="inlineStr">
        <is>
          <t>Jayson Romine</t>
        </is>
      </c>
      <c r="D2254" s="58" t="inlineStr">
        <is>
          <t>Off-premise</t>
        </is>
      </c>
      <c r="E2254" s="53" t="n">
        <v>3656</v>
      </c>
      <c r="F2254" s="53" t="n">
        <v>3749</v>
      </c>
      <c r="G2254" s="55" t="n">
        <v>24372.52</v>
      </c>
      <c r="H2254" s="55" t="n">
        <v>24727.91</v>
      </c>
      <c r="I2254" s="53" t="n">
        <v>333</v>
      </c>
      <c r="J2254" s="53" t="n">
        <v>275</v>
      </c>
      <c r="K2254" s="53" t="n">
        <v>589</v>
      </c>
      <c r="L2254" s="53" t="n">
        <v>557</v>
      </c>
      <c r="M2254" s="33">
        <f>F2254-E2254</f>
        <v/>
      </c>
      <c r="N2254" s="33">
        <f>L2254-K2254</f>
        <v/>
      </c>
    </row>
    <row r="2255">
      <c r="A2255" s="58" t="inlineStr">
        <is>
          <t>76010 Usa Wine Traders Club (Saddle Brook)</t>
        </is>
      </c>
      <c r="B2255" s="58" t="inlineStr">
        <is>
          <t>Bergen</t>
        </is>
      </c>
      <c r="C2255" s="58" t="inlineStr">
        <is>
          <t>Chris Payton</t>
        </is>
      </c>
      <c r="D2255" s="58" t="inlineStr">
        <is>
          <t>Off-premise</t>
        </is>
      </c>
      <c r="E2255" s="53" t="n">
        <v>5834</v>
      </c>
      <c r="F2255" s="53" t="n">
        <v>5411</v>
      </c>
      <c r="G2255" s="55" t="n">
        <v>40075.05</v>
      </c>
      <c r="H2255" s="55" t="n">
        <v>37798.35999999999</v>
      </c>
      <c r="I2255" s="53" t="n">
        <v>1625</v>
      </c>
      <c r="J2255" s="53" t="n">
        <v>1624</v>
      </c>
      <c r="K2255" s="53" t="n">
        <v>785</v>
      </c>
      <c r="L2255" s="53" t="n">
        <v>752</v>
      </c>
      <c r="M2255" s="33">
        <f>F2255-E2255</f>
        <v/>
      </c>
      <c r="N2255" s="33">
        <f>L2255-K2255</f>
        <v/>
      </c>
    </row>
    <row r="2256">
      <c r="A2256" s="58" t="inlineStr">
        <is>
          <t>170230 Aivan Liq (P)</t>
        </is>
      </c>
      <c r="B2256" s="58" t="inlineStr">
        <is>
          <t>Hudson</t>
        </is>
      </c>
      <c r="C2256" s="58" t="inlineStr">
        <is>
          <t>Dylan Rubino</t>
        </is>
      </c>
      <c r="D2256" s="58" t="inlineStr">
        <is>
          <t>Off-premise</t>
        </is>
      </c>
      <c r="E2256" s="53" t="n">
        <v>61</v>
      </c>
      <c r="F2256" s="53" t="n">
        <v>28</v>
      </c>
      <c r="G2256" s="55" t="n">
        <v>460.37</v>
      </c>
      <c r="H2256" s="55" t="n">
        <v>210.28</v>
      </c>
      <c r="I2256" s="53" t="n">
        <v>40</v>
      </c>
      <c r="J2256" s="53" t="n">
        <v>17</v>
      </c>
      <c r="K2256" s="53" t="n">
        <v>61</v>
      </c>
      <c r="L2256" s="53" t="n">
        <v>28</v>
      </c>
      <c r="M2256" s="33">
        <f>F2256-E2256</f>
        <v/>
      </c>
      <c r="N2256" s="33">
        <f>L2256-K2256</f>
        <v/>
      </c>
    </row>
    <row r="2257">
      <c r="A2257" s="58" t="inlineStr">
        <is>
          <t>152052 Sora Sushi (B)</t>
        </is>
      </c>
      <c r="B2257" s="58" t="inlineStr">
        <is>
          <t>Essex</t>
        </is>
      </c>
      <c r="C2257" s="58" t="inlineStr">
        <is>
          <t>Hakan Sadik</t>
        </is>
      </c>
      <c r="D2257" s="58" t="inlineStr">
        <is>
          <t>Unmatched</t>
        </is>
      </c>
      <c r="E2257" s="53" t="n">
        <v>34</v>
      </c>
      <c r="F2257" s="53" t="n">
        <v>0</v>
      </c>
      <c r="G2257" s="55" t="n">
        <v>196.25</v>
      </c>
      <c r="H2257" s="55" t="n">
        <v>0</v>
      </c>
      <c r="I2257" s="53" t="n">
        <v>0</v>
      </c>
      <c r="J2257" s="53" t="n">
        <v>0</v>
      </c>
      <c r="K2257" s="53" t="n">
        <v>34</v>
      </c>
      <c r="L2257" s="53" t="n">
        <v>0</v>
      </c>
      <c r="M2257" s="33">
        <f>F2257-E2257</f>
        <v/>
      </c>
      <c r="N2257" s="33">
        <f>L2257-K2257</f>
        <v/>
      </c>
    </row>
    <row r="2258">
      <c r="A2258" s="58" t="inlineStr">
        <is>
          <t>27077 Mojito Bar</t>
        </is>
      </c>
      <c r="B2258" s="58" t="inlineStr">
        <is>
          <t>Passaic</t>
        </is>
      </c>
      <c r="C2258" s="58" t="inlineStr">
        <is>
          <t>Javier Melo</t>
        </is>
      </c>
      <c r="D2258" s="58" t="inlineStr">
        <is>
          <t>On-premise</t>
        </is>
      </c>
      <c r="E2258" s="53" t="n">
        <v>1497</v>
      </c>
      <c r="F2258" s="53" t="n">
        <v>1660</v>
      </c>
      <c r="G2258" s="55" t="n">
        <v>10059.05</v>
      </c>
      <c r="H2258" s="55" t="n">
        <v>11155.98</v>
      </c>
      <c r="I2258" s="53" t="n">
        <v>31</v>
      </c>
      <c r="J2258" s="53" t="n">
        <v>26</v>
      </c>
      <c r="K2258" s="53" t="n">
        <v>105</v>
      </c>
      <c r="L2258" s="53" t="n">
        <v>71</v>
      </c>
      <c r="M2258" s="33">
        <f>F2258-E2258</f>
        <v/>
      </c>
      <c r="N2258" s="33">
        <f>L2258-K2258</f>
        <v/>
      </c>
    </row>
    <row r="2259">
      <c r="A2259" s="58" t="inlineStr">
        <is>
          <t>230431 Seplow's Liquors</t>
        </is>
      </c>
      <c r="B2259" s="58" t="inlineStr">
        <is>
          <t>Sussex</t>
        </is>
      </c>
      <c r="C2259" s="58" t="inlineStr">
        <is>
          <t>Jayson Romine</t>
        </is>
      </c>
      <c r="D2259" s="58" t="inlineStr">
        <is>
          <t>Off-premise</t>
        </is>
      </c>
      <c r="E2259" s="53" t="n">
        <v>2027</v>
      </c>
      <c r="F2259" s="53" t="n">
        <v>2128</v>
      </c>
      <c r="G2259" s="55" t="n">
        <v>13715.01</v>
      </c>
      <c r="H2259" s="55" t="n">
        <v>14515.17</v>
      </c>
      <c r="I2259" s="53" t="n">
        <v>540</v>
      </c>
      <c r="J2259" s="53" t="n">
        <v>557</v>
      </c>
      <c r="K2259" s="53" t="n">
        <v>358</v>
      </c>
      <c r="L2259" s="53" t="n">
        <v>324</v>
      </c>
      <c r="M2259" s="33">
        <f>F2259-E2259</f>
        <v/>
      </c>
      <c r="N2259" s="33">
        <f>L2259-K2259</f>
        <v/>
      </c>
    </row>
    <row r="2260">
      <c r="A2260" s="58" t="inlineStr">
        <is>
          <t>83005 Glen Rock Inn</t>
        </is>
      </c>
      <c r="B2260" s="58" t="inlineStr">
        <is>
          <t>Bergen</t>
        </is>
      </c>
      <c r="C2260" s="58" t="inlineStr">
        <is>
          <t>Mike Ast</t>
        </is>
      </c>
      <c r="D2260" s="58" t="inlineStr">
        <is>
          <t>On-premise</t>
        </is>
      </c>
      <c r="E2260" s="53" t="n">
        <v>390</v>
      </c>
      <c r="F2260" s="53" t="n">
        <v>357</v>
      </c>
      <c r="G2260" s="55" t="n">
        <v>2511.25</v>
      </c>
      <c r="H2260" s="55" t="n">
        <v>2141.9</v>
      </c>
      <c r="I2260" s="53" t="n">
        <v>67</v>
      </c>
      <c r="J2260" s="53" t="n">
        <v>73</v>
      </c>
      <c r="K2260" s="53" t="n">
        <v>54</v>
      </c>
      <c r="L2260" s="53" t="n">
        <v>20</v>
      </c>
      <c r="M2260" s="33">
        <f>F2260-E2260</f>
        <v/>
      </c>
      <c r="N2260" s="33">
        <f>L2260-K2260</f>
        <v/>
      </c>
    </row>
    <row r="2261">
      <c r="A2261" s="58" t="inlineStr">
        <is>
          <t>70004 Davey's Locker (A)</t>
        </is>
      </c>
      <c r="B2261" s="58" t="inlineStr">
        <is>
          <t>Bergen</t>
        </is>
      </c>
      <c r="C2261" s="58" t="inlineStr">
        <is>
          <t>Paul Mclaughlin</t>
        </is>
      </c>
      <c r="D2261" s="58" t="inlineStr">
        <is>
          <t>On-premise</t>
        </is>
      </c>
      <c r="E2261" s="53" t="n">
        <v>674</v>
      </c>
      <c r="F2261" s="53" t="n">
        <v>536</v>
      </c>
      <c r="G2261" s="55" t="n">
        <v>3905.5</v>
      </c>
      <c r="H2261" s="55" t="n">
        <v>3374.53</v>
      </c>
      <c r="I2261" s="53" t="n">
        <v>263</v>
      </c>
      <c r="J2261" s="53" t="n">
        <v>227</v>
      </c>
      <c r="K2261" s="53" t="n">
        <v>77</v>
      </c>
      <c r="L2261" s="53" t="n">
        <v>43</v>
      </c>
      <c r="M2261" s="33">
        <f>F2261-E2261</f>
        <v/>
      </c>
      <c r="N2261" s="33">
        <f>L2261-K2261</f>
        <v/>
      </c>
    </row>
    <row r="2262">
      <c r="A2262" s="58" t="inlineStr">
        <is>
          <t>53007 Giovanni's Bicycle Club</t>
        </is>
      </c>
      <c r="B2262" s="58" t="inlineStr">
        <is>
          <t>Bergen</t>
        </is>
      </c>
      <c r="C2262" s="58" t="inlineStr">
        <is>
          <t>Dan Lagala</t>
        </is>
      </c>
      <c r="D2262" s="58" t="inlineStr">
        <is>
          <t>On-premise</t>
        </is>
      </c>
      <c r="E2262" s="53" t="n">
        <v>98</v>
      </c>
      <c r="F2262" s="53" t="n">
        <v>0</v>
      </c>
      <c r="G2262" s="55" t="n">
        <v>849.58</v>
      </c>
      <c r="H2262" s="55" t="n">
        <v>0</v>
      </c>
      <c r="I2262" s="53" t="n">
        <v>0</v>
      </c>
      <c r="J2262" s="53" t="n">
        <v>0</v>
      </c>
      <c r="K2262" s="53" t="n">
        <v>35</v>
      </c>
      <c r="L2262" s="53" t="n">
        <v>0</v>
      </c>
      <c r="M2262" s="33">
        <f>F2262-E2262</f>
        <v/>
      </c>
      <c r="N2262" s="33">
        <f>L2262-K2262</f>
        <v/>
      </c>
    </row>
    <row r="2263">
      <c r="A2263" s="58" t="inlineStr">
        <is>
          <t>40010 Hackensack Liquors</t>
        </is>
      </c>
      <c r="B2263" s="58" t="inlineStr">
        <is>
          <t>Bergen</t>
        </is>
      </c>
      <c r="C2263" s="58" t="inlineStr">
        <is>
          <t>Dave Ehlers</t>
        </is>
      </c>
      <c r="D2263" s="58" t="inlineStr">
        <is>
          <t>Off-premise</t>
        </is>
      </c>
      <c r="E2263" s="53" t="n">
        <v>6035</v>
      </c>
      <c r="F2263" s="53" t="n">
        <v>5802</v>
      </c>
      <c r="G2263" s="55" t="n">
        <v>41129.92000000001</v>
      </c>
      <c r="H2263" s="55" t="n">
        <v>40535.06</v>
      </c>
      <c r="I2263" s="53" t="n">
        <v>986</v>
      </c>
      <c r="J2263" s="53" t="n">
        <v>1033</v>
      </c>
      <c r="K2263" s="53" t="n">
        <v>720</v>
      </c>
      <c r="L2263" s="53" t="n">
        <v>685</v>
      </c>
      <c r="M2263" s="33">
        <f>F2263-E2263</f>
        <v/>
      </c>
      <c r="N2263" s="33">
        <f>L2263-K2263</f>
        <v/>
      </c>
    </row>
    <row r="2264">
      <c r="A2264" s="58" t="inlineStr">
        <is>
          <t>21035 M &amp; R Disc (A) Liqs.</t>
        </is>
      </c>
      <c r="B2264" s="58" t="inlineStr">
        <is>
          <t>Passaic</t>
        </is>
      </c>
      <c r="C2264" s="58" t="inlineStr">
        <is>
          <t>Derrick Laws</t>
        </is>
      </c>
      <c r="D2264" s="58" t="inlineStr">
        <is>
          <t>Off-premise</t>
        </is>
      </c>
      <c r="E2264" s="53" t="n">
        <v>2488</v>
      </c>
      <c r="F2264" s="53" t="n">
        <v>2510</v>
      </c>
      <c r="G2264" s="55" t="n">
        <v>15792.7</v>
      </c>
      <c r="H2264" s="55" t="n">
        <v>16448.5</v>
      </c>
      <c r="I2264" s="53" t="n">
        <v>104</v>
      </c>
      <c r="J2264" s="53" t="n">
        <v>82</v>
      </c>
      <c r="K2264" s="53" t="n">
        <v>206</v>
      </c>
      <c r="L2264" s="53" t="n">
        <v>171</v>
      </c>
      <c r="M2264" s="33">
        <f>F2264-E2264</f>
        <v/>
      </c>
      <c r="N2264" s="33">
        <f>L2264-K2264</f>
        <v/>
      </c>
    </row>
    <row r="2265">
      <c r="A2265" s="58" t="inlineStr">
        <is>
          <t>12060 Costco Whlse V#32366-Wayn</t>
        </is>
      </c>
      <c r="B2265" s="58" t="inlineStr">
        <is>
          <t>Passaic</t>
        </is>
      </c>
      <c r="C2265" s="58" t="inlineStr">
        <is>
          <t>John Neukum</t>
        </is>
      </c>
      <c r="D2265" s="58" t="inlineStr">
        <is>
          <t>Off-premise</t>
        </is>
      </c>
      <c r="E2265" s="53" t="n">
        <v>25039</v>
      </c>
      <c r="F2265" s="53" t="n">
        <v>21675</v>
      </c>
      <c r="G2265" s="55" t="n">
        <v>131114.06</v>
      </c>
      <c r="H2265" s="55" t="n">
        <v>119772.88</v>
      </c>
      <c r="I2265" s="53" t="n">
        <v>4228</v>
      </c>
      <c r="J2265" s="53" t="n">
        <v>3366</v>
      </c>
      <c r="K2265" s="53" t="n">
        <v>2677</v>
      </c>
      <c r="L2265" s="53" t="n">
        <v>2642</v>
      </c>
      <c r="M2265" s="33">
        <f>F2265-E2265</f>
        <v/>
      </c>
      <c r="N2265" s="33">
        <f>L2265-K2265</f>
        <v/>
      </c>
    </row>
    <row r="2266">
      <c r="A2266" s="58" t="inlineStr">
        <is>
          <t>80037 Pinstripes (Paramus)</t>
        </is>
      </c>
      <c r="B2266" s="58" t="inlineStr">
        <is>
          <t>Bergen</t>
        </is>
      </c>
      <c r="C2266" s="58" t="inlineStr">
        <is>
          <t>Nick Melissari</t>
        </is>
      </c>
      <c r="D2266" s="58" t="inlineStr">
        <is>
          <t>Unmatched</t>
        </is>
      </c>
      <c r="E2266" s="53" t="n">
        <v>50</v>
      </c>
      <c r="F2266" s="53" t="n">
        <v>0</v>
      </c>
      <c r="G2266" s="55" t="n">
        <v>469.41</v>
      </c>
      <c r="H2266" s="55" t="n">
        <v>0</v>
      </c>
      <c r="I2266" s="53" t="n">
        <v>9</v>
      </c>
      <c r="J2266" s="53" t="n">
        <v>0</v>
      </c>
      <c r="K2266" s="53" t="n">
        <v>35</v>
      </c>
      <c r="L2266" s="53" t="n">
        <v>0</v>
      </c>
      <c r="M2266" s="33">
        <f>F2266-E2266</f>
        <v/>
      </c>
      <c r="N2266" s="33">
        <f>L2266-K2266</f>
        <v/>
      </c>
    </row>
    <row r="2267">
      <c r="A2267" s="58" t="inlineStr">
        <is>
          <t>69012 449 Prime @ Edgewood Country Club</t>
        </is>
      </c>
      <c r="B2267" s="58" t="inlineStr">
        <is>
          <t>Bergen</t>
        </is>
      </c>
      <c r="C2267" s="58" t="inlineStr">
        <is>
          <t>Paul Mclaughlin</t>
        </is>
      </c>
      <c r="D2267" s="58" t="inlineStr">
        <is>
          <t>On-premise</t>
        </is>
      </c>
      <c r="E2267" s="53" t="n">
        <v>70</v>
      </c>
      <c r="F2267" s="53" t="n">
        <v>26</v>
      </c>
      <c r="G2267" s="55" t="n">
        <v>671.9499999999999</v>
      </c>
      <c r="H2267" s="55" t="n">
        <v>241.8</v>
      </c>
      <c r="I2267" s="53" t="n">
        <v>71</v>
      </c>
      <c r="J2267" s="53" t="n">
        <v>67</v>
      </c>
      <c r="K2267" s="53" t="n">
        <v>41</v>
      </c>
      <c r="L2267" s="53" t="n">
        <v>6</v>
      </c>
      <c r="M2267" s="33">
        <f>F2267-E2267</f>
        <v/>
      </c>
      <c r="N2267" s="33">
        <f>L2267-K2267</f>
        <v/>
      </c>
    </row>
    <row r="2268">
      <c r="A2268" s="58" t="inlineStr">
        <is>
          <t>81014 Shop Rite Liq(A) Fair Lwn</t>
        </is>
      </c>
      <c r="B2268" s="58" t="inlineStr">
        <is>
          <t>Bergen</t>
        </is>
      </c>
      <c r="C2268" s="58" t="inlineStr">
        <is>
          <t>Phil Ernst</t>
        </is>
      </c>
      <c r="D2268" s="58" t="inlineStr">
        <is>
          <t>Off-premise</t>
        </is>
      </c>
      <c r="E2268" s="53" t="n">
        <v>5743</v>
      </c>
      <c r="F2268" s="53" t="n">
        <v>5893</v>
      </c>
      <c r="G2268" s="55" t="n">
        <v>36943.17999999999</v>
      </c>
      <c r="H2268" s="55" t="n">
        <v>37639.34</v>
      </c>
      <c r="I2268" s="53" t="n">
        <v>2071</v>
      </c>
      <c r="J2268" s="53" t="n">
        <v>2053</v>
      </c>
      <c r="K2268" s="53" t="n">
        <v>904</v>
      </c>
      <c r="L2268" s="53" t="n">
        <v>869</v>
      </c>
      <c r="M2268" s="33">
        <f>F2268-E2268</f>
        <v/>
      </c>
      <c r="N2268" s="33">
        <f>L2268-K2268</f>
        <v/>
      </c>
    </row>
    <row r="2269">
      <c r="A2269" s="58" t="inlineStr">
        <is>
          <t>20131 El Fogon Rest</t>
        </is>
      </c>
      <c r="B2269" s="58" t="inlineStr">
        <is>
          <t>Passaic</t>
        </is>
      </c>
      <c r="C2269" s="58" t="inlineStr">
        <is>
          <t>Derrick Laws</t>
        </is>
      </c>
      <c r="D2269" s="58" t="inlineStr">
        <is>
          <t>On-premise</t>
        </is>
      </c>
      <c r="E2269" s="53" t="n">
        <v>1440</v>
      </c>
      <c r="F2269" s="53" t="n">
        <v>1480</v>
      </c>
      <c r="G2269" s="55" t="n">
        <v>10691.33</v>
      </c>
      <c r="H2269" s="55" t="n">
        <v>11443.89</v>
      </c>
      <c r="I2269" s="53" t="n">
        <v>243</v>
      </c>
      <c r="J2269" s="53" t="n">
        <v>152</v>
      </c>
      <c r="K2269" s="53" t="n">
        <v>135</v>
      </c>
      <c r="L2269" s="53" t="n">
        <v>99</v>
      </c>
      <c r="M2269" s="33">
        <f>F2269-E2269</f>
        <v/>
      </c>
      <c r="N2269" s="33">
        <f>L2269-K2269</f>
        <v/>
      </c>
    </row>
    <row r="2270">
      <c r="A2270" s="58" t="inlineStr">
        <is>
          <t>191408 Super Saver Liq</t>
        </is>
      </c>
      <c r="B2270" s="58" t="inlineStr">
        <is>
          <t>Morris</t>
        </is>
      </c>
      <c r="C2270" s="58" t="inlineStr">
        <is>
          <t>Jayson Romine</t>
        </is>
      </c>
      <c r="D2270" s="58" t="inlineStr">
        <is>
          <t>Off-premise</t>
        </is>
      </c>
      <c r="E2270" s="53" t="n">
        <v>2778</v>
      </c>
      <c r="F2270" s="53" t="n">
        <v>2721</v>
      </c>
      <c r="G2270" s="55" t="n">
        <v>17779.35</v>
      </c>
      <c r="H2270" s="55" t="n">
        <v>16730.19</v>
      </c>
      <c r="I2270" s="53" t="n">
        <v>802</v>
      </c>
      <c r="J2270" s="53" t="n">
        <v>735</v>
      </c>
      <c r="K2270" s="53" t="n">
        <v>378</v>
      </c>
      <c r="L2270" s="53" t="n">
        <v>342</v>
      </c>
      <c r="M2270" s="33">
        <f>F2270-E2270</f>
        <v/>
      </c>
      <c r="N2270" s="33">
        <f>L2270-K2270</f>
        <v/>
      </c>
    </row>
    <row r="2271">
      <c r="A2271" s="58" t="inlineStr">
        <is>
          <t>50007 Welsh Farms</t>
        </is>
      </c>
      <c r="B2271" s="58" t="inlineStr">
        <is>
          <t>Bergen</t>
        </is>
      </c>
      <c r="C2271" s="58" t="inlineStr">
        <is>
          <t>Chris Payton</t>
        </is>
      </c>
      <c r="D2271" s="58" t="inlineStr">
        <is>
          <t>Off-premise</t>
        </is>
      </c>
      <c r="E2271" s="53" t="n">
        <v>1702</v>
      </c>
      <c r="F2271" s="53" t="n">
        <v>1649</v>
      </c>
      <c r="G2271" s="55" t="n">
        <v>11801.62</v>
      </c>
      <c r="H2271" s="55" t="n">
        <v>11750.32</v>
      </c>
      <c r="I2271" s="53" t="n">
        <v>235</v>
      </c>
      <c r="J2271" s="53" t="n">
        <v>174</v>
      </c>
      <c r="K2271" s="53" t="n">
        <v>299</v>
      </c>
      <c r="L2271" s="53" t="n">
        <v>262</v>
      </c>
      <c r="M2271" s="33">
        <f>F2271-E2271</f>
        <v/>
      </c>
      <c r="N2271" s="33">
        <f>L2271-K2271</f>
        <v/>
      </c>
    </row>
    <row r="2272">
      <c r="A2272" s="58" t="inlineStr">
        <is>
          <t>21031 Broadway Liq (A)</t>
        </is>
      </c>
      <c r="B2272" s="58" t="inlineStr">
        <is>
          <t>Passaic</t>
        </is>
      </c>
      <c r="C2272" s="58" t="inlineStr">
        <is>
          <t>Derrick Laws</t>
        </is>
      </c>
      <c r="D2272" s="58" t="inlineStr">
        <is>
          <t>Off-premise</t>
        </is>
      </c>
      <c r="E2272" s="53" t="n">
        <v>2511</v>
      </c>
      <c r="F2272" s="53" t="n">
        <v>2202</v>
      </c>
      <c r="G2272" s="55" t="n">
        <v>17671.94</v>
      </c>
      <c r="H2272" s="55" t="n">
        <v>16431.26</v>
      </c>
      <c r="I2272" s="53" t="n">
        <v>384</v>
      </c>
      <c r="J2272" s="53" t="n">
        <v>338</v>
      </c>
      <c r="K2272" s="53" t="n">
        <v>239</v>
      </c>
      <c r="L2272" s="53" t="n">
        <v>202</v>
      </c>
      <c r="M2272" s="33">
        <f>F2272-E2272</f>
        <v/>
      </c>
      <c r="N2272" s="33">
        <f>L2272-K2272</f>
        <v/>
      </c>
    </row>
    <row r="2273">
      <c r="A2273" s="58" t="inlineStr">
        <is>
          <t>77004 Lidl Elmwood Park</t>
        </is>
      </c>
      <c r="B2273" s="58" t="inlineStr">
        <is>
          <t>Bergen</t>
        </is>
      </c>
      <c r="C2273" s="58" t="inlineStr">
        <is>
          <t>Matt Powierski</t>
        </is>
      </c>
      <c r="D2273" s="58" t="inlineStr">
        <is>
          <t>Unmatched</t>
        </is>
      </c>
      <c r="E2273" s="53" t="n">
        <v>935</v>
      </c>
      <c r="F2273" s="53" t="n">
        <v>880</v>
      </c>
      <c r="G2273" s="55" t="n">
        <v>7892.460000000001</v>
      </c>
      <c r="H2273" s="55" t="n">
        <v>7298.48</v>
      </c>
      <c r="I2273" s="53" t="n">
        <v>25</v>
      </c>
      <c r="J2273" s="53" t="n">
        <v>29</v>
      </c>
      <c r="K2273" s="53" t="n">
        <v>57</v>
      </c>
      <c r="L2273" s="53" t="n">
        <v>20</v>
      </c>
      <c r="M2273" s="33">
        <f>F2273-E2273</f>
        <v/>
      </c>
      <c r="N2273" s="33">
        <f>L2273-K2273</f>
        <v/>
      </c>
    </row>
    <row r="2274">
      <c r="A2274" s="58" t="inlineStr">
        <is>
          <t>60001 Bottle King (A) Dumont</t>
        </is>
      </c>
      <c r="B2274" s="58" t="inlineStr">
        <is>
          <t>Bergen</t>
        </is>
      </c>
      <c r="C2274" s="58" t="inlineStr">
        <is>
          <t>Shane Barreca</t>
        </is>
      </c>
      <c r="D2274" s="58" t="inlineStr">
        <is>
          <t>Off-premise</t>
        </is>
      </c>
      <c r="E2274" s="53" t="n">
        <v>13702</v>
      </c>
      <c r="F2274" s="53" t="n">
        <v>12920</v>
      </c>
      <c r="G2274" s="55" t="n">
        <v>86457.79999999999</v>
      </c>
      <c r="H2274" s="55" t="n">
        <v>84622.77</v>
      </c>
      <c r="I2274" s="53" t="n">
        <v>4823</v>
      </c>
      <c r="J2274" s="53" t="n">
        <v>4684</v>
      </c>
      <c r="K2274" s="53" t="n">
        <v>1965</v>
      </c>
      <c r="L2274" s="53" t="n">
        <v>1928</v>
      </c>
      <c r="M2274" s="33">
        <f>F2274-E2274</f>
        <v/>
      </c>
      <c r="N2274" s="33">
        <f>L2274-K2274</f>
        <v/>
      </c>
    </row>
    <row r="2275">
      <c r="A2275" s="58" t="inlineStr">
        <is>
          <t>27012 ESTEVEZ LIQUORS LLC</t>
        </is>
      </c>
      <c r="B2275" s="58" t="inlineStr">
        <is>
          <t>Passaic</t>
        </is>
      </c>
      <c r="C2275" s="58" t="inlineStr">
        <is>
          <t>Javier Melo</t>
        </is>
      </c>
      <c r="D2275" s="58" t="inlineStr">
        <is>
          <t>Off-premise</t>
        </is>
      </c>
      <c r="E2275" s="53" t="n">
        <v>4310</v>
      </c>
      <c r="F2275" s="53" t="n">
        <v>4720</v>
      </c>
      <c r="G2275" s="55" t="n">
        <v>27103.27</v>
      </c>
      <c r="H2275" s="55" t="n">
        <v>30465</v>
      </c>
      <c r="I2275" s="53" t="n">
        <v>640</v>
      </c>
      <c r="J2275" s="53" t="n">
        <v>492</v>
      </c>
      <c r="K2275" s="53" t="n">
        <v>768</v>
      </c>
      <c r="L2275" s="53" t="n">
        <v>730</v>
      </c>
      <c r="M2275" s="33">
        <f>F2275-E2275</f>
        <v/>
      </c>
      <c r="N2275" s="33">
        <f>L2275-K2275</f>
        <v/>
      </c>
    </row>
    <row r="2276">
      <c r="A2276" s="58" t="inlineStr">
        <is>
          <t>24005 Henry's Liquors</t>
        </is>
      </c>
      <c r="B2276" s="58" t="inlineStr">
        <is>
          <t>Passaic</t>
        </is>
      </c>
      <c r="C2276" s="58" t="inlineStr">
        <is>
          <t>Jim Heaney</t>
        </is>
      </c>
      <c r="D2276" s="58" t="inlineStr">
        <is>
          <t>Off-premise</t>
        </is>
      </c>
      <c r="E2276" s="53" t="n">
        <v>1429</v>
      </c>
      <c r="F2276" s="53" t="n">
        <v>1106</v>
      </c>
      <c r="G2276" s="55" t="n">
        <v>9511.07</v>
      </c>
      <c r="H2276" s="55" t="n">
        <v>8251.230000000001</v>
      </c>
      <c r="I2276" s="53" t="n">
        <v>205</v>
      </c>
      <c r="J2276" s="53" t="n">
        <v>226</v>
      </c>
      <c r="K2276" s="53" t="n">
        <v>256</v>
      </c>
      <c r="L2276" s="53" t="n">
        <v>217</v>
      </c>
      <c r="M2276" s="33">
        <f>F2276-E2276</f>
        <v/>
      </c>
      <c r="N2276" s="33">
        <f>L2276-K2276</f>
        <v/>
      </c>
    </row>
    <row r="2277">
      <c r="A2277" s="58" t="inlineStr">
        <is>
          <t>32014 Wine Liquor Shop</t>
        </is>
      </c>
      <c r="B2277" s="58" t="inlineStr">
        <is>
          <t>Bergen</t>
        </is>
      </c>
      <c r="C2277" s="58" t="inlineStr">
        <is>
          <t>Matt Powierski</t>
        </is>
      </c>
      <c r="D2277" s="58" t="inlineStr">
        <is>
          <t>Off-premise</t>
        </is>
      </c>
      <c r="E2277" s="53" t="n">
        <v>803</v>
      </c>
      <c r="F2277" s="53" t="n">
        <v>818</v>
      </c>
      <c r="G2277" s="55" t="n">
        <v>5589.059999999999</v>
      </c>
      <c r="H2277" s="55" t="n">
        <v>5453.839999999999</v>
      </c>
      <c r="I2277" s="53" t="n">
        <v>246</v>
      </c>
      <c r="J2277" s="53" t="n">
        <v>231</v>
      </c>
      <c r="K2277" s="53" t="n">
        <v>156</v>
      </c>
      <c r="L2277" s="53" t="n">
        <v>117</v>
      </c>
      <c r="M2277" s="33">
        <f>F2277-E2277</f>
        <v/>
      </c>
      <c r="N2277" s="33">
        <f>L2277-K2277</f>
        <v/>
      </c>
    </row>
    <row r="2278">
      <c r="A2278" s="58" t="inlineStr">
        <is>
          <t>20066 J &amp; B Bar &amp; Liq (Z)</t>
        </is>
      </c>
      <c r="B2278" s="58" t="inlineStr">
        <is>
          <t>Passaic</t>
        </is>
      </c>
      <c r="C2278" s="58" t="inlineStr">
        <is>
          <t>Derrick Laws</t>
        </is>
      </c>
      <c r="D2278" s="58" t="inlineStr">
        <is>
          <t>Off-premise</t>
        </is>
      </c>
      <c r="E2278" s="53" t="n">
        <v>1783</v>
      </c>
      <c r="F2278" s="53" t="n">
        <v>1280</v>
      </c>
      <c r="G2278" s="55" t="n">
        <v>11789.32</v>
      </c>
      <c r="H2278" s="55" t="n">
        <v>8513.08</v>
      </c>
      <c r="I2278" s="53" t="n">
        <v>45</v>
      </c>
      <c r="J2278" s="53" t="n">
        <v>50</v>
      </c>
      <c r="K2278" s="53" t="n">
        <v>120</v>
      </c>
      <c r="L2278" s="53" t="n">
        <v>80</v>
      </c>
      <c r="M2278" s="33">
        <f>F2278-E2278</f>
        <v/>
      </c>
      <c r="N2278" s="33">
        <f>L2278-K2278</f>
        <v/>
      </c>
    </row>
    <row r="2279">
      <c r="A2279" s="58" t="inlineStr">
        <is>
          <t>37007 Jay's Liquormart</t>
        </is>
      </c>
      <c r="B2279" s="58" t="inlineStr">
        <is>
          <t>Bergen</t>
        </is>
      </c>
      <c r="C2279" s="58" t="inlineStr">
        <is>
          <t>Matt Powierski</t>
        </is>
      </c>
      <c r="D2279" s="58" t="inlineStr">
        <is>
          <t>Off-premise</t>
        </is>
      </c>
      <c r="E2279" s="53" t="n">
        <v>495</v>
      </c>
      <c r="F2279" s="53" t="n">
        <v>380</v>
      </c>
      <c r="G2279" s="55" t="n">
        <v>4384.04</v>
      </c>
      <c r="H2279" s="55" t="n">
        <v>3532.779999999999</v>
      </c>
      <c r="I2279" s="53" t="n">
        <v>289</v>
      </c>
      <c r="J2279" s="53" t="n">
        <v>181</v>
      </c>
      <c r="K2279" s="53" t="n">
        <v>109</v>
      </c>
      <c r="L2279" s="53" t="n">
        <v>69</v>
      </c>
      <c r="M2279" s="33">
        <f>F2279-E2279</f>
        <v/>
      </c>
      <c r="N2279" s="33">
        <f>L2279-K2279</f>
        <v/>
      </c>
    </row>
    <row r="2280">
      <c r="A2280" s="58" t="inlineStr">
        <is>
          <t>31007 Nizi Japanese</t>
        </is>
      </c>
      <c r="B2280" s="58" t="inlineStr">
        <is>
          <t>Bergen</t>
        </is>
      </c>
      <c r="C2280" s="58" t="inlineStr">
        <is>
          <t>Nick Melissari</t>
        </is>
      </c>
      <c r="D2280" s="58" t="inlineStr">
        <is>
          <t>On-premise</t>
        </is>
      </c>
      <c r="E2280" s="53" t="n">
        <v>50</v>
      </c>
      <c r="F2280" s="53" t="n">
        <v>0</v>
      </c>
      <c r="G2280" s="55" t="n">
        <v>403.35</v>
      </c>
      <c r="H2280" s="55" t="n">
        <v>0</v>
      </c>
      <c r="I2280" s="53" t="n">
        <v>0</v>
      </c>
      <c r="J2280" s="53" t="n">
        <v>0</v>
      </c>
      <c r="K2280" s="53" t="n">
        <v>40</v>
      </c>
      <c r="L2280" s="53" t="n">
        <v>0</v>
      </c>
      <c r="M2280" s="33">
        <f>F2280-E2280</f>
        <v/>
      </c>
      <c r="N2280" s="33">
        <f>L2280-K2280</f>
        <v/>
      </c>
    </row>
    <row r="2281">
      <c r="A2281" s="58" t="inlineStr">
        <is>
          <t>5001 River Place Food Store</t>
        </is>
      </c>
      <c r="B2281" s="58" t="inlineStr">
        <is>
          <t>Morris</t>
        </is>
      </c>
      <c r="C2281" s="58" t="inlineStr">
        <is>
          <t>Anthony Palmisano</t>
        </is>
      </c>
      <c r="D2281" s="58" t="inlineStr">
        <is>
          <t>Off-premise</t>
        </is>
      </c>
      <c r="E2281" s="53" t="n">
        <v>2839</v>
      </c>
      <c r="F2281" s="53" t="n">
        <v>2897</v>
      </c>
      <c r="G2281" s="55" t="n">
        <v>19163.65</v>
      </c>
      <c r="H2281" s="55" t="n">
        <v>20238.89</v>
      </c>
      <c r="I2281" s="53" t="n">
        <v>485</v>
      </c>
      <c r="J2281" s="53" t="n">
        <v>878</v>
      </c>
      <c r="K2281" s="53" t="n">
        <v>520</v>
      </c>
      <c r="L2281" s="53" t="n">
        <v>479</v>
      </c>
      <c r="M2281" s="33">
        <f>F2281-E2281</f>
        <v/>
      </c>
      <c r="N2281" s="33">
        <f>L2281-K2281</f>
        <v/>
      </c>
    </row>
    <row r="2282">
      <c r="A2282" s="58" t="inlineStr">
        <is>
          <t>20129 Main Discount (P) Liqs.</t>
        </is>
      </c>
      <c r="B2282" s="58" t="inlineStr">
        <is>
          <t>Passaic</t>
        </is>
      </c>
      <c r="C2282" s="58" t="inlineStr">
        <is>
          <t>Derrick Laws</t>
        </is>
      </c>
      <c r="D2282" s="58" t="inlineStr">
        <is>
          <t>Off-premise</t>
        </is>
      </c>
      <c r="E2282" s="53" t="n">
        <v>554</v>
      </c>
      <c r="F2282" s="53" t="n">
        <v>0</v>
      </c>
      <c r="G2282" s="55" t="n">
        <v>3950.54</v>
      </c>
      <c r="H2282" s="55" t="n">
        <v>0</v>
      </c>
      <c r="I2282" s="53" t="n">
        <v>170</v>
      </c>
      <c r="J2282" s="53" t="n">
        <v>0</v>
      </c>
      <c r="K2282" s="53" t="n">
        <v>41</v>
      </c>
      <c r="L2282" s="53" t="n">
        <v>0</v>
      </c>
      <c r="M2282" s="33">
        <f>F2282-E2282</f>
        <v/>
      </c>
      <c r="N2282" s="33">
        <f>L2282-K2282</f>
        <v/>
      </c>
    </row>
    <row r="2283">
      <c r="A2283" s="58" t="inlineStr">
        <is>
          <t>170030 International Liqs (P)</t>
        </is>
      </c>
      <c r="B2283" s="58" t="inlineStr">
        <is>
          <t>Hudson</t>
        </is>
      </c>
      <c r="C2283" s="58" t="inlineStr">
        <is>
          <t>Dylan Rubino</t>
        </is>
      </c>
      <c r="D2283" s="58" t="inlineStr">
        <is>
          <t>Off-premise</t>
        </is>
      </c>
      <c r="E2283" s="53" t="n">
        <v>115</v>
      </c>
      <c r="F2283" s="53" t="n">
        <v>74</v>
      </c>
      <c r="G2283" s="55" t="n">
        <v>747.28</v>
      </c>
      <c r="H2283" s="55" t="n">
        <v>455.09</v>
      </c>
      <c r="I2283" s="53" t="n">
        <v>427</v>
      </c>
      <c r="J2283" s="53" t="n">
        <v>240</v>
      </c>
      <c r="K2283" s="53" t="n">
        <v>115</v>
      </c>
      <c r="L2283" s="53" t="n">
        <v>74</v>
      </c>
      <c r="M2283" s="33">
        <f>F2283-E2283</f>
        <v/>
      </c>
      <c r="N2283" s="33">
        <f>L2283-K2283</f>
        <v/>
      </c>
    </row>
    <row r="2284">
      <c r="A2284" s="58" t="inlineStr">
        <is>
          <t>20055 Paruta's (A)</t>
        </is>
      </c>
      <c r="B2284" s="58" t="inlineStr">
        <is>
          <t>Passaic</t>
        </is>
      </c>
      <c r="C2284" s="58" t="inlineStr">
        <is>
          <t>Javier Melo</t>
        </is>
      </c>
      <c r="D2284" s="58" t="inlineStr">
        <is>
          <t>On-premise</t>
        </is>
      </c>
      <c r="E2284" s="53" t="n">
        <v>2768</v>
      </c>
      <c r="F2284" s="53" t="n">
        <v>2328</v>
      </c>
      <c r="G2284" s="55" t="n">
        <v>17716.29</v>
      </c>
      <c r="H2284" s="55" t="n">
        <v>15951.65</v>
      </c>
      <c r="I2284" s="53" t="n">
        <v>393</v>
      </c>
      <c r="J2284" s="53" t="n">
        <v>405</v>
      </c>
      <c r="K2284" s="53" t="n">
        <v>301</v>
      </c>
      <c r="L2284" s="53" t="n">
        <v>258</v>
      </c>
      <c r="M2284" s="33">
        <f>F2284-E2284</f>
        <v/>
      </c>
      <c r="N2284" s="33">
        <f>L2284-K2284</f>
        <v/>
      </c>
    </row>
    <row r="2285">
      <c r="A2285" s="58" t="inlineStr">
        <is>
          <t>230911 The Right Bottle</t>
        </is>
      </c>
      <c r="B2285" s="58" t="inlineStr">
        <is>
          <t>Sussex</t>
        </is>
      </c>
      <c r="C2285" s="58" t="inlineStr">
        <is>
          <t>Jayson Romine</t>
        </is>
      </c>
      <c r="D2285" s="58" t="inlineStr">
        <is>
          <t>Off-premise</t>
        </is>
      </c>
      <c r="E2285" s="53" t="n">
        <v>1844</v>
      </c>
      <c r="F2285" s="53" t="n">
        <v>1773</v>
      </c>
      <c r="G2285" s="55" t="n">
        <v>11061.69</v>
      </c>
      <c r="H2285" s="55" t="n">
        <v>10213.32</v>
      </c>
      <c r="I2285" s="53" t="n">
        <v>587</v>
      </c>
      <c r="J2285" s="53" t="n">
        <v>611</v>
      </c>
      <c r="K2285" s="53" t="n">
        <v>272</v>
      </c>
      <c r="L2285" s="53" t="n">
        <v>229</v>
      </c>
      <c r="M2285" s="33">
        <f>F2285-E2285</f>
        <v/>
      </c>
      <c r="N2285" s="33">
        <f>L2285-K2285</f>
        <v/>
      </c>
    </row>
    <row r="2286">
      <c r="A2286" s="58" t="inlineStr">
        <is>
          <t>231203 The George Inn</t>
        </is>
      </c>
      <c r="B2286" s="58" t="inlineStr">
        <is>
          <t>Sussex</t>
        </is>
      </c>
      <c r="C2286" s="58" t="inlineStr">
        <is>
          <t>Jayson Romine</t>
        </is>
      </c>
      <c r="D2286" s="58" t="inlineStr">
        <is>
          <t>Off-premise</t>
        </is>
      </c>
      <c r="E2286" s="53" t="n">
        <v>3349</v>
      </c>
      <c r="F2286" s="53" t="n">
        <v>3421</v>
      </c>
      <c r="G2286" s="55" t="n">
        <v>21323.5</v>
      </c>
      <c r="H2286" s="55" t="n">
        <v>22720.16</v>
      </c>
      <c r="I2286" s="53" t="n">
        <v>977</v>
      </c>
      <c r="J2286" s="53" t="n">
        <v>807</v>
      </c>
      <c r="K2286" s="53" t="n">
        <v>490</v>
      </c>
      <c r="L2286" s="53" t="n">
        <v>447</v>
      </c>
      <c r="M2286" s="33">
        <f>F2286-E2286</f>
        <v/>
      </c>
      <c r="N2286" s="33">
        <f>L2286-K2286</f>
        <v/>
      </c>
    </row>
    <row r="2287">
      <c r="A2287" s="58" t="inlineStr">
        <is>
          <t>78002 Super K Food (A) Store</t>
        </is>
      </c>
      <c r="B2287" s="58" t="inlineStr">
        <is>
          <t>Bergen</t>
        </is>
      </c>
      <c r="C2287" s="58" t="inlineStr">
        <is>
          <t>Alisa Acciardi</t>
        </is>
      </c>
      <c r="D2287" s="58" t="inlineStr">
        <is>
          <t>Off-premise</t>
        </is>
      </c>
      <c r="E2287" s="53" t="n">
        <v>800</v>
      </c>
      <c r="F2287" s="53" t="n">
        <v>629</v>
      </c>
      <c r="G2287" s="55" t="n">
        <v>4972.73</v>
      </c>
      <c r="H2287" s="55" t="n">
        <v>4089.66</v>
      </c>
      <c r="I2287" s="53" t="n">
        <v>24</v>
      </c>
      <c r="J2287" s="53" t="n">
        <v>38</v>
      </c>
      <c r="K2287" s="53" t="n">
        <v>104</v>
      </c>
      <c r="L2287" s="53" t="n">
        <v>59</v>
      </c>
      <c r="M2287" s="33">
        <f>F2287-E2287</f>
        <v/>
      </c>
      <c r="N2287" s="33">
        <f>L2287-K2287</f>
        <v/>
      </c>
    </row>
    <row r="2288">
      <c r="A2288" s="58" t="inlineStr">
        <is>
          <t>73001 Lou's</t>
        </is>
      </c>
      <c r="B2288" s="58" t="inlineStr">
        <is>
          <t>Bergen</t>
        </is>
      </c>
      <c r="C2288" s="58" t="inlineStr">
        <is>
          <t>Paul Mclaughlin</t>
        </is>
      </c>
      <c r="D2288" s="58" t="inlineStr">
        <is>
          <t>On-premise</t>
        </is>
      </c>
      <c r="E2288" s="53" t="n">
        <v>546</v>
      </c>
      <c r="F2288" s="53" t="n">
        <v>530</v>
      </c>
      <c r="G2288" s="55" t="n">
        <v>4010.630000000001</v>
      </c>
      <c r="H2288" s="55" t="n">
        <v>3866.26</v>
      </c>
      <c r="I2288" s="53" t="n">
        <v>231</v>
      </c>
      <c r="J2288" s="53" t="n">
        <v>218</v>
      </c>
      <c r="K2288" s="53" t="n">
        <v>45</v>
      </c>
      <c r="L2288" s="53" t="n">
        <v>0</v>
      </c>
      <c r="M2288" s="33">
        <f>F2288-E2288</f>
        <v/>
      </c>
      <c r="N2288" s="33">
        <f>L2288-K2288</f>
        <v/>
      </c>
    </row>
    <row r="2289">
      <c r="A2289" s="58" t="inlineStr">
        <is>
          <t>67008 Woori Mart</t>
        </is>
      </c>
      <c r="B2289" s="58" t="inlineStr">
        <is>
          <t>Bergen</t>
        </is>
      </c>
      <c r="C2289" s="58" t="inlineStr">
        <is>
          <t>Shane Barreca</t>
        </is>
      </c>
      <c r="D2289" s="58" t="inlineStr">
        <is>
          <t>Unmatched</t>
        </is>
      </c>
      <c r="E2289" s="53" t="n">
        <v>443</v>
      </c>
      <c r="F2289" s="53" t="n">
        <v>364</v>
      </c>
      <c r="G2289" s="55" t="n">
        <v>3190.03</v>
      </c>
      <c r="H2289" s="55" t="n">
        <v>2485.13</v>
      </c>
      <c r="I2289" s="53" t="n">
        <v>109</v>
      </c>
      <c r="J2289" s="53" t="n">
        <v>80</v>
      </c>
      <c r="K2289" s="53" t="n">
        <v>170</v>
      </c>
      <c r="L2289" s="53" t="n">
        <v>125</v>
      </c>
      <c r="M2289" s="33">
        <f>F2289-E2289</f>
        <v/>
      </c>
      <c r="N2289" s="33">
        <f>L2289-K2289</f>
        <v/>
      </c>
    </row>
    <row r="2290">
      <c r="A2290" s="58" t="inlineStr">
        <is>
          <t>38008 Shop Rite Liq.(A)Lodi</t>
        </is>
      </c>
      <c r="B2290" s="58" t="inlineStr">
        <is>
          <t>Bergen</t>
        </is>
      </c>
      <c r="C2290" s="58" t="inlineStr">
        <is>
          <t>Chris Payton</t>
        </is>
      </c>
      <c r="D2290" s="58" t="inlineStr">
        <is>
          <t>Off-premise</t>
        </is>
      </c>
      <c r="E2290" s="53" t="n">
        <v>2839</v>
      </c>
      <c r="F2290" s="53" t="n">
        <v>2723</v>
      </c>
      <c r="G2290" s="55" t="n">
        <v>19795.61</v>
      </c>
      <c r="H2290" s="55" t="n">
        <v>19569.67</v>
      </c>
      <c r="I2290" s="53" t="n">
        <v>745</v>
      </c>
      <c r="J2290" s="53" t="n">
        <v>587</v>
      </c>
      <c r="K2290" s="53" t="n">
        <v>464</v>
      </c>
      <c r="L2290" s="53" t="n">
        <v>418</v>
      </c>
      <c r="M2290" s="33">
        <f>F2290-E2290</f>
        <v/>
      </c>
      <c r="N2290" s="33">
        <f>L2290-K2290</f>
        <v/>
      </c>
    </row>
    <row r="2291">
      <c r="A2291" s="58" t="inlineStr">
        <is>
          <t>173032 Sparrows Wine &amp; Liq (P) (126 Hoboken)</t>
        </is>
      </c>
      <c r="B2291" s="58" t="inlineStr">
        <is>
          <t>Hudson</t>
        </is>
      </c>
      <c r="C2291" s="58" t="inlineStr">
        <is>
          <t>Jaime Colonna</t>
        </is>
      </c>
      <c r="D2291" s="58" t="inlineStr">
        <is>
          <t>Off-premise</t>
        </is>
      </c>
      <c r="E2291" s="53" t="n">
        <v>46</v>
      </c>
      <c r="F2291" s="53" t="n">
        <v>0</v>
      </c>
      <c r="G2291" s="55" t="n">
        <v>301.59</v>
      </c>
      <c r="H2291" s="55" t="n">
        <v>0</v>
      </c>
      <c r="I2291" s="53" t="n">
        <v>294</v>
      </c>
      <c r="J2291" s="53" t="n">
        <v>-12</v>
      </c>
      <c r="K2291" s="53" t="n">
        <v>46</v>
      </c>
      <c r="L2291" s="53" t="n">
        <v>0</v>
      </c>
      <c r="M2291" s="33">
        <f>F2291-E2291</f>
        <v/>
      </c>
      <c r="N2291" s="33">
        <f>L2291-K2291</f>
        <v/>
      </c>
    </row>
    <row r="2292">
      <c r="A2292" s="58" t="inlineStr">
        <is>
          <t>36016 King Liquors</t>
        </is>
      </c>
      <c r="B2292" s="58" t="inlineStr">
        <is>
          <t>Bergen</t>
        </is>
      </c>
      <c r="C2292" s="58" t="inlineStr">
        <is>
          <t>Matt Powierski</t>
        </is>
      </c>
      <c r="D2292" s="58" t="inlineStr">
        <is>
          <t>Off-premise</t>
        </is>
      </c>
      <c r="E2292" s="53" t="n">
        <v>1345</v>
      </c>
      <c r="F2292" s="53" t="n">
        <v>1193</v>
      </c>
      <c r="G2292" s="55" t="n">
        <v>8831.469999999999</v>
      </c>
      <c r="H2292" s="55" t="n">
        <v>7995.660000000002</v>
      </c>
      <c r="I2292" s="53" t="n">
        <v>288</v>
      </c>
      <c r="J2292" s="53" t="n">
        <v>249</v>
      </c>
      <c r="K2292" s="53" t="n">
        <v>220</v>
      </c>
      <c r="L2292" s="53" t="n">
        <v>173</v>
      </c>
      <c r="M2292" s="33">
        <f>F2292-E2292</f>
        <v/>
      </c>
      <c r="N2292" s="33">
        <f>L2292-K2292</f>
        <v/>
      </c>
    </row>
    <row r="2293">
      <c r="A2293" s="58" t="inlineStr">
        <is>
          <t>250024 Best Cellars (Summit)</t>
        </is>
      </c>
      <c r="B2293" s="58" t="inlineStr">
        <is>
          <t>Union</t>
        </is>
      </c>
      <c r="C2293" s="58" t="inlineStr">
        <is>
          <t>Andrew Lundy</t>
        </is>
      </c>
      <c r="D2293" s="58" t="inlineStr">
        <is>
          <t>Off-premise</t>
        </is>
      </c>
      <c r="E2293" s="53" t="n">
        <v>56</v>
      </c>
      <c r="F2293" s="53" t="n">
        <v>8</v>
      </c>
      <c r="G2293" s="55" t="n">
        <v>654.4400000000001</v>
      </c>
      <c r="H2293" s="55" t="n">
        <v>66.12</v>
      </c>
      <c r="I2293" s="53" t="n">
        <v>237</v>
      </c>
      <c r="J2293" s="53" t="n">
        <v>270</v>
      </c>
      <c r="K2293" s="53" t="n">
        <v>56</v>
      </c>
      <c r="L2293" s="53" t="n">
        <v>8</v>
      </c>
      <c r="M2293" s="33">
        <f>F2293-E2293</f>
        <v/>
      </c>
      <c r="N2293" s="33">
        <f>L2293-K2293</f>
        <v/>
      </c>
    </row>
    <row r="2294">
      <c r="A2294" s="58" t="inlineStr">
        <is>
          <t>170141 Surf City</t>
        </is>
      </c>
      <c r="B2294" s="58" t="inlineStr">
        <is>
          <t>Hudson</t>
        </is>
      </c>
      <c r="C2294" s="58" t="inlineStr">
        <is>
          <t>Jaime Colonna</t>
        </is>
      </c>
      <c r="D2294" s="58" t="inlineStr">
        <is>
          <t>On-premise</t>
        </is>
      </c>
      <c r="E2294" s="53" t="n">
        <v>172</v>
      </c>
      <c r="F2294" s="53" t="n">
        <v>124</v>
      </c>
      <c r="G2294" s="55" t="n">
        <v>981.25</v>
      </c>
      <c r="H2294" s="55" t="n">
        <v>706.5</v>
      </c>
      <c r="I2294" s="53" t="n">
        <v>155</v>
      </c>
      <c r="J2294" s="53" t="n">
        <v>247</v>
      </c>
      <c r="K2294" s="53" t="n">
        <v>172</v>
      </c>
      <c r="L2294" s="53" t="n">
        <v>124</v>
      </c>
      <c r="M2294" s="33">
        <f>F2294-E2294</f>
        <v/>
      </c>
      <c r="N2294" s="33">
        <f>L2294-K2294</f>
        <v/>
      </c>
    </row>
    <row r="2295">
      <c r="A2295" s="58" t="inlineStr">
        <is>
          <t>24020 US#1 Wine &amp; Liquor</t>
        </is>
      </c>
      <c r="B2295" s="58" t="inlineStr">
        <is>
          <t>Passaic</t>
        </is>
      </c>
      <c r="C2295" s="58" t="inlineStr">
        <is>
          <t>Jim Heaney</t>
        </is>
      </c>
      <c r="D2295" s="58" t="inlineStr">
        <is>
          <t>Off-premise</t>
        </is>
      </c>
      <c r="E2295" s="53" t="n">
        <v>2554</v>
      </c>
      <c r="F2295" s="53" t="n">
        <v>2546</v>
      </c>
      <c r="G2295" s="55" t="n">
        <v>16763.47</v>
      </c>
      <c r="H2295" s="55" t="n">
        <v>17060.97</v>
      </c>
      <c r="I2295" s="53" t="n">
        <v>470</v>
      </c>
      <c r="J2295" s="53" t="n">
        <v>384</v>
      </c>
      <c r="K2295" s="53" t="n">
        <v>434</v>
      </c>
      <c r="L2295" s="53" t="n">
        <v>386</v>
      </c>
      <c r="M2295" s="33">
        <f>F2295-E2295</f>
        <v/>
      </c>
      <c r="N2295" s="33">
        <f>L2295-K2295</f>
        <v/>
      </c>
    </row>
    <row r="2296">
      <c r="A2296" s="58" t="inlineStr">
        <is>
          <t>19008 Hawthorne Liq (A)</t>
        </is>
      </c>
      <c r="B2296" s="58" t="inlineStr">
        <is>
          <t>Passaic</t>
        </is>
      </c>
      <c r="C2296" s="58" t="inlineStr">
        <is>
          <t>Mike Ast</t>
        </is>
      </c>
      <c r="D2296" s="58" t="inlineStr">
        <is>
          <t>Off-premise</t>
        </is>
      </c>
      <c r="E2296" s="53" t="n">
        <v>1898</v>
      </c>
      <c r="F2296" s="53" t="n">
        <v>1548</v>
      </c>
      <c r="G2296" s="55" t="n">
        <v>13727.96</v>
      </c>
      <c r="H2296" s="55" t="n">
        <v>11475.05</v>
      </c>
      <c r="I2296" s="53" t="n">
        <v>822</v>
      </c>
      <c r="J2296" s="53" t="n">
        <v>703</v>
      </c>
      <c r="K2296" s="53" t="n">
        <v>244</v>
      </c>
      <c r="L2296" s="53" t="n">
        <v>196</v>
      </c>
      <c r="M2296" s="33">
        <f>F2296-E2296</f>
        <v/>
      </c>
      <c r="N2296" s="33">
        <f>L2296-K2296</f>
        <v/>
      </c>
    </row>
    <row r="2297">
      <c r="A2297" s="58" t="inlineStr">
        <is>
          <t>170004 Liquor Warehouse</t>
        </is>
      </c>
      <c r="B2297" s="58" t="inlineStr">
        <is>
          <t>Hudson</t>
        </is>
      </c>
      <c r="C2297" s="58" t="inlineStr">
        <is>
          <t>Alisa Acciardi</t>
        </is>
      </c>
      <c r="D2297" s="58" t="inlineStr">
        <is>
          <t>Off-premise</t>
        </is>
      </c>
      <c r="E2297" s="53" t="n">
        <v>76</v>
      </c>
      <c r="F2297" s="53" t="n">
        <v>25</v>
      </c>
      <c r="G2297" s="55" t="n">
        <v>516.3200000000001</v>
      </c>
      <c r="H2297" s="55" t="n">
        <v>144.16</v>
      </c>
      <c r="I2297" s="53" t="n">
        <v>38</v>
      </c>
      <c r="J2297" s="53" t="n">
        <v>26</v>
      </c>
      <c r="K2297" s="53" t="n">
        <v>76</v>
      </c>
      <c r="L2297" s="53" t="n">
        <v>25</v>
      </c>
      <c r="M2297" s="33">
        <f>F2297-E2297</f>
        <v/>
      </c>
      <c r="N2297" s="33">
        <f>L2297-K2297</f>
        <v/>
      </c>
    </row>
    <row r="2298">
      <c r="A2298" s="58" t="inlineStr">
        <is>
          <t>2002 Ringwood Discount Liquors</t>
        </is>
      </c>
      <c r="B2298" s="58" t="inlineStr">
        <is>
          <t>Passaic</t>
        </is>
      </c>
      <c r="C2298" s="58" t="inlineStr">
        <is>
          <t>Anthony Palmisano</t>
        </is>
      </c>
      <c r="D2298" s="58" t="inlineStr">
        <is>
          <t>Off-premise</t>
        </is>
      </c>
      <c r="E2298" s="53" t="n">
        <v>2113</v>
      </c>
      <c r="F2298" s="53" t="n">
        <v>1949</v>
      </c>
      <c r="G2298" s="55" t="n">
        <v>14028.65</v>
      </c>
      <c r="H2298" s="55" t="n">
        <v>13491.79</v>
      </c>
      <c r="I2298" s="53" t="n">
        <v>583</v>
      </c>
      <c r="J2298" s="53" t="n">
        <v>660</v>
      </c>
      <c r="K2298" s="53" t="n">
        <v>263</v>
      </c>
      <c r="L2298" s="53" t="n">
        <v>212</v>
      </c>
      <c r="M2298" s="33">
        <f>F2298-E2298</f>
        <v/>
      </c>
      <c r="N2298" s="33">
        <f>L2298-K2298</f>
        <v/>
      </c>
    </row>
    <row r="2299">
      <c r="A2299" s="58" t="inlineStr">
        <is>
          <t>230314 Liquor Factory V Andover</t>
        </is>
      </c>
      <c r="B2299" s="58" t="inlineStr">
        <is>
          <t>Sussex</t>
        </is>
      </c>
      <c r="C2299" s="58" t="inlineStr">
        <is>
          <t>Jayson Romine</t>
        </is>
      </c>
      <c r="D2299" s="58" t="inlineStr">
        <is>
          <t>Off-premise</t>
        </is>
      </c>
      <c r="E2299" s="53" t="n">
        <v>2781</v>
      </c>
      <c r="F2299" s="53" t="n">
        <v>3109</v>
      </c>
      <c r="G2299" s="55" t="n">
        <v>17464.3</v>
      </c>
      <c r="H2299" s="55" t="n">
        <v>19481.18</v>
      </c>
      <c r="I2299" s="53" t="n">
        <v>1044</v>
      </c>
      <c r="J2299" s="53" t="n">
        <v>1163</v>
      </c>
      <c r="K2299" s="53" t="n">
        <v>485</v>
      </c>
      <c r="L2299" s="53" t="n">
        <v>434</v>
      </c>
      <c r="M2299" s="33">
        <f>F2299-E2299</f>
        <v/>
      </c>
      <c r="N2299" s="33">
        <f>L2299-K2299</f>
        <v/>
      </c>
    </row>
    <row r="2300">
      <c r="A2300" s="58" t="inlineStr">
        <is>
          <t>77022 All Star Wine &amp; Liquor</t>
        </is>
      </c>
      <c r="B2300" s="58" t="inlineStr">
        <is>
          <t>Bergen</t>
        </is>
      </c>
      <c r="C2300" s="58" t="inlineStr">
        <is>
          <t>Matt Powierski</t>
        </is>
      </c>
      <c r="D2300" s="58" t="inlineStr">
        <is>
          <t>Off-premise</t>
        </is>
      </c>
      <c r="E2300" s="53" t="n">
        <v>2094</v>
      </c>
      <c r="F2300" s="53" t="n">
        <v>1961</v>
      </c>
      <c r="G2300" s="55" t="n">
        <v>13910.9</v>
      </c>
      <c r="H2300" s="55" t="n">
        <v>13238.27</v>
      </c>
      <c r="I2300" s="53" t="n">
        <v>319</v>
      </c>
      <c r="J2300" s="53" t="n">
        <v>375</v>
      </c>
      <c r="K2300" s="53" t="n">
        <v>272</v>
      </c>
      <c r="L2300" s="53" t="n">
        <v>220</v>
      </c>
      <c r="M2300" s="33">
        <f>F2300-E2300</f>
        <v/>
      </c>
      <c r="N2300" s="33">
        <f>L2300-K2300</f>
        <v/>
      </c>
    </row>
    <row r="2301">
      <c r="A2301" s="58" t="inlineStr">
        <is>
          <t>190012 Joe Canal's Disc Liq</t>
        </is>
      </c>
      <c r="B2301" s="58" t="inlineStr">
        <is>
          <t>Morris</t>
        </is>
      </c>
      <c r="C2301" s="58" t="inlineStr">
        <is>
          <t>John O'Donoghue</t>
        </is>
      </c>
      <c r="D2301" s="58" t="inlineStr">
        <is>
          <t>Unmatched</t>
        </is>
      </c>
      <c r="E2301" s="53" t="n">
        <v>63</v>
      </c>
      <c r="F2301" s="53" t="n">
        <v>10</v>
      </c>
      <c r="G2301" s="55" t="n">
        <v>518.17</v>
      </c>
      <c r="H2301" s="55" t="n">
        <v>70.58</v>
      </c>
      <c r="I2301" s="53" t="n">
        <v>323</v>
      </c>
      <c r="J2301" s="53" t="n">
        <v>294</v>
      </c>
      <c r="K2301" s="53" t="n">
        <v>63</v>
      </c>
      <c r="L2301" s="53" t="n">
        <v>10</v>
      </c>
      <c r="M2301" s="33">
        <f>F2301-E2301</f>
        <v/>
      </c>
      <c r="N2301" s="33">
        <f>L2301-K2301</f>
        <v/>
      </c>
    </row>
    <row r="2302">
      <c r="A2302" s="58" t="inlineStr">
        <is>
          <t>231805 Meloi Liquors</t>
        </is>
      </c>
      <c r="B2302" s="58" t="inlineStr">
        <is>
          <t>Sussex</t>
        </is>
      </c>
      <c r="C2302" s="58" t="inlineStr">
        <is>
          <t>Anthony Palmisano</t>
        </is>
      </c>
      <c r="D2302" s="58" t="inlineStr">
        <is>
          <t>Off-premise</t>
        </is>
      </c>
      <c r="E2302" s="53" t="n">
        <v>897</v>
      </c>
      <c r="F2302" s="53" t="n">
        <v>653</v>
      </c>
      <c r="G2302" s="55" t="n">
        <v>6542.67</v>
      </c>
      <c r="H2302" s="55" t="n">
        <v>4776.43</v>
      </c>
      <c r="I2302" s="53" t="n">
        <v>425</v>
      </c>
      <c r="J2302" s="53" t="n">
        <v>305</v>
      </c>
      <c r="K2302" s="53" t="n">
        <v>153</v>
      </c>
      <c r="L2302" s="53" t="n">
        <v>99</v>
      </c>
      <c r="M2302" s="33">
        <f>F2302-E2302</f>
        <v/>
      </c>
      <c r="N2302" s="33">
        <f>L2302-K2302</f>
        <v/>
      </c>
    </row>
    <row r="2303">
      <c r="A2303" s="58" t="inlineStr">
        <is>
          <t>5006 Roserne Pkg Store South</t>
        </is>
      </c>
      <c r="B2303" s="58" t="inlineStr">
        <is>
          <t>Morris</t>
        </is>
      </c>
      <c r="C2303" s="58" t="inlineStr">
        <is>
          <t>Anthony Palmisano</t>
        </is>
      </c>
      <c r="D2303" s="58" t="inlineStr">
        <is>
          <t>Off-premise</t>
        </is>
      </c>
      <c r="E2303" s="53" t="n">
        <v>2480</v>
      </c>
      <c r="F2303" s="53" t="n">
        <v>1945</v>
      </c>
      <c r="G2303" s="55" t="n">
        <v>17314.93</v>
      </c>
      <c r="H2303" s="55" t="n">
        <v>13546.49</v>
      </c>
      <c r="I2303" s="53" t="n">
        <v>991</v>
      </c>
      <c r="J2303" s="53" t="n">
        <v>819</v>
      </c>
      <c r="K2303" s="53" t="n">
        <v>457</v>
      </c>
      <c r="L2303" s="53" t="n">
        <v>403</v>
      </c>
      <c r="M2303" s="33">
        <f>F2303-E2303</f>
        <v/>
      </c>
      <c r="N2303" s="33">
        <f>L2303-K2303</f>
        <v/>
      </c>
    </row>
    <row r="2304">
      <c r="A2304" s="58" t="inlineStr">
        <is>
          <t>15004 Blackjack Mulligan's Public House</t>
        </is>
      </c>
      <c r="B2304" s="58" t="inlineStr">
        <is>
          <t>Passaic</t>
        </is>
      </c>
      <c r="C2304" s="58" t="inlineStr">
        <is>
          <t>Allison Scott</t>
        </is>
      </c>
      <c r="D2304" s="58" t="inlineStr">
        <is>
          <t>On-premise</t>
        </is>
      </c>
      <c r="E2304" s="53" t="n">
        <v>631</v>
      </c>
      <c r="F2304" s="53" t="n">
        <v>555</v>
      </c>
      <c r="G2304" s="55" t="n">
        <v>4743.74</v>
      </c>
      <c r="H2304" s="55" t="n">
        <v>4161.88</v>
      </c>
      <c r="I2304" s="53" t="n">
        <v>104</v>
      </c>
      <c r="J2304" s="53" t="n">
        <v>83</v>
      </c>
      <c r="K2304" s="53" t="n">
        <v>68</v>
      </c>
      <c r="L2304" s="53" t="n">
        <v>13</v>
      </c>
      <c r="M2304" s="33">
        <f>F2304-E2304</f>
        <v/>
      </c>
      <c r="N2304" s="33">
        <f>L2304-K2304</f>
        <v/>
      </c>
    </row>
    <row r="2305">
      <c r="A2305" s="58" t="inlineStr">
        <is>
          <t>59001 ORA</t>
        </is>
      </c>
      <c r="B2305" s="58" t="inlineStr">
        <is>
          <t>Bergen</t>
        </is>
      </c>
      <c r="C2305" s="58" t="inlineStr">
        <is>
          <t>Paul Mclaughlin</t>
        </is>
      </c>
      <c r="D2305" s="58" t="inlineStr">
        <is>
          <t>Unmatched</t>
        </is>
      </c>
      <c r="E2305" s="53" t="n">
        <v>106</v>
      </c>
      <c r="F2305" s="53" t="n">
        <v>58</v>
      </c>
      <c r="G2305" s="55" t="n">
        <v>1023.45</v>
      </c>
      <c r="H2305" s="55" t="n">
        <v>444.22</v>
      </c>
      <c r="I2305" s="53" t="n">
        <v>34</v>
      </c>
      <c r="J2305" s="53" t="n">
        <v>11</v>
      </c>
      <c r="K2305" s="53" t="n">
        <v>96</v>
      </c>
      <c r="L2305" s="53" t="n">
        <v>41</v>
      </c>
      <c r="M2305" s="33">
        <f>F2305-E2305</f>
        <v/>
      </c>
      <c r="N2305" s="33">
        <f>L2305-K2305</f>
        <v/>
      </c>
    </row>
    <row r="2306">
      <c r="A2306" s="58" t="inlineStr">
        <is>
          <t>27070 Saritas Mexican Rest(A)</t>
        </is>
      </c>
      <c r="B2306" s="58" t="inlineStr">
        <is>
          <t>Passaic</t>
        </is>
      </c>
      <c r="C2306" s="58" t="inlineStr">
        <is>
          <t>Pablo Lopez</t>
        </is>
      </c>
      <c r="D2306" s="58" t="inlineStr">
        <is>
          <t>On-premise</t>
        </is>
      </c>
      <c r="E2306" s="53" t="n">
        <v>901</v>
      </c>
      <c r="F2306" s="53" t="n">
        <v>886</v>
      </c>
      <c r="G2306" s="55" t="n">
        <v>6505.75</v>
      </c>
      <c r="H2306" s="55" t="n">
        <v>6824.620000000001</v>
      </c>
      <c r="I2306" s="53" t="n">
        <v>18</v>
      </c>
      <c r="J2306" s="53" t="n">
        <v>13</v>
      </c>
      <c r="K2306" s="53" t="n">
        <v>185</v>
      </c>
      <c r="L2306" s="53" t="n">
        <v>129</v>
      </c>
      <c r="M2306" s="33">
        <f>F2306-E2306</f>
        <v/>
      </c>
      <c r="N2306" s="33">
        <f>L2306-K2306</f>
        <v/>
      </c>
    </row>
    <row r="2307">
      <c r="A2307" s="58" t="inlineStr">
        <is>
          <t>2003 Ringwood W&amp;L</t>
        </is>
      </c>
      <c r="B2307" s="58" t="inlineStr">
        <is>
          <t>Passaic</t>
        </is>
      </c>
      <c r="C2307" s="58" t="inlineStr">
        <is>
          <t>Anthony Palmisano</t>
        </is>
      </c>
      <c r="D2307" s="58" t="inlineStr">
        <is>
          <t>Off-premise</t>
        </is>
      </c>
      <c r="E2307" s="53" t="n">
        <v>3234</v>
      </c>
      <c r="F2307" s="53" t="n">
        <v>2944</v>
      </c>
      <c r="G2307" s="55" t="n">
        <v>21320.35</v>
      </c>
      <c r="H2307" s="55" t="n">
        <v>19965.94</v>
      </c>
      <c r="I2307" s="53" t="n">
        <v>1683</v>
      </c>
      <c r="J2307" s="53" t="n">
        <v>1525</v>
      </c>
      <c r="K2307" s="53" t="n">
        <v>540</v>
      </c>
      <c r="L2307" s="53" t="n">
        <v>483</v>
      </c>
      <c r="M2307" s="33">
        <f>F2307-E2307</f>
        <v/>
      </c>
      <c r="N2307" s="33">
        <f>L2307-K2307</f>
        <v/>
      </c>
    </row>
    <row r="2308">
      <c r="A2308" s="58" t="inlineStr">
        <is>
          <t>190207 Liquor Outlet</t>
        </is>
      </c>
      <c r="B2308" s="58" t="inlineStr">
        <is>
          <t>Morris</t>
        </is>
      </c>
      <c r="C2308" s="58" t="inlineStr">
        <is>
          <t>Klejdi Lamo</t>
        </is>
      </c>
      <c r="D2308" s="58" t="inlineStr">
        <is>
          <t>Off-premise</t>
        </is>
      </c>
      <c r="E2308" s="53" t="n">
        <v>11163</v>
      </c>
      <c r="F2308" s="53" t="n">
        <v>10164</v>
      </c>
      <c r="G2308" s="55" t="n">
        <v>69366.62000000001</v>
      </c>
      <c r="H2308" s="55" t="n">
        <v>65284.64999999999</v>
      </c>
      <c r="I2308" s="53" t="n">
        <v>5428</v>
      </c>
      <c r="J2308" s="53" t="n">
        <v>4861</v>
      </c>
      <c r="K2308" s="53" t="n">
        <v>2154</v>
      </c>
      <c r="L2308" s="53" t="n">
        <v>2097</v>
      </c>
      <c r="M2308" s="33">
        <f>F2308-E2308</f>
        <v/>
      </c>
      <c r="N2308" s="33">
        <f>L2308-K2308</f>
        <v/>
      </c>
    </row>
    <row r="2309">
      <c r="A2309" s="58" t="inlineStr">
        <is>
          <t>230412 USA Wine Traders Club Of Newton (A)</t>
        </is>
      </c>
      <c r="B2309" s="58" t="inlineStr">
        <is>
          <t>Sussex</t>
        </is>
      </c>
      <c r="C2309" s="58" t="inlineStr">
        <is>
          <t>Jayson Romine</t>
        </is>
      </c>
      <c r="D2309" s="58" t="inlineStr">
        <is>
          <t>Off-premise</t>
        </is>
      </c>
      <c r="E2309" s="53" t="n">
        <v>7959</v>
      </c>
      <c r="F2309" s="53" t="n">
        <v>6813</v>
      </c>
      <c r="G2309" s="55" t="n">
        <v>48832.32</v>
      </c>
      <c r="H2309" s="55" t="n">
        <v>42018.12</v>
      </c>
      <c r="I2309" s="53" t="n">
        <v>3389</v>
      </c>
      <c r="J2309" s="53" t="n">
        <v>3406</v>
      </c>
      <c r="K2309" s="53" t="n">
        <v>1436</v>
      </c>
      <c r="L2309" s="53" t="n">
        <v>1377</v>
      </c>
      <c r="M2309" s="33">
        <f>F2309-E2309</f>
        <v/>
      </c>
      <c r="N2309" s="33">
        <f>L2309-K2309</f>
        <v/>
      </c>
    </row>
    <row r="2310">
      <c r="A2310" s="58" t="inlineStr">
        <is>
          <t>11011 Sunset Pub &amp; Grill(Z)</t>
        </is>
      </c>
      <c r="B2310" s="58" t="inlineStr">
        <is>
          <t>Morris</t>
        </is>
      </c>
      <c r="C2310" s="58" t="inlineStr">
        <is>
          <t>Allison Scott</t>
        </is>
      </c>
      <c r="D2310" s="58" t="inlineStr">
        <is>
          <t>On-premise</t>
        </is>
      </c>
      <c r="E2310" s="53" t="n">
        <v>604</v>
      </c>
      <c r="F2310" s="53" t="n">
        <v>609</v>
      </c>
      <c r="G2310" s="55" t="n">
        <v>4577.699999999999</v>
      </c>
      <c r="H2310" s="55" t="n">
        <v>4676.5</v>
      </c>
      <c r="I2310" s="53" t="n">
        <v>358</v>
      </c>
      <c r="J2310" s="53" t="n">
        <v>237</v>
      </c>
      <c r="K2310" s="53" t="n">
        <v>141</v>
      </c>
      <c r="L2310" s="53" t="n">
        <v>81</v>
      </c>
      <c r="M2310" s="33">
        <f>F2310-E2310</f>
        <v/>
      </c>
      <c r="N2310" s="33">
        <f>L2310-K2310</f>
        <v/>
      </c>
    </row>
    <row r="2311">
      <c r="A2311" s="58" t="inlineStr">
        <is>
          <t>44006 Garden St. Wine &amp; Liquor</t>
        </is>
      </c>
      <c r="B2311" s="58" t="inlineStr">
        <is>
          <t>Bergen</t>
        </is>
      </c>
      <c r="C2311" s="58" t="inlineStr">
        <is>
          <t>Dan Lagala</t>
        </is>
      </c>
      <c r="D2311" s="58" t="inlineStr">
        <is>
          <t>Off-premise</t>
        </is>
      </c>
      <c r="E2311" s="53" t="n">
        <v>574</v>
      </c>
      <c r="F2311" s="53" t="n">
        <v>0</v>
      </c>
      <c r="G2311" s="55" t="n">
        <v>3854.12</v>
      </c>
      <c r="H2311" s="55" t="n">
        <v>0</v>
      </c>
      <c r="I2311" s="53" t="n">
        <v>61</v>
      </c>
      <c r="J2311" s="53" t="n">
        <v>0</v>
      </c>
      <c r="K2311" s="53" t="n">
        <v>60</v>
      </c>
      <c r="L2311" s="53" t="n">
        <v>0</v>
      </c>
      <c r="M2311" s="33">
        <f>F2311-E2311</f>
        <v/>
      </c>
      <c r="N2311" s="33">
        <f>L2311-K2311</f>
        <v/>
      </c>
    </row>
    <row r="2312">
      <c r="A2312" s="58" t="inlineStr">
        <is>
          <t>191510 Lola's Restaurant</t>
        </is>
      </c>
      <c r="B2312" s="58" t="inlineStr">
        <is>
          <t>Sussex</t>
        </is>
      </c>
      <c r="C2312" s="58" t="inlineStr">
        <is>
          <t>Brian Sengebush</t>
        </is>
      </c>
      <c r="D2312" s="58" t="inlineStr">
        <is>
          <t>On-premise</t>
        </is>
      </c>
      <c r="E2312" s="53" t="n">
        <v>593</v>
      </c>
      <c r="F2312" s="53" t="n">
        <v>450</v>
      </c>
      <c r="G2312" s="55" t="n">
        <v>4872.74</v>
      </c>
      <c r="H2312" s="55" t="n">
        <v>3791.93</v>
      </c>
      <c r="I2312" s="53" t="n">
        <v>58</v>
      </c>
      <c r="J2312" s="53" t="n">
        <v>57</v>
      </c>
      <c r="K2312" s="53" t="n">
        <v>165</v>
      </c>
      <c r="L2312" s="53" t="n">
        <v>103</v>
      </c>
      <c r="M2312" s="33">
        <f>F2312-E2312</f>
        <v/>
      </c>
      <c r="N2312" s="33">
        <f>L2312-K2312</f>
        <v/>
      </c>
    </row>
    <row r="2313">
      <c r="A2313" s="58" t="inlineStr">
        <is>
          <t>49041 WOOGA</t>
        </is>
      </c>
      <c r="B2313" s="58" t="inlineStr">
        <is>
          <t>Bergen</t>
        </is>
      </c>
      <c r="C2313" s="58" t="inlineStr">
        <is>
          <t>Dan Lagala</t>
        </is>
      </c>
      <c r="D2313" s="58" t="inlineStr">
        <is>
          <t>On-premise</t>
        </is>
      </c>
      <c r="E2313" s="53" t="n">
        <v>72</v>
      </c>
      <c r="F2313" s="53" t="n">
        <v>0</v>
      </c>
      <c r="G2313" s="55" t="n">
        <v>423.64</v>
      </c>
      <c r="H2313" s="55" t="n">
        <v>0</v>
      </c>
      <c r="I2313" s="53" t="n">
        <v>0</v>
      </c>
      <c r="J2313" s="53" t="n">
        <v>10</v>
      </c>
      <c r="K2313" s="53" t="n">
        <v>62</v>
      </c>
      <c r="L2313" s="53" t="n">
        <v>0</v>
      </c>
      <c r="M2313" s="33">
        <f>F2313-E2313</f>
        <v/>
      </c>
      <c r="N2313" s="33">
        <f>L2313-K2313</f>
        <v/>
      </c>
    </row>
    <row r="2314">
      <c r="A2314" s="58" t="inlineStr">
        <is>
          <t>21045 Dorta Liquor (A)</t>
        </is>
      </c>
      <c r="B2314" s="58" t="inlineStr">
        <is>
          <t>Passaic</t>
        </is>
      </c>
      <c r="C2314" s="58" t="inlineStr">
        <is>
          <t>Derrick Laws</t>
        </is>
      </c>
      <c r="D2314" s="58" t="inlineStr">
        <is>
          <t>Off-premise</t>
        </is>
      </c>
      <c r="E2314" s="53" t="n">
        <v>3440</v>
      </c>
      <c r="F2314" s="53" t="n">
        <v>3353</v>
      </c>
      <c r="G2314" s="55" t="n">
        <v>23791.05</v>
      </c>
      <c r="H2314" s="55" t="n">
        <v>23326.04</v>
      </c>
      <c r="I2314" s="53" t="n">
        <v>336</v>
      </c>
      <c r="J2314" s="53" t="n">
        <v>283</v>
      </c>
      <c r="K2314" s="53" t="n">
        <v>362</v>
      </c>
      <c r="L2314" s="53" t="n">
        <v>299</v>
      </c>
      <c r="M2314" s="33">
        <f>F2314-E2314</f>
        <v/>
      </c>
      <c r="N2314" s="33">
        <f>L2314-K2314</f>
        <v/>
      </c>
    </row>
    <row r="2315">
      <c r="A2315" s="58" t="inlineStr">
        <is>
          <t>52015 Shop Rite Liq (A)Englewd</t>
        </is>
      </c>
      <c r="B2315" s="58" t="inlineStr">
        <is>
          <t>Bergen</t>
        </is>
      </c>
      <c r="C2315" s="58" t="inlineStr">
        <is>
          <t>Dave Ehlers</t>
        </is>
      </c>
      <c r="D2315" s="58" t="inlineStr">
        <is>
          <t>Off-premise</t>
        </is>
      </c>
      <c r="E2315" s="53" t="n">
        <v>11206</v>
      </c>
      <c r="F2315" s="53" t="n">
        <v>10856</v>
      </c>
      <c r="G2315" s="55" t="n">
        <v>76344.2</v>
      </c>
      <c r="H2315" s="55" t="n">
        <v>77227.39</v>
      </c>
      <c r="I2315" s="53" t="n">
        <v>2269</v>
      </c>
      <c r="J2315" s="53" t="n">
        <v>1981</v>
      </c>
      <c r="K2315" s="53" t="n">
        <v>1449</v>
      </c>
      <c r="L2315" s="53" t="n">
        <v>1385</v>
      </c>
      <c r="M2315" s="33">
        <f>F2315-E2315</f>
        <v/>
      </c>
      <c r="N2315" s="33">
        <f>L2315-K2315</f>
        <v/>
      </c>
    </row>
    <row r="2316">
      <c r="A2316" s="58" t="inlineStr">
        <is>
          <t>6004 Kinnelon Country Wine &amp; Liquor</t>
        </is>
      </c>
      <c r="B2316" s="58" t="inlineStr">
        <is>
          <t>Morris</t>
        </is>
      </c>
      <c r="C2316" s="58" t="inlineStr">
        <is>
          <t>Michael Harboy</t>
        </is>
      </c>
      <c r="D2316" s="58" t="inlineStr">
        <is>
          <t>Off-premise</t>
        </is>
      </c>
      <c r="E2316" s="53" t="n">
        <v>1120</v>
      </c>
      <c r="F2316" s="53" t="n">
        <v>462</v>
      </c>
      <c r="G2316" s="55" t="n">
        <v>7664.029999999998</v>
      </c>
      <c r="H2316" s="55" t="n">
        <v>3265.3</v>
      </c>
      <c r="I2316" s="53" t="n">
        <v>247</v>
      </c>
      <c r="J2316" s="53" t="n">
        <v>114</v>
      </c>
      <c r="K2316" s="53" t="n">
        <v>163</v>
      </c>
      <c r="L2316" s="53" t="n">
        <v>98</v>
      </c>
      <c r="M2316" s="33">
        <f>F2316-E2316</f>
        <v/>
      </c>
      <c r="N2316" s="33">
        <f>L2316-K2316</f>
        <v/>
      </c>
    </row>
    <row r="2317">
      <c r="A2317" s="58" t="inlineStr">
        <is>
          <t>6002 Roserne Liquors North</t>
        </is>
      </c>
      <c r="B2317" s="58" t="inlineStr">
        <is>
          <t>Morris</t>
        </is>
      </c>
      <c r="C2317" s="58" t="inlineStr">
        <is>
          <t>Anthony Palmisano</t>
        </is>
      </c>
      <c r="D2317" s="58" t="inlineStr">
        <is>
          <t>Off-premise</t>
        </is>
      </c>
      <c r="E2317" s="53" t="n">
        <v>2730</v>
      </c>
      <c r="F2317" s="53" t="n">
        <v>2093</v>
      </c>
      <c r="G2317" s="55" t="n">
        <v>19534.71</v>
      </c>
      <c r="H2317" s="55" t="n">
        <v>14535.55</v>
      </c>
      <c r="I2317" s="53" t="n">
        <v>674</v>
      </c>
      <c r="J2317" s="53" t="n">
        <v>445</v>
      </c>
      <c r="K2317" s="53" t="n">
        <v>393</v>
      </c>
      <c r="L2317" s="53" t="n">
        <v>324</v>
      </c>
      <c r="M2317" s="33">
        <f>F2317-E2317</f>
        <v/>
      </c>
      <c r="N2317" s="33">
        <f>L2317-K2317</f>
        <v/>
      </c>
    </row>
    <row r="2318">
      <c r="A2318" s="58" t="inlineStr">
        <is>
          <t>17011 Nico's Wine &amp; Spirits</t>
        </is>
      </c>
      <c r="B2318" s="58" t="inlineStr">
        <is>
          <t>Passaic</t>
        </is>
      </c>
      <c r="C2318" s="58" t="inlineStr">
        <is>
          <t>Mike Ast</t>
        </is>
      </c>
      <c r="D2318" s="58" t="inlineStr">
        <is>
          <t>Off-premise</t>
        </is>
      </c>
      <c r="E2318" s="53" t="n">
        <v>5078</v>
      </c>
      <c r="F2318" s="53" t="n">
        <v>4601</v>
      </c>
      <c r="G2318" s="55" t="n">
        <v>34490.72</v>
      </c>
      <c r="H2318" s="55" t="n">
        <v>32516.49000000001</v>
      </c>
      <c r="I2318" s="53" t="n">
        <v>692</v>
      </c>
      <c r="J2318" s="53" t="n">
        <v>656</v>
      </c>
      <c r="K2318" s="53" t="n">
        <v>641</v>
      </c>
      <c r="L2318" s="53" t="n">
        <v>572</v>
      </c>
      <c r="M2318" s="33">
        <f>F2318-E2318</f>
        <v/>
      </c>
      <c r="N2318" s="33">
        <f>L2318-K2318</f>
        <v/>
      </c>
    </row>
    <row r="2319">
      <c r="A2319" s="58" t="inlineStr">
        <is>
          <t>8008 Shoppers Disc(A)Pompton</t>
        </is>
      </c>
      <c r="B2319" s="58" t="inlineStr">
        <is>
          <t>Passaic</t>
        </is>
      </c>
      <c r="C2319" s="58" t="inlineStr">
        <is>
          <t>Anthony Palmisano</t>
        </is>
      </c>
      <c r="D2319" s="58" t="inlineStr">
        <is>
          <t>Off-premise</t>
        </is>
      </c>
      <c r="E2319" s="53" t="n">
        <v>2199</v>
      </c>
      <c r="F2319" s="53" t="n">
        <v>1788</v>
      </c>
      <c r="G2319" s="55" t="n">
        <v>14201.17</v>
      </c>
      <c r="H2319" s="55" t="n">
        <v>12037.92</v>
      </c>
      <c r="I2319" s="53" t="n">
        <v>1191</v>
      </c>
      <c r="J2319" s="53" t="n">
        <v>1155</v>
      </c>
      <c r="K2319" s="53" t="n">
        <v>382</v>
      </c>
      <c r="L2319" s="53" t="n">
        <v>311</v>
      </c>
      <c r="M2319" s="33">
        <f>F2319-E2319</f>
        <v/>
      </c>
      <c r="N2319" s="33">
        <f>L2319-K2319</f>
        <v/>
      </c>
    </row>
    <row r="2320">
      <c r="A2320" s="58" t="inlineStr">
        <is>
          <t>1031 Highland Wine&amp;Liquor Inc</t>
        </is>
      </c>
      <c r="B2320" s="58" t="inlineStr">
        <is>
          <t>Passaic</t>
        </is>
      </c>
      <c r="C2320" s="58" t="inlineStr">
        <is>
          <t>Anthony Palmisano</t>
        </is>
      </c>
      <c r="D2320" s="58" t="inlineStr">
        <is>
          <t>Off-premise</t>
        </is>
      </c>
      <c r="E2320" s="53" t="n">
        <v>4151</v>
      </c>
      <c r="F2320" s="53" t="n">
        <v>4099</v>
      </c>
      <c r="G2320" s="55" t="n">
        <v>23724.85</v>
      </c>
      <c r="H2320" s="55" t="n">
        <v>22927.34</v>
      </c>
      <c r="I2320" s="53" t="n">
        <v>1408</v>
      </c>
      <c r="J2320" s="53" t="n">
        <v>1581</v>
      </c>
      <c r="K2320" s="53" t="n">
        <v>698</v>
      </c>
      <c r="L2320" s="53" t="n">
        <v>626</v>
      </c>
      <c r="M2320" s="33">
        <f>F2320-E2320</f>
        <v/>
      </c>
      <c r="N2320" s="33">
        <f>L2320-K2320</f>
        <v/>
      </c>
    </row>
    <row r="2321">
      <c r="A2321" s="58" t="inlineStr">
        <is>
          <t>41005 George's Liq</t>
        </is>
      </c>
      <c r="B2321" s="58" t="inlineStr">
        <is>
          <t>Bergen</t>
        </is>
      </c>
      <c r="C2321" s="58" t="inlineStr">
        <is>
          <t>Dave Ehlers</t>
        </is>
      </c>
      <c r="D2321" s="58" t="inlineStr">
        <is>
          <t>Off-premise</t>
        </is>
      </c>
      <c r="E2321" s="53" t="n">
        <v>3104</v>
      </c>
      <c r="F2321" s="53" t="n">
        <v>2645</v>
      </c>
      <c r="G2321" s="55" t="n">
        <v>19690.72</v>
      </c>
      <c r="H2321" s="55" t="n">
        <v>17081.32</v>
      </c>
      <c r="I2321" s="53" t="n">
        <v>449</v>
      </c>
      <c r="J2321" s="53" t="n">
        <v>377</v>
      </c>
      <c r="K2321" s="53" t="n">
        <v>583</v>
      </c>
      <c r="L2321" s="53" t="n">
        <v>510</v>
      </c>
      <c r="M2321" s="33">
        <f>F2321-E2321</f>
        <v/>
      </c>
      <c r="N2321" s="33">
        <f>L2321-K2321</f>
        <v/>
      </c>
    </row>
    <row r="2322">
      <c r="A2322" s="58" t="inlineStr">
        <is>
          <t>170125 Hudson Vine (A)</t>
        </is>
      </c>
      <c r="B2322" s="58" t="inlineStr">
        <is>
          <t>Hudson</t>
        </is>
      </c>
      <c r="C2322" s="58" t="inlineStr">
        <is>
          <t>Jaime Colonna</t>
        </is>
      </c>
      <c r="D2322" s="58" t="inlineStr">
        <is>
          <t>Off-premise</t>
        </is>
      </c>
      <c r="E2322" s="53" t="n">
        <v>157</v>
      </c>
      <c r="F2322" s="53" t="n">
        <v>84</v>
      </c>
      <c r="G2322" s="55" t="n">
        <v>931.3</v>
      </c>
      <c r="H2322" s="55" t="n">
        <v>491.89</v>
      </c>
      <c r="I2322" s="53" t="n">
        <v>118</v>
      </c>
      <c r="J2322" s="53" t="n">
        <v>125</v>
      </c>
      <c r="K2322" s="53" t="n">
        <v>157</v>
      </c>
      <c r="L2322" s="53" t="n">
        <v>84</v>
      </c>
      <c r="M2322" s="33">
        <f>F2322-E2322</f>
        <v/>
      </c>
      <c r="N2322" s="33">
        <f>L2322-K2322</f>
        <v/>
      </c>
    </row>
    <row r="2323">
      <c r="A2323" s="58" t="inlineStr">
        <is>
          <t>230427 ShopRite Wine &amp; Spirits of Newton#830</t>
        </is>
      </c>
      <c r="B2323" s="58" t="inlineStr">
        <is>
          <t>Sussex</t>
        </is>
      </c>
      <c r="C2323" s="58" t="inlineStr">
        <is>
          <t>Jayson Romine</t>
        </is>
      </c>
      <c r="D2323" s="58" t="inlineStr">
        <is>
          <t>Off-premise</t>
        </is>
      </c>
      <c r="E2323" s="53" t="n">
        <v>6035</v>
      </c>
      <c r="F2323" s="53" t="n">
        <v>5242</v>
      </c>
      <c r="G2323" s="55" t="n">
        <v>37280.06</v>
      </c>
      <c r="H2323" s="55" t="n">
        <v>32323.51</v>
      </c>
      <c r="I2323" s="53" t="n">
        <v>2491</v>
      </c>
      <c r="J2323" s="53" t="n">
        <v>2316</v>
      </c>
      <c r="K2323" s="53" t="n">
        <v>991</v>
      </c>
      <c r="L2323" s="53" t="n">
        <v>917</v>
      </c>
      <c r="M2323" s="33">
        <f>F2323-E2323</f>
        <v/>
      </c>
      <c r="N2323" s="33">
        <f>L2323-K2323</f>
        <v/>
      </c>
    </row>
    <row r="2324">
      <c r="A2324" s="58" t="inlineStr">
        <is>
          <t>80041 PRIME WINE CELLAR Liquor &amp; Beer</t>
        </is>
      </c>
      <c r="B2324" s="58" t="inlineStr">
        <is>
          <t>Bergen</t>
        </is>
      </c>
      <c r="C2324" s="58" t="inlineStr">
        <is>
          <t>Phil Ernst</t>
        </is>
      </c>
      <c r="D2324" s="58" t="inlineStr">
        <is>
          <t>Unmatched</t>
        </is>
      </c>
      <c r="E2324" s="53" t="n">
        <v>1995</v>
      </c>
      <c r="F2324" s="53" t="n">
        <v>1795</v>
      </c>
      <c r="G2324" s="55" t="n">
        <v>13647.17</v>
      </c>
      <c r="H2324" s="55" t="n">
        <v>12817.43</v>
      </c>
      <c r="I2324" s="53" t="n">
        <v>647</v>
      </c>
      <c r="J2324" s="53" t="n">
        <v>651</v>
      </c>
      <c r="K2324" s="53" t="n">
        <v>447</v>
      </c>
      <c r="L2324" s="53" t="n">
        <v>373</v>
      </c>
      <c r="M2324" s="33">
        <f>F2324-E2324</f>
        <v/>
      </c>
      <c r="N2324" s="33">
        <f>L2324-K2324</f>
        <v/>
      </c>
    </row>
    <row r="2325">
      <c r="A2325" s="58" t="inlineStr">
        <is>
          <t>29010 Paradise Liquors</t>
        </is>
      </c>
      <c r="B2325" s="58" t="inlineStr">
        <is>
          <t>Bergen</t>
        </is>
      </c>
      <c r="C2325" s="58" t="inlineStr">
        <is>
          <t>Alisa Acciardi</t>
        </is>
      </c>
      <c r="D2325" s="58" t="inlineStr">
        <is>
          <t>Off-premise</t>
        </is>
      </c>
      <c r="E2325" s="53" t="n">
        <v>664</v>
      </c>
      <c r="F2325" s="53" t="n">
        <v>461</v>
      </c>
      <c r="G2325" s="55" t="n">
        <v>4742.499999999999</v>
      </c>
      <c r="H2325" s="55" t="n">
        <v>3360.13</v>
      </c>
      <c r="I2325" s="53" t="n">
        <v>104</v>
      </c>
      <c r="J2325" s="53" t="n">
        <v>128</v>
      </c>
      <c r="K2325" s="53" t="n">
        <v>148</v>
      </c>
      <c r="L2325" s="53" t="n">
        <v>73</v>
      </c>
      <c r="M2325" s="33">
        <f>F2325-E2325</f>
        <v/>
      </c>
      <c r="N2325" s="33">
        <f>L2325-K2325</f>
        <v/>
      </c>
    </row>
    <row r="2326">
      <c r="A2326" s="58" t="inlineStr">
        <is>
          <t>46008 Bella Wine &amp; Liquor</t>
        </is>
      </c>
      <c r="B2326" s="58" t="inlineStr">
        <is>
          <t>Bergen</t>
        </is>
      </c>
      <c r="C2326" s="58" t="inlineStr">
        <is>
          <t>Dan Lagala</t>
        </is>
      </c>
      <c r="D2326" s="58" t="inlineStr">
        <is>
          <t>Off-premise</t>
        </is>
      </c>
      <c r="E2326" s="53" t="n">
        <v>936</v>
      </c>
      <c r="F2326" s="53" t="n">
        <v>0</v>
      </c>
      <c r="G2326" s="55" t="n">
        <v>6491.18</v>
      </c>
      <c r="H2326" s="55" t="n">
        <v>0</v>
      </c>
      <c r="I2326" s="53" t="n">
        <v>60</v>
      </c>
      <c r="J2326" s="53" t="n">
        <v>0</v>
      </c>
      <c r="K2326" s="53" t="n">
        <v>77</v>
      </c>
      <c r="L2326" s="53" t="n">
        <v>0</v>
      </c>
      <c r="M2326" s="33">
        <f>F2326-E2326</f>
        <v/>
      </c>
      <c r="N2326" s="33">
        <f>L2326-K2326</f>
        <v/>
      </c>
    </row>
    <row r="2327">
      <c r="A2327" s="58" t="inlineStr">
        <is>
          <t>20130 412 Lounge &amp; Latin Bar</t>
        </is>
      </c>
      <c r="B2327" s="58" t="inlineStr">
        <is>
          <t>Passaic</t>
        </is>
      </c>
      <c r="C2327" s="58" t="inlineStr">
        <is>
          <t>Pablo Lopez</t>
        </is>
      </c>
      <c r="D2327" s="58" t="inlineStr">
        <is>
          <t>Unmatched</t>
        </is>
      </c>
      <c r="E2327" s="53" t="n">
        <v>883</v>
      </c>
      <c r="F2327" s="53" t="n">
        <v>447</v>
      </c>
      <c r="G2327" s="55" t="n">
        <v>5956.339999999999</v>
      </c>
      <c r="H2327" s="55" t="n">
        <v>2997.52</v>
      </c>
      <c r="I2327" s="53" t="n">
        <v>0</v>
      </c>
      <c r="J2327" s="53" t="n">
        <v>0</v>
      </c>
      <c r="K2327" s="53" t="n">
        <v>160</v>
      </c>
      <c r="L2327" s="53" t="n">
        <v>80</v>
      </c>
      <c r="M2327" s="33">
        <f>F2327-E2327</f>
        <v/>
      </c>
      <c r="N2327" s="33">
        <f>L2327-K2327</f>
        <v/>
      </c>
    </row>
    <row r="2328">
      <c r="A2328" s="58" t="inlineStr">
        <is>
          <t>80005 Shop Rite Liq (Paramus)</t>
        </is>
      </c>
      <c r="B2328" s="58" t="inlineStr">
        <is>
          <t>Bergen</t>
        </is>
      </c>
      <c r="C2328" s="58" t="inlineStr">
        <is>
          <t>Phil Ernst</t>
        </is>
      </c>
      <c r="D2328" s="58" t="inlineStr">
        <is>
          <t>Off-premise</t>
        </is>
      </c>
      <c r="E2328" s="53" t="n">
        <v>4221</v>
      </c>
      <c r="F2328" s="53" t="n">
        <v>3598</v>
      </c>
      <c r="G2328" s="55" t="n">
        <v>27378.36</v>
      </c>
      <c r="H2328" s="55" t="n">
        <v>24290.24</v>
      </c>
      <c r="I2328" s="53" t="n">
        <v>1413</v>
      </c>
      <c r="J2328" s="53" t="n">
        <v>1314</v>
      </c>
      <c r="K2328" s="53" t="n">
        <v>567</v>
      </c>
      <c r="L2328" s="53" t="n">
        <v>483</v>
      </c>
      <c r="M2328" s="33">
        <f>F2328-E2328</f>
        <v/>
      </c>
      <c r="N2328" s="33">
        <f>L2328-K2328</f>
        <v/>
      </c>
    </row>
    <row r="2329">
      <c r="A2329" s="58" t="inlineStr">
        <is>
          <t>89002 Allendale Bar &amp; Grill</t>
        </is>
      </c>
      <c r="B2329" s="58" t="inlineStr">
        <is>
          <t>Bergen</t>
        </is>
      </c>
      <c r="C2329" s="58" t="inlineStr">
        <is>
          <t>Nick Melissari</t>
        </is>
      </c>
      <c r="D2329" s="58" t="inlineStr">
        <is>
          <t>On-premise</t>
        </is>
      </c>
      <c r="E2329" s="53" t="n">
        <v>459</v>
      </c>
      <c r="F2329" s="53" t="n">
        <v>365</v>
      </c>
      <c r="G2329" s="55" t="n">
        <v>3204.63</v>
      </c>
      <c r="H2329" s="55" t="n">
        <v>2873.62</v>
      </c>
      <c r="I2329" s="53" t="n">
        <v>368</v>
      </c>
      <c r="J2329" s="53" t="n">
        <v>386</v>
      </c>
      <c r="K2329" s="53" t="n">
        <v>110</v>
      </c>
      <c r="L2329" s="53" t="n">
        <v>23</v>
      </c>
      <c r="M2329" s="33">
        <f>F2329-E2329</f>
        <v/>
      </c>
      <c r="N2329" s="33">
        <f>L2329-K2329</f>
        <v/>
      </c>
    </row>
    <row r="2330">
      <c r="A2330" s="58" t="inlineStr">
        <is>
          <t>20079 Limestone Liquors (A)</t>
        </is>
      </c>
      <c r="B2330" s="58" t="inlineStr">
        <is>
          <t>Passaic</t>
        </is>
      </c>
      <c r="C2330" s="58" t="inlineStr">
        <is>
          <t>Derrick Laws</t>
        </is>
      </c>
      <c r="D2330" s="58" t="inlineStr">
        <is>
          <t>Off-premise</t>
        </is>
      </c>
      <c r="E2330" s="53" t="n">
        <v>4658</v>
      </c>
      <c r="F2330" s="53" t="n">
        <v>4170</v>
      </c>
      <c r="G2330" s="55" t="n">
        <v>31016.03</v>
      </c>
      <c r="H2330" s="55" t="n">
        <v>28435.4</v>
      </c>
      <c r="I2330" s="53" t="n">
        <v>377</v>
      </c>
      <c r="J2330" s="53" t="n">
        <v>272</v>
      </c>
      <c r="K2330" s="53" t="n">
        <v>517</v>
      </c>
      <c r="L2330" s="53" t="n">
        <v>427</v>
      </c>
      <c r="M2330" s="33">
        <f>F2330-E2330</f>
        <v/>
      </c>
      <c r="N2330" s="33">
        <f>L2330-K2330</f>
        <v/>
      </c>
    </row>
    <row r="2331">
      <c r="A2331" s="58" t="inlineStr">
        <is>
          <t>171014 Giannone Wines &amp; Liq.(P)</t>
        </is>
      </c>
      <c r="B2331" s="58" t="inlineStr">
        <is>
          <t>Hudson</t>
        </is>
      </c>
      <c r="C2331" s="58" t="inlineStr">
        <is>
          <t>Jaime Colonna</t>
        </is>
      </c>
      <c r="D2331" s="58" t="inlineStr">
        <is>
          <t>Off-premise</t>
        </is>
      </c>
      <c r="E2331" s="53" t="n">
        <v>92</v>
      </c>
      <c r="F2331" s="53" t="n">
        <v>0</v>
      </c>
      <c r="G2331" s="55" t="n">
        <v>619</v>
      </c>
      <c r="H2331" s="55" t="n">
        <v>0</v>
      </c>
      <c r="I2331" s="53" t="n">
        <v>669</v>
      </c>
      <c r="J2331" s="53" t="n">
        <v>0</v>
      </c>
      <c r="K2331" s="53" t="n">
        <v>92</v>
      </c>
      <c r="L2331" s="53" t="n">
        <v>0</v>
      </c>
      <c r="M2331" s="33">
        <f>F2331-E2331</f>
        <v/>
      </c>
      <c r="N2331" s="33">
        <f>L2331-K2331</f>
        <v/>
      </c>
    </row>
    <row r="2332">
      <c r="A2332" s="58" t="inlineStr">
        <is>
          <t>34009 The Wine Rack Hasbrouck Hts</t>
        </is>
      </c>
      <c r="B2332" s="58" t="inlineStr">
        <is>
          <t>Bergen</t>
        </is>
      </c>
      <c r="C2332" s="58" t="inlineStr">
        <is>
          <t>Chris Payton</t>
        </is>
      </c>
      <c r="D2332" s="58" t="inlineStr">
        <is>
          <t>Off-premise</t>
        </is>
      </c>
      <c r="E2332" s="53" t="n">
        <v>1168</v>
      </c>
      <c r="F2332" s="53" t="n">
        <v>595</v>
      </c>
      <c r="G2332" s="55" t="n">
        <v>8165.549999999999</v>
      </c>
      <c r="H2332" s="55" t="n">
        <v>4338.4</v>
      </c>
      <c r="I2332" s="53" t="n">
        <v>445</v>
      </c>
      <c r="J2332" s="53" t="n">
        <v>277</v>
      </c>
      <c r="K2332" s="53" t="n">
        <v>243</v>
      </c>
      <c r="L2332" s="53" t="n">
        <v>143</v>
      </c>
      <c r="M2332" s="33">
        <f>F2332-E2332</f>
        <v/>
      </c>
      <c r="N2332" s="33">
        <f>L2332-K2332</f>
        <v/>
      </c>
    </row>
    <row r="2333">
      <c r="A2333" s="58" t="inlineStr">
        <is>
          <t>93009 Scherer &amp; Company</t>
        </is>
      </c>
      <c r="B2333" s="58" t="inlineStr">
        <is>
          <t>Bergen</t>
        </is>
      </c>
      <c r="C2333" s="58" t="inlineStr">
        <is>
          <t>Mike Ast</t>
        </is>
      </c>
      <c r="D2333" s="58" t="inlineStr">
        <is>
          <t>Off-premise</t>
        </is>
      </c>
      <c r="E2333" s="53" t="n">
        <v>1392</v>
      </c>
      <c r="F2333" s="53" t="n">
        <v>1370</v>
      </c>
      <c r="G2333" s="55" t="n">
        <v>9482.42</v>
      </c>
      <c r="H2333" s="55" t="n">
        <v>9211.110000000001</v>
      </c>
      <c r="I2333" s="53" t="n">
        <v>542</v>
      </c>
      <c r="J2333" s="53" t="n">
        <v>511</v>
      </c>
      <c r="K2333" s="53" t="n">
        <v>275</v>
      </c>
      <c r="L2333" s="53" t="n">
        <v>173</v>
      </c>
      <c r="M2333" s="33">
        <f>F2333-E2333</f>
        <v/>
      </c>
      <c r="N2333" s="33">
        <f>L2333-K2333</f>
        <v/>
      </c>
    </row>
    <row r="2334">
      <c r="A2334" s="58" t="inlineStr">
        <is>
          <t>18001 Grand Opening Liq (A)_2</t>
        </is>
      </c>
      <c r="B2334" s="58" t="inlineStr">
        <is>
          <t>Passaic</t>
        </is>
      </c>
      <c r="C2334" s="58" t="inlineStr">
        <is>
          <t>Mike Ast</t>
        </is>
      </c>
      <c r="D2334" s="58" t="inlineStr">
        <is>
          <t>Off-premise</t>
        </is>
      </c>
      <c r="E2334" s="53" t="n">
        <v>2941</v>
      </c>
      <c r="F2334" s="53" t="n">
        <v>2688</v>
      </c>
      <c r="G2334" s="55" t="n">
        <v>20261.63</v>
      </c>
      <c r="H2334" s="55" t="n">
        <v>19153.37</v>
      </c>
      <c r="I2334" s="53" t="n">
        <v>1517</v>
      </c>
      <c r="J2334" s="53" t="n">
        <v>1623</v>
      </c>
      <c r="K2334" s="53" t="n">
        <v>586</v>
      </c>
      <c r="L2334" s="53" t="n">
        <v>482</v>
      </c>
      <c r="M2334" s="33">
        <f>F2334-E2334</f>
        <v/>
      </c>
      <c r="N2334" s="33">
        <f>L2334-K2334</f>
        <v/>
      </c>
    </row>
    <row r="2335">
      <c r="A2335" s="58" t="inlineStr">
        <is>
          <t>92008 Ramsey Wine &amp; Liquor</t>
        </is>
      </c>
      <c r="B2335" s="58" t="inlineStr">
        <is>
          <t>Bergen</t>
        </is>
      </c>
      <c r="C2335" s="58" t="inlineStr">
        <is>
          <t>Shane Barreca</t>
        </is>
      </c>
      <c r="D2335" s="58" t="inlineStr">
        <is>
          <t>Off-premise</t>
        </is>
      </c>
      <c r="E2335" s="53" t="n">
        <v>9882</v>
      </c>
      <c r="F2335" s="53" t="n">
        <v>8964</v>
      </c>
      <c r="G2335" s="55" t="n">
        <v>61880.14</v>
      </c>
      <c r="H2335" s="55" t="n">
        <v>58664.09999999999</v>
      </c>
      <c r="I2335" s="53" t="n">
        <v>2924</v>
      </c>
      <c r="J2335" s="53" t="n">
        <v>2508</v>
      </c>
      <c r="K2335" s="53" t="n">
        <v>1749</v>
      </c>
      <c r="L2335" s="53" t="n">
        <v>1645</v>
      </c>
      <c r="M2335" s="33">
        <f>F2335-E2335</f>
        <v/>
      </c>
      <c r="N2335" s="33">
        <f>L2335-K2335</f>
        <v/>
      </c>
    </row>
    <row r="2336">
      <c r="A2336" s="58" t="inlineStr">
        <is>
          <t>230114 Liquor Factory III Sparta</t>
        </is>
      </c>
      <c r="B2336" s="58" t="inlineStr">
        <is>
          <t>Sussex</t>
        </is>
      </c>
      <c r="C2336" s="58" t="inlineStr">
        <is>
          <t>Jayson Romine</t>
        </is>
      </c>
      <c r="D2336" s="58" t="inlineStr">
        <is>
          <t>Off-premise</t>
        </is>
      </c>
      <c r="E2336" s="53" t="n">
        <v>5728</v>
      </c>
      <c r="F2336" s="53" t="n">
        <v>5150</v>
      </c>
      <c r="G2336" s="55" t="n">
        <v>36539.10999999999</v>
      </c>
      <c r="H2336" s="55" t="n">
        <v>33570.61</v>
      </c>
      <c r="I2336" s="53" t="n">
        <v>3038</v>
      </c>
      <c r="J2336" s="53" t="n">
        <v>3445</v>
      </c>
      <c r="K2336" s="53" t="n">
        <v>1107</v>
      </c>
      <c r="L2336" s="53" t="n">
        <v>997</v>
      </c>
      <c r="M2336" s="33">
        <f>F2336-E2336</f>
        <v/>
      </c>
      <c r="N2336" s="33">
        <f>L2336-K2336</f>
        <v/>
      </c>
    </row>
    <row r="2337">
      <c r="A2337" s="58" t="inlineStr">
        <is>
          <t>20080 Raphael &amp; Angel Liq (A)</t>
        </is>
      </c>
      <c r="B2337" s="58" t="inlineStr">
        <is>
          <t>Passaic</t>
        </is>
      </c>
      <c r="C2337" s="58" t="inlineStr">
        <is>
          <t>Derrick Laws</t>
        </is>
      </c>
      <c r="D2337" s="58" t="inlineStr">
        <is>
          <t>Off-premise</t>
        </is>
      </c>
      <c r="E2337" s="53" t="n">
        <v>4000</v>
      </c>
      <c r="F2337" s="53" t="n">
        <v>3996</v>
      </c>
      <c r="G2337" s="55" t="n">
        <v>24918.93</v>
      </c>
      <c r="H2337" s="55" t="n">
        <v>25950.34</v>
      </c>
      <c r="I2337" s="53" t="n">
        <v>388</v>
      </c>
      <c r="J2337" s="53" t="n">
        <v>453</v>
      </c>
      <c r="K2337" s="53" t="n">
        <v>690</v>
      </c>
      <c r="L2337" s="53" t="n">
        <v>577</v>
      </c>
      <c r="M2337" s="33">
        <f>F2337-E2337</f>
        <v/>
      </c>
      <c r="N2337" s="33">
        <f>L2337-K2337</f>
        <v/>
      </c>
    </row>
    <row r="2338">
      <c r="A2338" s="58" t="inlineStr">
        <is>
          <t>15030 EL BOHEMIO 2 LIQUOR STORE &amp; BAR</t>
        </is>
      </c>
      <c r="B2338" s="58" t="inlineStr">
        <is>
          <t>Passaic</t>
        </is>
      </c>
      <c r="C2338" s="58" t="inlineStr">
        <is>
          <t>Pablo Lopez</t>
        </is>
      </c>
      <c r="D2338" s="58" t="inlineStr">
        <is>
          <t>Off-premise</t>
        </is>
      </c>
      <c r="E2338" s="53" t="n">
        <v>2464</v>
      </c>
      <c r="F2338" s="53" t="n">
        <v>1255</v>
      </c>
      <c r="G2338" s="55" t="n">
        <v>15946.79</v>
      </c>
      <c r="H2338" s="55" t="n">
        <v>8831.539999999999</v>
      </c>
      <c r="I2338" s="53" t="n">
        <v>118</v>
      </c>
      <c r="J2338" s="53" t="n">
        <v>118</v>
      </c>
      <c r="K2338" s="53" t="n">
        <v>140</v>
      </c>
      <c r="L2338" s="53" t="n">
        <v>20</v>
      </c>
      <c r="M2338" s="33">
        <f>F2338-E2338</f>
        <v/>
      </c>
      <c r="N2338" s="33">
        <f>L2338-K2338</f>
        <v/>
      </c>
    </row>
    <row r="2339">
      <c r="A2339" s="58" t="inlineStr">
        <is>
          <t>20027 230 Liq &amp; Groc.(A)</t>
        </is>
      </c>
      <c r="B2339" s="58" t="inlineStr">
        <is>
          <t>Passaic</t>
        </is>
      </c>
      <c r="C2339" s="58" t="inlineStr">
        <is>
          <t>Derrick Laws</t>
        </is>
      </c>
      <c r="D2339" s="58" t="inlineStr">
        <is>
          <t>Off-premise</t>
        </is>
      </c>
      <c r="E2339" s="53" t="n">
        <v>3828</v>
      </c>
      <c r="F2339" s="53" t="n">
        <v>2859</v>
      </c>
      <c r="G2339" s="55" t="n">
        <v>26989.17</v>
      </c>
      <c r="H2339" s="55" t="n">
        <v>20271.03</v>
      </c>
      <c r="I2339" s="53" t="n">
        <v>426</v>
      </c>
      <c r="J2339" s="53" t="n">
        <v>329</v>
      </c>
      <c r="K2339" s="53" t="n">
        <v>365</v>
      </c>
      <c r="L2339" s="53" t="n">
        <v>243</v>
      </c>
      <c r="M2339" s="33">
        <f>F2339-E2339</f>
        <v/>
      </c>
      <c r="N2339" s="33">
        <f>L2339-K2339</f>
        <v/>
      </c>
    </row>
    <row r="2340">
      <c r="A2340" s="58" t="inlineStr">
        <is>
          <t>8009 Appio's Liquors</t>
        </is>
      </c>
      <c r="B2340" s="58" t="inlineStr">
        <is>
          <t>Passaic</t>
        </is>
      </c>
      <c r="C2340" s="58" t="inlineStr">
        <is>
          <t>Anthony Palmisano</t>
        </is>
      </c>
      <c r="D2340" s="58" t="inlineStr">
        <is>
          <t>Off-premise</t>
        </is>
      </c>
      <c r="E2340" s="53" t="n">
        <v>2601</v>
      </c>
      <c r="F2340" s="53" t="n">
        <v>2423</v>
      </c>
      <c r="G2340" s="55" t="n">
        <v>16735.09</v>
      </c>
      <c r="H2340" s="55" t="n">
        <v>16428.88</v>
      </c>
      <c r="I2340" s="53" t="n">
        <v>446</v>
      </c>
      <c r="J2340" s="53" t="n">
        <v>482</v>
      </c>
      <c r="K2340" s="53" t="n">
        <v>469</v>
      </c>
      <c r="L2340" s="53" t="n">
        <v>344</v>
      </c>
      <c r="M2340" s="33">
        <f>F2340-E2340</f>
        <v/>
      </c>
      <c r="N2340" s="33">
        <f>L2340-K2340</f>
        <v/>
      </c>
    </row>
    <row r="2341">
      <c r="A2341" s="58" t="inlineStr">
        <is>
          <t>20022 Caraballo's</t>
        </is>
      </c>
      <c r="B2341" s="58" t="inlineStr">
        <is>
          <t>Passaic</t>
        </is>
      </c>
      <c r="C2341" s="58" t="inlineStr">
        <is>
          <t>Pablo Lopez</t>
        </is>
      </c>
      <c r="D2341" s="58" t="inlineStr">
        <is>
          <t>Off-premise</t>
        </is>
      </c>
      <c r="E2341" s="53" t="n">
        <v>5789</v>
      </c>
      <c r="F2341" s="53" t="n">
        <v>6419</v>
      </c>
      <c r="G2341" s="55" t="n">
        <v>39048.65</v>
      </c>
      <c r="H2341" s="55" t="n">
        <v>47518.84</v>
      </c>
      <c r="I2341" s="53" t="n">
        <v>359</v>
      </c>
      <c r="J2341" s="53" t="n">
        <v>195</v>
      </c>
      <c r="K2341" s="53" t="n">
        <v>515</v>
      </c>
      <c r="L2341" s="53" t="n">
        <v>390</v>
      </c>
      <c r="M2341" s="33">
        <f>F2341-E2341</f>
        <v/>
      </c>
      <c r="N2341" s="33">
        <f>L2341-K2341</f>
        <v/>
      </c>
    </row>
    <row r="2342">
      <c r="A2342" s="58" t="inlineStr">
        <is>
          <t>25010 Stew Leonard's Wines &amp; Spirits of Clifton</t>
        </is>
      </c>
      <c r="B2342" s="58" t="inlineStr">
        <is>
          <t>Passaic</t>
        </is>
      </c>
      <c r="C2342" s="58" t="inlineStr">
        <is>
          <t>Phil Ernst</t>
        </is>
      </c>
      <c r="D2342" s="58" t="inlineStr">
        <is>
          <t>Off-premise</t>
        </is>
      </c>
      <c r="E2342" s="53" t="n">
        <v>3336</v>
      </c>
      <c r="F2342" s="53" t="n">
        <v>2467</v>
      </c>
      <c r="G2342" s="55" t="n">
        <v>25213.89</v>
      </c>
      <c r="H2342" s="55" t="n">
        <v>18264.35</v>
      </c>
      <c r="I2342" s="53" t="n">
        <v>2021</v>
      </c>
      <c r="J2342" s="53" t="n">
        <v>1391</v>
      </c>
      <c r="K2342" s="53" t="n">
        <v>552</v>
      </c>
      <c r="L2342" s="53" t="n">
        <v>422</v>
      </c>
      <c r="M2342" s="33">
        <f>F2342-E2342</f>
        <v/>
      </c>
      <c r="N2342" s="33">
        <f>L2342-K2342</f>
        <v/>
      </c>
    </row>
    <row r="2343">
      <c r="A2343" s="58" t="inlineStr">
        <is>
          <t>31008 Metro Wine And Liq(A)</t>
        </is>
      </c>
      <c r="B2343" s="58" t="inlineStr">
        <is>
          <t>Bergen</t>
        </is>
      </c>
      <c r="C2343" s="58" t="inlineStr">
        <is>
          <t>Matt Powierski</t>
        </is>
      </c>
      <c r="D2343" s="58" t="inlineStr">
        <is>
          <t>Off-premise</t>
        </is>
      </c>
      <c r="E2343" s="53" t="n">
        <v>1934</v>
      </c>
      <c r="F2343" s="53" t="n">
        <v>1584</v>
      </c>
      <c r="G2343" s="55" t="n">
        <v>12751.3</v>
      </c>
      <c r="H2343" s="55" t="n">
        <v>10925.55</v>
      </c>
      <c r="I2343" s="53" t="n">
        <v>680</v>
      </c>
      <c r="J2343" s="53" t="n">
        <v>700</v>
      </c>
      <c r="K2343" s="53" t="n">
        <v>546</v>
      </c>
      <c r="L2343" s="53" t="n">
        <v>413</v>
      </c>
      <c r="M2343" s="33">
        <f>F2343-E2343</f>
        <v/>
      </c>
      <c r="N2343" s="33">
        <f>L2343-K2343</f>
        <v/>
      </c>
    </row>
    <row r="2344">
      <c r="A2344" s="58" t="inlineStr">
        <is>
          <t>27059 D'bar Liquors (P)</t>
        </is>
      </c>
      <c r="B2344" s="58" t="inlineStr">
        <is>
          <t>Passaic</t>
        </is>
      </c>
      <c r="C2344" s="58" t="inlineStr">
        <is>
          <t>Javier Melo</t>
        </is>
      </c>
      <c r="D2344" s="58" t="inlineStr">
        <is>
          <t>Off-premise</t>
        </is>
      </c>
      <c r="E2344" s="53" t="n">
        <v>2963</v>
      </c>
      <c r="F2344" s="53" t="n">
        <v>2570</v>
      </c>
      <c r="G2344" s="55" t="n">
        <v>19918.29</v>
      </c>
      <c r="H2344" s="55" t="n">
        <v>17759.56</v>
      </c>
      <c r="I2344" s="53" t="n">
        <v>59</v>
      </c>
      <c r="J2344" s="53" t="n">
        <v>130</v>
      </c>
      <c r="K2344" s="53" t="n">
        <v>393</v>
      </c>
      <c r="L2344" s="53" t="n">
        <v>259</v>
      </c>
      <c r="M2344" s="33">
        <f>F2344-E2344</f>
        <v/>
      </c>
      <c r="N2344" s="33">
        <f>L2344-K2344</f>
        <v/>
      </c>
    </row>
    <row r="2345">
      <c r="A2345" s="58" t="inlineStr">
        <is>
          <t>27043 Monroe Wine &amp; Liq(P)</t>
        </is>
      </c>
      <c r="B2345" s="58" t="inlineStr">
        <is>
          <t>Passaic</t>
        </is>
      </c>
      <c r="C2345" s="58" t="inlineStr">
        <is>
          <t>Pablo Lopez</t>
        </is>
      </c>
      <c r="D2345" s="58" t="inlineStr">
        <is>
          <t>Off-premise</t>
        </is>
      </c>
      <c r="E2345" s="53" t="n">
        <v>4877</v>
      </c>
      <c r="F2345" s="53" t="n">
        <v>4409</v>
      </c>
      <c r="G2345" s="55" t="n">
        <v>32210.76</v>
      </c>
      <c r="H2345" s="55" t="n">
        <v>29001.53</v>
      </c>
      <c r="I2345" s="53" t="n">
        <v>633</v>
      </c>
      <c r="J2345" s="53" t="n">
        <v>566</v>
      </c>
      <c r="K2345" s="53" t="n">
        <v>1118</v>
      </c>
      <c r="L2345" s="53" t="n">
        <v>981</v>
      </c>
      <c r="M2345" s="33">
        <f>F2345-E2345</f>
        <v/>
      </c>
      <c r="N2345" s="33">
        <f>L2345-K2345</f>
        <v/>
      </c>
    </row>
    <row r="2346">
      <c r="A2346" s="58" t="inlineStr">
        <is>
          <t>15012 Pal's Liquor</t>
        </is>
      </c>
      <c r="B2346" s="58" t="inlineStr">
        <is>
          <t>Passaic</t>
        </is>
      </c>
      <c r="C2346" s="58" t="inlineStr">
        <is>
          <t>Derrick Laws</t>
        </is>
      </c>
      <c r="D2346" s="58" t="inlineStr">
        <is>
          <t>Off-premise</t>
        </is>
      </c>
      <c r="E2346" s="53" t="n">
        <v>5445</v>
      </c>
      <c r="F2346" s="53" t="n">
        <v>4640</v>
      </c>
      <c r="G2346" s="55" t="n">
        <v>36254.42</v>
      </c>
      <c r="H2346" s="55" t="n">
        <v>31706.26</v>
      </c>
      <c r="I2346" s="53" t="n">
        <v>334</v>
      </c>
      <c r="J2346" s="53" t="n">
        <v>279</v>
      </c>
      <c r="K2346" s="53" t="n">
        <v>650</v>
      </c>
      <c r="L2346" s="53" t="n">
        <v>511</v>
      </c>
      <c r="M2346" s="33">
        <f>F2346-E2346</f>
        <v/>
      </c>
      <c r="N2346" s="33">
        <f>L2346-K2346</f>
        <v/>
      </c>
    </row>
    <row r="2347">
      <c r="A2347" s="58" t="inlineStr">
        <is>
          <t>24015 Allwood Liquor Store</t>
        </is>
      </c>
      <c r="B2347" s="58" t="inlineStr">
        <is>
          <t>Passaic</t>
        </is>
      </c>
      <c r="C2347" s="58" t="inlineStr">
        <is>
          <t>Jim Heaney</t>
        </is>
      </c>
      <c r="D2347" s="58" t="inlineStr">
        <is>
          <t>Off-premise</t>
        </is>
      </c>
      <c r="E2347" s="53" t="n">
        <v>1190</v>
      </c>
      <c r="F2347" s="53" t="n">
        <v>0</v>
      </c>
      <c r="G2347" s="55" t="n">
        <v>7709.1</v>
      </c>
      <c r="H2347" s="55" t="n">
        <v>0</v>
      </c>
      <c r="I2347" s="53" t="n">
        <v>155</v>
      </c>
      <c r="J2347" s="53" t="n">
        <v>0</v>
      </c>
      <c r="K2347" s="53" t="n">
        <v>140</v>
      </c>
      <c r="L2347" s="53" t="n">
        <v>0</v>
      </c>
      <c r="M2347" s="33">
        <f>F2347-E2347</f>
        <v/>
      </c>
      <c r="N2347" s="33">
        <f>L2347-K2347</f>
        <v/>
      </c>
    </row>
    <row r="2348">
      <c r="A2348" s="58" t="inlineStr">
        <is>
          <t>23004 Shop Rite Wines/Spirits</t>
        </is>
      </c>
      <c r="B2348" s="58" t="inlineStr">
        <is>
          <t>Passaic</t>
        </is>
      </c>
      <c r="C2348" s="58" t="inlineStr">
        <is>
          <t>Derrick Laws</t>
        </is>
      </c>
      <c r="D2348" s="58" t="inlineStr">
        <is>
          <t>Off-premise</t>
        </is>
      </c>
      <c r="E2348" s="53" t="n">
        <v>9686</v>
      </c>
      <c r="F2348" s="53" t="n">
        <v>7768</v>
      </c>
      <c r="G2348" s="55" t="n">
        <v>68145.13</v>
      </c>
      <c r="H2348" s="55" t="n">
        <v>56563.64000000001</v>
      </c>
      <c r="I2348" s="53" t="n">
        <v>1863</v>
      </c>
      <c r="J2348" s="53" t="n">
        <v>2236</v>
      </c>
      <c r="K2348" s="53" t="n">
        <v>1536</v>
      </c>
      <c r="L2348" s="53" t="n">
        <v>1393</v>
      </c>
      <c r="M2348" s="33">
        <f>F2348-E2348</f>
        <v/>
      </c>
      <c r="N2348" s="33">
        <f>L2348-K2348</f>
        <v/>
      </c>
    </row>
    <row r="2349">
      <c r="A2349" s="58" t="inlineStr">
        <is>
          <t>4009 Usa Wine Traders Club (Bloomingdale)</t>
        </is>
      </c>
      <c r="B2349" s="58" t="inlineStr">
        <is>
          <t>Passaic</t>
        </is>
      </c>
      <c r="C2349" s="58" t="inlineStr">
        <is>
          <t>Anthony Palmisano</t>
        </is>
      </c>
      <c r="D2349" s="58" t="inlineStr">
        <is>
          <t>Off-premise</t>
        </is>
      </c>
      <c r="E2349" s="53" t="n">
        <v>5692</v>
      </c>
      <c r="F2349" s="53" t="n">
        <v>5371</v>
      </c>
      <c r="G2349" s="55" t="n">
        <v>36936.85</v>
      </c>
      <c r="H2349" s="55" t="n">
        <v>36237.38000000001</v>
      </c>
      <c r="I2349" s="53" t="n">
        <v>2460</v>
      </c>
      <c r="J2349" s="53" t="n">
        <v>2510</v>
      </c>
      <c r="K2349" s="53" t="n">
        <v>1120</v>
      </c>
      <c r="L2349" s="53" t="n">
        <v>968</v>
      </c>
      <c r="M2349" s="33">
        <f>F2349-E2349</f>
        <v/>
      </c>
      <c r="N2349" s="33">
        <f>L2349-K2349</f>
        <v/>
      </c>
    </row>
    <row r="2350">
      <c r="A2350" s="58" t="inlineStr">
        <is>
          <t>68002 Wine And Beverage Spirits</t>
        </is>
      </c>
      <c r="B2350" s="58" t="inlineStr">
        <is>
          <t>Bergen</t>
        </is>
      </c>
      <c r="C2350" s="58" t="inlineStr">
        <is>
          <t>Shane Barreca</t>
        </is>
      </c>
      <c r="D2350" s="58" t="inlineStr">
        <is>
          <t>Off-premise</t>
        </is>
      </c>
      <c r="E2350" s="53" t="n">
        <v>1996</v>
      </c>
      <c r="F2350" s="53" t="n">
        <v>1591</v>
      </c>
      <c r="G2350" s="55" t="n">
        <v>13505.34</v>
      </c>
      <c r="H2350" s="55" t="n">
        <v>11145.75</v>
      </c>
      <c r="I2350" s="53" t="n">
        <v>780</v>
      </c>
      <c r="J2350" s="53" t="n">
        <v>721</v>
      </c>
      <c r="K2350" s="53" t="n">
        <v>510</v>
      </c>
      <c r="L2350" s="53" t="n">
        <v>347</v>
      </c>
      <c r="M2350" s="33">
        <f>F2350-E2350</f>
        <v/>
      </c>
      <c r="N2350" s="33">
        <f>L2350-K2350</f>
        <v/>
      </c>
    </row>
    <row r="2351">
      <c r="A2351" s="58" t="inlineStr">
        <is>
          <t>191710 Shop Rite Wine &amp; Spirits Stanhope</t>
        </is>
      </c>
      <c r="B2351" s="58" t="inlineStr">
        <is>
          <t>Sussex</t>
        </is>
      </c>
      <c r="C2351" s="58" t="inlineStr">
        <is>
          <t>Klejdi Lamo</t>
        </is>
      </c>
      <c r="D2351" s="58" t="inlineStr">
        <is>
          <t>Off-premise</t>
        </is>
      </c>
      <c r="E2351" s="53" t="n">
        <v>7877</v>
      </c>
      <c r="F2351" s="53" t="n">
        <v>6981</v>
      </c>
      <c r="G2351" s="55" t="n">
        <v>46615.32</v>
      </c>
      <c r="H2351" s="55" t="n">
        <v>41535.6</v>
      </c>
      <c r="I2351" s="53" t="n">
        <v>3910</v>
      </c>
      <c r="J2351" s="53" t="n">
        <v>3346</v>
      </c>
      <c r="K2351" s="53" t="n">
        <v>1456</v>
      </c>
      <c r="L2351" s="53" t="n">
        <v>1279</v>
      </c>
      <c r="M2351" s="33">
        <f>F2351-E2351</f>
        <v/>
      </c>
      <c r="N2351" s="33">
        <f>L2351-K2351</f>
        <v/>
      </c>
    </row>
    <row r="2352">
      <c r="A2352" s="58" t="inlineStr">
        <is>
          <t>30003 Mason's Cellar (A)</t>
        </is>
      </c>
      <c r="B2352" s="58" t="inlineStr">
        <is>
          <t>Bergen</t>
        </is>
      </c>
      <c r="C2352" s="58" t="inlineStr">
        <is>
          <t>Jim Heaney</t>
        </is>
      </c>
      <c r="D2352" s="58" t="inlineStr">
        <is>
          <t>Off-premise</t>
        </is>
      </c>
      <c r="E2352" s="53" t="n">
        <v>1209</v>
      </c>
      <c r="F2352" s="53" t="n">
        <v>0</v>
      </c>
      <c r="G2352" s="55" t="n">
        <v>9813.269999999999</v>
      </c>
      <c r="H2352" s="55" t="n">
        <v>0</v>
      </c>
      <c r="I2352" s="53" t="n">
        <v>477</v>
      </c>
      <c r="J2352" s="53" t="n">
        <v>0</v>
      </c>
      <c r="K2352" s="53" t="n">
        <v>193</v>
      </c>
      <c r="L2352" s="53" t="n">
        <v>0</v>
      </c>
      <c r="M2352" s="33">
        <f>F2352-E2352</f>
        <v/>
      </c>
      <c r="N2352" s="33">
        <f>L2352-K2352</f>
        <v/>
      </c>
    </row>
    <row r="2353">
      <c r="A2353" s="58" t="inlineStr">
        <is>
          <t>25015 Limonta Liqs (A)</t>
        </is>
      </c>
      <c r="B2353" s="58" t="inlineStr">
        <is>
          <t>Passaic</t>
        </is>
      </c>
      <c r="C2353" s="58" t="inlineStr">
        <is>
          <t>Pablo Lopez</t>
        </is>
      </c>
      <c r="D2353" s="58" t="inlineStr">
        <is>
          <t>Off-premise</t>
        </is>
      </c>
      <c r="E2353" s="53" t="n">
        <v>2023</v>
      </c>
      <c r="F2353" s="53" t="n">
        <v>0</v>
      </c>
      <c r="G2353" s="55" t="n">
        <v>14043.29</v>
      </c>
      <c r="H2353" s="55" t="n">
        <v>0</v>
      </c>
      <c r="I2353" s="53" t="n">
        <v>149</v>
      </c>
      <c r="J2353" s="53" t="n">
        <v>0</v>
      </c>
      <c r="K2353" s="53" t="n">
        <v>195</v>
      </c>
      <c r="L2353" s="53" t="n">
        <v>0</v>
      </c>
      <c r="M2353" s="33">
        <f>F2353-E2353</f>
        <v/>
      </c>
      <c r="N2353" s="33">
        <f>L2353-K2353</f>
        <v/>
      </c>
    </row>
    <row r="2354">
      <c r="A2354" s="58" t="inlineStr">
        <is>
          <t>50003 Agave Liquor, Wine &amp; Spirits</t>
        </is>
      </c>
      <c r="B2354" s="58" t="inlineStr">
        <is>
          <t>Bergen</t>
        </is>
      </c>
      <c r="C2354" s="58" t="inlineStr">
        <is>
          <t>Phil Ernst</t>
        </is>
      </c>
      <c r="D2354" s="58" t="inlineStr">
        <is>
          <t>Off-premise</t>
        </is>
      </c>
      <c r="E2354" s="53" t="n">
        <v>2675</v>
      </c>
      <c r="F2354" s="53" t="n">
        <v>1783</v>
      </c>
      <c r="G2354" s="55" t="n">
        <v>18437.6</v>
      </c>
      <c r="H2354" s="55" t="n">
        <v>12941.54</v>
      </c>
      <c r="I2354" s="53" t="n">
        <v>95</v>
      </c>
      <c r="J2354" s="53" t="n">
        <v>86</v>
      </c>
      <c r="K2354" s="53" t="n">
        <v>546</v>
      </c>
      <c r="L2354" s="53" t="n">
        <v>313</v>
      </c>
      <c r="M2354" s="33">
        <f>F2354-E2354</f>
        <v/>
      </c>
      <c r="N2354" s="33">
        <f>L2354-K2354</f>
        <v/>
      </c>
    </row>
    <row r="2355">
      <c r="A2355" s="58" t="inlineStr">
        <is>
          <t>15013 El Oasis</t>
        </is>
      </c>
      <c r="B2355" s="58" t="inlineStr">
        <is>
          <t>Passaic</t>
        </is>
      </c>
      <c r="C2355" s="58" t="inlineStr">
        <is>
          <t>Derrick Laws</t>
        </is>
      </c>
      <c r="D2355" s="58" t="inlineStr">
        <is>
          <t>Off-premise</t>
        </is>
      </c>
      <c r="E2355" s="53" t="n">
        <v>4359</v>
      </c>
      <c r="F2355" s="53" t="n">
        <v>3189</v>
      </c>
      <c r="G2355" s="55" t="n">
        <v>29560.89</v>
      </c>
      <c r="H2355" s="55" t="n">
        <v>23416.7</v>
      </c>
      <c r="I2355" s="53" t="n">
        <v>396</v>
      </c>
      <c r="J2355" s="53" t="n">
        <v>206</v>
      </c>
      <c r="K2355" s="53" t="n">
        <v>471</v>
      </c>
      <c r="L2355" s="53" t="n">
        <v>210</v>
      </c>
      <c r="M2355" s="33">
        <f>F2355-E2355</f>
        <v/>
      </c>
      <c r="N2355" s="33">
        <f>L2355-K2355</f>
        <v/>
      </c>
    </row>
    <row r="2356">
      <c r="A2356" s="58" t="inlineStr">
        <is>
          <t>72001 Cambridge Wines (Woodcliff Lake)</t>
        </is>
      </c>
      <c r="B2356" s="58" t="inlineStr">
        <is>
          <t>Bergen</t>
        </is>
      </c>
      <c r="C2356" s="58" t="inlineStr">
        <is>
          <t>Shane Barreca</t>
        </is>
      </c>
      <c r="D2356" s="58" t="inlineStr">
        <is>
          <t>Unmatched</t>
        </is>
      </c>
      <c r="E2356" s="53" t="n">
        <v>1128</v>
      </c>
      <c r="F2356" s="53" t="n">
        <v>237</v>
      </c>
      <c r="G2356" s="55" t="n">
        <v>8418.639999999999</v>
      </c>
      <c r="H2356" s="55" t="n">
        <v>1775.23</v>
      </c>
      <c r="I2356" s="53" t="n">
        <v>413</v>
      </c>
      <c r="J2356" s="53" t="n">
        <v>55</v>
      </c>
      <c r="K2356" s="53" t="n">
        <v>364</v>
      </c>
      <c r="L2356" s="53" t="n">
        <v>26</v>
      </c>
      <c r="M2356" s="33">
        <f>F2356-E2356</f>
        <v/>
      </c>
      <c r="N2356" s="33">
        <f>L2356-K2356</f>
        <v/>
      </c>
    </row>
    <row r="2357">
      <c r="A2357" s="58" t="inlineStr">
        <is>
          <t>12007 Gary's Wine &amp; Marketplace (Wayne)</t>
        </is>
      </c>
      <c r="B2357" s="58" t="inlineStr">
        <is>
          <t>Passaic</t>
        </is>
      </c>
      <c r="C2357" s="58" t="inlineStr">
        <is>
          <t>Phil Ernst</t>
        </is>
      </c>
      <c r="D2357" s="58" t="inlineStr">
        <is>
          <t>Off-premise</t>
        </is>
      </c>
      <c r="E2357" s="53" t="n">
        <v>2192</v>
      </c>
      <c r="F2357" s="53" t="n">
        <v>-14</v>
      </c>
      <c r="G2357" s="55" t="n">
        <v>13700.04</v>
      </c>
      <c r="H2357" s="55" t="n">
        <v>-54.58</v>
      </c>
      <c r="I2357" s="53" t="n">
        <v>902</v>
      </c>
      <c r="J2357" s="53" t="n">
        <v>-2</v>
      </c>
      <c r="K2357" s="53" t="n">
        <v>459</v>
      </c>
      <c r="L2357" s="53" t="n">
        <v>0</v>
      </c>
      <c r="M2357" s="33">
        <f>F2357-E2357</f>
        <v/>
      </c>
      <c r="N2357" s="33">
        <f>L2357-K2357</f>
        <v/>
      </c>
    </row>
    <row r="2358">
      <c r="A2358" s="58" t="inlineStr">
        <is>
          <t>14001 Wine &amp; Bev. Depot (A)</t>
        </is>
      </c>
      <c r="B2358" s="58" t="inlineStr">
        <is>
          <t>Passaic</t>
        </is>
      </c>
      <c r="C2358" s="58" t="inlineStr">
        <is>
          <t>Jim Heaney</t>
        </is>
      </c>
      <c r="D2358" s="58" t="inlineStr">
        <is>
          <t>Off-premise</t>
        </is>
      </c>
      <c r="E2358" s="53" t="n">
        <v>4390</v>
      </c>
      <c r="F2358" s="53" t="n">
        <v>0</v>
      </c>
      <c r="G2358" s="55" t="n">
        <v>29001.78</v>
      </c>
      <c r="H2358" s="55" t="n">
        <v>0</v>
      </c>
      <c r="I2358" s="53" t="n">
        <v>972</v>
      </c>
      <c r="J2358" s="53" t="n">
        <v>0</v>
      </c>
      <c r="K2358" s="53" t="n">
        <v>511</v>
      </c>
      <c r="L2358" s="53" t="n">
        <v>0</v>
      </c>
      <c r="M2358" s="33">
        <f>F2358-E2358</f>
        <v/>
      </c>
      <c r="N2358" s="33">
        <f>L2358-K2358</f>
        <v/>
      </c>
    </row>
    <row r="2360">
      <c r="A2360" s="2" t="inlineStr">
        <is>
          <t>Every account maps to exactly one rep and one county in these exports — checked, not assumed — so this tab is an exact re-grouping, not an approximation.</t>
        </is>
      </c>
    </row>
    <row r="2361">
      <c r="A2361" s="2" t="inlineStr">
        <is>
          <t>An account with zero in the non-program columns bought only incented brands, and vice versa. The Within-Account Control tab uses only accounts with volume on both sides.</t>
        </is>
      </c>
    </row>
    <row r="2362">
      <c r="A2362" s="2" t="inlineStr">
        <is>
          <t>Sorted by AMPLIFY case gain, biggest first — that is the order the Account Concentration tab reads. Concentration is only meaningful on a segment whose net change is positive, and the program total is negative.</t>
        </is>
      </c>
    </row>
    <row r="2363">
      <c r="A2363" s="2" t="inlineStr">
        <is>
          <t>Channel is joined from territory-accounts/ in this repo on the leading customer number. Accounts on neither roster are carried as Unmatched — about 2% of volume — rather than guessed at.</t>
        </is>
      </c>
    </row>
  </sheetData>
  <autoFilter ref="A4:N235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12" customWidth="1" min="3" max="3"/>
    <col width="13" customWidth="1" min="4" max="4"/>
    <col width="13" customWidth="1" min="5" max="5"/>
    <col width="14" customWidth="1" min="6" max="6"/>
    <col width="14" customWidth="1" min="7" max="7"/>
    <col width="13" customWidth="1" min="8" max="8"/>
    <col width="13" customWidth="1" min="9" max="9"/>
  </cols>
  <sheetData>
    <row r="1">
      <c r="A1" s="24" t="inlineStr">
        <is>
          <t>Source data — channel</t>
        </is>
      </c>
    </row>
    <row r="2">
      <c r="A2" s="2" t="inlineStr">
        <is>
          <t>Channel × segment × period. Channel joined from territory-accounts/ on customer number.   ·   Source: all three RDE exports + this repo's territory rosters</t>
        </is>
      </c>
    </row>
    <row r="4" ht="32" customHeight="1">
      <c r="A4" s="6" t="inlineStr">
        <is>
          <t>Channel</t>
        </is>
      </c>
      <c r="B4" s="6" t="inlineStr">
        <is>
          <t>Period</t>
        </is>
      </c>
      <c r="C4" s="6" t="inlineStr">
        <is>
          <t>Segment</t>
        </is>
      </c>
      <c r="D4" s="6" t="inlineStr">
        <is>
          <t>CE 2025</t>
        </is>
      </c>
      <c r="E4" s="6" t="inlineStr">
        <is>
          <t>CE 2026</t>
        </is>
      </c>
      <c r="F4" s="6" t="inlineStr">
        <is>
          <t>Revenue 2025</t>
        </is>
      </c>
      <c r="G4" s="6" t="inlineStr">
        <is>
          <t>Revenue 2026</t>
        </is>
      </c>
      <c r="H4" s="6" t="inlineStr">
        <is>
          <t>GP 2025</t>
        </is>
      </c>
      <c r="I4" s="6" t="inlineStr">
        <is>
          <t>GP 2026</t>
        </is>
      </c>
    </row>
    <row r="5">
      <c r="A5" s="58" t="inlineStr">
        <is>
          <t>Off-premise</t>
        </is>
      </c>
      <c r="B5" s="58" t="inlineStr">
        <is>
          <t>Jun–Aug</t>
        </is>
      </c>
      <c r="C5" s="58" t="inlineStr">
        <is>
          <t>Qualifier</t>
        </is>
      </c>
      <c r="D5" s="53" t="n">
        <v>1270979</v>
      </c>
      <c r="E5" s="53" t="n">
        <v>1195151</v>
      </c>
      <c r="F5" s="55" t="n">
        <v>35973922.79999992</v>
      </c>
      <c r="G5" s="55" t="n">
        <v>34138771.94000003</v>
      </c>
      <c r="H5" s="55" t="n">
        <v>8185449.419999979</v>
      </c>
      <c r="I5" s="55" t="n">
        <v>7927089.329999992</v>
      </c>
    </row>
    <row r="6">
      <c r="A6" s="58" t="inlineStr">
        <is>
          <t>Off-premise</t>
        </is>
      </c>
      <c r="B6" s="58" t="inlineStr">
        <is>
          <t>Jun–Aug</t>
        </is>
      </c>
      <c r="C6" s="58" t="inlineStr">
        <is>
          <t>Amplify</t>
        </is>
      </c>
      <c r="D6" s="53" t="n">
        <v>199974</v>
      </c>
      <c r="E6" s="53" t="n">
        <v>222382</v>
      </c>
      <c r="F6" s="55" t="n">
        <v>5975744.269999976</v>
      </c>
      <c r="G6" s="55" t="n">
        <v>6562970.649999973</v>
      </c>
      <c r="H6" s="55" t="n">
        <v>1458666.259999996</v>
      </c>
      <c r="I6" s="55" t="n">
        <v>1598497.990000001</v>
      </c>
    </row>
    <row r="7">
      <c r="A7" s="58" t="inlineStr">
        <is>
          <t>Off-premise</t>
        </is>
      </c>
      <c r="B7" s="58" t="inlineStr">
        <is>
          <t>Jan–May</t>
        </is>
      </c>
      <c r="C7" s="58" t="inlineStr">
        <is>
          <t>Qualifier</t>
        </is>
      </c>
      <c r="D7" s="53" t="n">
        <v>1432953</v>
      </c>
      <c r="E7" s="53" t="n">
        <v>1400105</v>
      </c>
      <c r="F7" s="55" t="n">
        <v>40431052.82999995</v>
      </c>
      <c r="G7" s="55" t="n">
        <v>39374728.53000005</v>
      </c>
      <c r="H7" s="55" t="n">
        <v>9429096.639999965</v>
      </c>
      <c r="I7" s="55" t="n">
        <v>9127051.639999999</v>
      </c>
    </row>
    <row r="8">
      <c r="A8" s="58" t="inlineStr">
        <is>
          <t>Off-premise</t>
        </is>
      </c>
      <c r="B8" s="58" t="inlineStr">
        <is>
          <t>Jan–May</t>
        </is>
      </c>
      <c r="C8" s="58" t="inlineStr">
        <is>
          <t>Amplify</t>
        </is>
      </c>
      <c r="D8" s="53" t="n">
        <v>221681</v>
      </c>
      <c r="E8" s="53" t="n">
        <v>248581</v>
      </c>
      <c r="F8" s="55" t="n">
        <v>6565888.779999997</v>
      </c>
      <c r="G8" s="55" t="n">
        <v>7299804.889999984</v>
      </c>
      <c r="H8" s="55" t="n">
        <v>1620418.990000006</v>
      </c>
      <c r="I8" s="55" t="n">
        <v>1782484.44</v>
      </c>
    </row>
    <row r="9">
      <c r="A9" s="58" t="inlineStr">
        <is>
          <t>Off-premise</t>
        </is>
      </c>
      <c r="B9" s="58" t="inlineStr">
        <is>
          <t>Jun–Aug</t>
        </is>
      </c>
      <c r="C9" s="58" t="inlineStr">
        <is>
          <t>Control</t>
        </is>
      </c>
      <c r="D9" s="53" t="n">
        <v>394391</v>
      </c>
      <c r="E9" s="53" t="n">
        <v>383792</v>
      </c>
      <c r="F9" s="55" t="n">
        <v>11305595.39999998</v>
      </c>
      <c r="G9" s="55" t="n">
        <v>11318823.41999997</v>
      </c>
      <c r="H9" s="55" t="n">
        <v>2870046.920000003</v>
      </c>
      <c r="I9" s="55" t="n">
        <v>3109773.690000005</v>
      </c>
    </row>
    <row r="10">
      <c r="A10" s="58" t="inlineStr">
        <is>
          <t>On-premise</t>
        </is>
      </c>
      <c r="B10" s="58" t="inlineStr">
        <is>
          <t>Jun–Aug</t>
        </is>
      </c>
      <c r="C10" s="58" t="inlineStr">
        <is>
          <t>Qualifier</t>
        </is>
      </c>
      <c r="D10" s="53" t="n">
        <v>158230</v>
      </c>
      <c r="E10" s="53" t="n">
        <v>158046</v>
      </c>
      <c r="F10" s="55" t="n">
        <v>4290825.209999996</v>
      </c>
      <c r="G10" s="55" t="n">
        <v>4318523.06</v>
      </c>
      <c r="H10" s="55" t="n">
        <v>1151961.949999997</v>
      </c>
      <c r="I10" s="55" t="n">
        <v>1162903.100000001</v>
      </c>
    </row>
    <row r="11">
      <c r="A11" s="58" t="inlineStr">
        <is>
          <t>On-premise</t>
        </is>
      </c>
      <c r="B11" s="58" t="inlineStr">
        <is>
          <t>Jun–Aug</t>
        </is>
      </c>
      <c r="C11" s="58" t="inlineStr">
        <is>
          <t>Amplify</t>
        </is>
      </c>
      <c r="D11" s="53" t="n">
        <v>16950</v>
      </c>
      <c r="E11" s="53" t="n">
        <v>20071</v>
      </c>
      <c r="F11" s="55" t="n">
        <v>558827.7799999992</v>
      </c>
      <c r="G11" s="55" t="n">
        <v>659213.4900000012</v>
      </c>
      <c r="H11" s="55" t="n">
        <v>146782.8500000005</v>
      </c>
      <c r="I11" s="55" t="n">
        <v>175701.2900000006</v>
      </c>
    </row>
    <row r="12">
      <c r="A12" s="58" t="inlineStr">
        <is>
          <t>On-premise</t>
        </is>
      </c>
      <c r="B12" s="58" t="inlineStr">
        <is>
          <t>Jan–May</t>
        </is>
      </c>
      <c r="C12" s="58" t="inlineStr">
        <is>
          <t>Qualifier</t>
        </is>
      </c>
      <c r="D12" s="53" t="n">
        <v>245942</v>
      </c>
      <c r="E12" s="53" t="n">
        <v>236968</v>
      </c>
      <c r="F12" s="55" t="n">
        <v>6605427.829999998</v>
      </c>
      <c r="G12" s="55" t="n">
        <v>6399737.419999988</v>
      </c>
      <c r="H12" s="55" t="n">
        <v>1793799.570000008</v>
      </c>
      <c r="I12" s="55" t="n">
        <v>1745068.26000001</v>
      </c>
    </row>
    <row r="13">
      <c r="A13" s="58" t="inlineStr">
        <is>
          <t>On-premise</t>
        </is>
      </c>
      <c r="B13" s="58" t="inlineStr">
        <is>
          <t>Jan–May</t>
        </is>
      </c>
      <c r="C13" s="58" t="inlineStr">
        <is>
          <t>Amplify</t>
        </is>
      </c>
      <c r="D13" s="53" t="n">
        <v>25272</v>
      </c>
      <c r="E13" s="53" t="n">
        <v>28729</v>
      </c>
      <c r="F13" s="55" t="n">
        <v>833816.9700000001</v>
      </c>
      <c r="G13" s="55" t="n">
        <v>945175.460000001</v>
      </c>
      <c r="H13" s="55" t="n">
        <v>218916.0499999999</v>
      </c>
      <c r="I13" s="55" t="n">
        <v>250311.72</v>
      </c>
    </row>
    <row r="14">
      <c r="A14" s="58" t="inlineStr">
        <is>
          <t>On-premise</t>
        </is>
      </c>
      <c r="B14" s="58" t="inlineStr">
        <is>
          <t>Jun–Aug</t>
        </is>
      </c>
      <c r="C14" s="58" t="inlineStr">
        <is>
          <t>Control</t>
        </is>
      </c>
      <c r="D14" s="53" t="n">
        <v>51584</v>
      </c>
      <c r="E14" s="53" t="n">
        <v>53871</v>
      </c>
      <c r="F14" s="55" t="n">
        <v>1645739.480000003</v>
      </c>
      <c r="G14" s="55" t="n">
        <v>1728443.31</v>
      </c>
      <c r="H14" s="55" t="n">
        <v>448446.7499999986</v>
      </c>
      <c r="I14" s="55" t="n">
        <v>477398.969999999</v>
      </c>
    </row>
    <row r="15">
      <c r="A15" s="58" t="inlineStr">
        <is>
          <t>Unmatched</t>
        </is>
      </c>
      <c r="B15" s="58" t="inlineStr">
        <is>
          <t>Jun–Aug</t>
        </is>
      </c>
      <c r="C15" s="58" t="inlineStr">
        <is>
          <t>Qualifier</t>
        </is>
      </c>
      <c r="D15" s="53" t="n">
        <v>24699</v>
      </c>
      <c r="E15" s="53" t="n">
        <v>25199</v>
      </c>
      <c r="F15" s="55" t="n">
        <v>735905.2899999998</v>
      </c>
      <c r="G15" s="55" t="n">
        <v>760912.1499999998</v>
      </c>
      <c r="H15" s="55" t="n">
        <v>189250.5000000001</v>
      </c>
      <c r="I15" s="55" t="n">
        <v>198215.9299999998</v>
      </c>
    </row>
    <row r="16">
      <c r="A16" s="58" t="inlineStr">
        <is>
          <t>Unmatched</t>
        </is>
      </c>
      <c r="B16" s="58" t="inlineStr">
        <is>
          <t>Jun–Aug</t>
        </is>
      </c>
      <c r="C16" s="58" t="inlineStr">
        <is>
          <t>Amplify</t>
        </is>
      </c>
      <c r="D16" s="53" t="n">
        <v>4929</v>
      </c>
      <c r="E16" s="53" t="n">
        <v>4993</v>
      </c>
      <c r="F16" s="55" t="n">
        <v>155231.1000000001</v>
      </c>
      <c r="G16" s="55" t="n">
        <v>156414.33</v>
      </c>
      <c r="H16" s="55" t="n">
        <v>40388.00999999999</v>
      </c>
      <c r="I16" s="55" t="n">
        <v>41125.94999999998</v>
      </c>
    </row>
    <row r="17">
      <c r="A17" s="58" t="inlineStr">
        <is>
          <t>Unmatched</t>
        </is>
      </c>
      <c r="B17" s="58" t="inlineStr">
        <is>
          <t>Jan–May</t>
        </is>
      </c>
      <c r="C17" s="58" t="inlineStr">
        <is>
          <t>Qualifier</t>
        </is>
      </c>
      <c r="D17" s="53" t="n">
        <v>31548</v>
      </c>
      <c r="E17" s="53" t="n">
        <v>30905</v>
      </c>
      <c r="F17" s="55" t="n">
        <v>936083.5900000004</v>
      </c>
      <c r="G17" s="55" t="n">
        <v>918326.2500000005</v>
      </c>
      <c r="H17" s="55" t="n">
        <v>249966.2800000002</v>
      </c>
      <c r="I17" s="55" t="n">
        <v>239995.4299999998</v>
      </c>
    </row>
    <row r="18">
      <c r="A18" s="58" t="inlineStr">
        <is>
          <t>Unmatched</t>
        </is>
      </c>
      <c r="B18" s="58" t="inlineStr">
        <is>
          <t>Jan–May</t>
        </is>
      </c>
      <c r="C18" s="58" t="inlineStr">
        <is>
          <t>Amplify</t>
        </is>
      </c>
      <c r="D18" s="53" t="n">
        <v>6214</v>
      </c>
      <c r="E18" s="53" t="n">
        <v>6327</v>
      </c>
      <c r="F18" s="55" t="n">
        <v>195162.45</v>
      </c>
      <c r="G18" s="55" t="n">
        <v>198239.75</v>
      </c>
      <c r="H18" s="55" t="n">
        <v>51354.35000000003</v>
      </c>
      <c r="I18" s="55" t="n">
        <v>52686.45</v>
      </c>
    </row>
    <row r="19">
      <c r="A19" s="58" t="inlineStr">
        <is>
          <t>Unmatched</t>
        </is>
      </c>
      <c r="B19" s="58" t="inlineStr">
        <is>
          <t>Jun–Aug</t>
        </is>
      </c>
      <c r="C19" s="58" t="inlineStr">
        <is>
          <t>Control</t>
        </is>
      </c>
      <c r="D19" s="53" t="n">
        <v>20505</v>
      </c>
      <c r="E19" s="53" t="n">
        <v>18877</v>
      </c>
      <c r="F19" s="55" t="n">
        <v>591936.4999999999</v>
      </c>
      <c r="G19" s="55" t="n">
        <v>547870.61</v>
      </c>
      <c r="H19" s="55" t="n">
        <v>154303.2499999997</v>
      </c>
      <c r="I19" s="55" t="n">
        <v>144419.9400000001</v>
      </c>
    </row>
    <row r="21">
      <c r="A21" s="2" t="inlineStr">
        <is>
          <t>Unmatched = accounts on neither territory roster, about 2% of volume. Shown rather than dropped so the channel rows still add to the program total.</t>
        </is>
      </c>
    </row>
  </sheetData>
  <autoFilter ref="A4:I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2026-09-11T18:29:16Z</dcterms:created>
  <dcterms:modified xsi:type="dcterms:W3CDTF">2026-09-11T18:29:20Z</dcterms:modified>
</cp:coreProperties>
</file>